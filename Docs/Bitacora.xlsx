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migue\Desarrollos\Auxiliar\Docs\"/>
    </mc:Choice>
  </mc:AlternateContent>
  <xr:revisionPtr revIDLastSave="0" documentId="13_ncr:1_{68E6A8D3-E8A6-4469-8496-6B57BE1F8410}" xr6:coauthVersionLast="47" xr6:coauthVersionMax="47" xr10:uidLastSave="{00000000-0000-0000-0000-000000000000}"/>
  <bookViews>
    <workbookView xWindow="-120" yWindow="-120" windowWidth="29040" windowHeight="15720" tabRatio="755" activeTab="4" xr2:uid="{00000000-000D-0000-FFFF-FFFF00000000}"/>
  </bookViews>
  <sheets>
    <sheet name="Calculo Informes" sheetId="11" r:id="rId1"/>
    <sheet name="CesarGonzalez" sheetId="4" r:id="rId2"/>
    <sheet name="RodrigoLorca" sheetId="2" r:id="rId3"/>
    <sheet name="PabloSalazar" sheetId="3" r:id="rId4"/>
    <sheet name="GonzaloRodriguez" sheetId="1" r:id="rId5"/>
    <sheet name="OscarMora" sheetId="7" r:id="rId6"/>
    <sheet name="GabrielNuñez" sheetId="5" r:id="rId7"/>
    <sheet name="AmericoSaravia" sheetId="6" r:id="rId8"/>
    <sheet name="JPBuzeta" sheetId="8" r:id="rId9"/>
    <sheet name="CarlosJara" sheetId="10" r:id="rId10"/>
    <sheet name="CristiánVásquez" sheetId="12" r:id="rId11"/>
    <sheet name="AlejandroIpinza" sheetId="9" r:id="rId12"/>
  </sheets>
  <definedNames>
    <definedName name="_xlnm._FilterDatabase" localSheetId="11" hidden="1">AlejandroIpinza!$B$1:$H$1</definedName>
    <definedName name="_xlnm._FilterDatabase" localSheetId="7" hidden="1">AmericoSaravia!$B$1:$H$1</definedName>
    <definedName name="_xlnm._FilterDatabase" localSheetId="9" hidden="1">CarlosJara!$B$1:$H$1</definedName>
    <definedName name="_xlnm._FilterDatabase" localSheetId="1" hidden="1">CesarGonzalez!$B$1:$H$1</definedName>
    <definedName name="_xlnm._FilterDatabase" localSheetId="10" hidden="1">CristiánVásquez!$B$1:$H$1</definedName>
    <definedName name="_xlnm._FilterDatabase" localSheetId="6" hidden="1">GabrielNuñez!$B$1:$H$1</definedName>
    <definedName name="_xlnm._FilterDatabase" localSheetId="4" hidden="1">GonzaloRodriguez!$B$1:$H$1</definedName>
    <definedName name="_xlnm._FilterDatabase" localSheetId="8" hidden="1">JPBuzeta!$B$1:$H$691</definedName>
    <definedName name="_xlnm._FilterDatabase" localSheetId="5" hidden="1">OscarMora!$B$1:$H$1</definedName>
    <definedName name="_xlnm._FilterDatabase" localSheetId="3" hidden="1">PabloSalazar!$B$1:$H$1</definedName>
    <definedName name="_xlnm._FilterDatabase" localSheetId="2" hidden="1">RodrigoLorca!$B$1:$H$1</definedName>
    <definedName name="_xlnm.Print_Area" localSheetId="11">AlejandroIpinza!#REF!</definedName>
    <definedName name="_xlnm.Print_Area" localSheetId="7">AmericoSaravia!#REF!</definedName>
    <definedName name="_xlnm.Print_Area" localSheetId="9">CarlosJara!#REF!</definedName>
    <definedName name="_xlnm.Print_Area" localSheetId="1">CesarGonzalez!#REF!</definedName>
    <definedName name="_xlnm.Print_Area" localSheetId="10">CristiánVásquez!#REF!</definedName>
    <definedName name="_xlnm.Print_Area" localSheetId="6">GabrielNuñez!#REF!</definedName>
    <definedName name="_xlnm.Print_Area" localSheetId="4">GonzaloRodriguez!#REF!</definedName>
    <definedName name="_xlnm.Print_Area" localSheetId="8">JPBuzeta!#REF!</definedName>
    <definedName name="_xlnm.Print_Area" localSheetId="5">OscarMora!#REF!</definedName>
    <definedName name="_xlnm.Print_Area" localSheetId="3">PabloSalazar!#REF!</definedName>
    <definedName name="_xlnm.Print_Area" localSheetId="2">RodrigoLorca!#REF!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99" i="5" l="1"/>
  <c r="M296" i="5"/>
  <c r="M279" i="5"/>
  <c r="M281" i="5"/>
  <c r="M284" i="5"/>
  <c r="M289" i="5"/>
  <c r="M293" i="5"/>
  <c r="M275" i="5"/>
  <c r="M271" i="5"/>
  <c r="M267" i="5"/>
  <c r="H287" i="5"/>
  <c r="H286" i="5"/>
  <c r="H285" i="5"/>
  <c r="H284" i="5"/>
  <c r="H283" i="5"/>
  <c r="H289" i="5"/>
  <c r="H290" i="5"/>
  <c r="H291" i="5"/>
  <c r="H295" i="5"/>
  <c r="H294" i="5"/>
  <c r="H279" i="5"/>
  <c r="H277" i="5"/>
  <c r="H276" i="5"/>
  <c r="H273" i="5"/>
  <c r="M266" i="5" a="1"/>
  <c r="M266" i="5" s="1"/>
  <c r="N267" i="5"/>
  <c r="H293" i="5"/>
  <c r="H281" i="5"/>
  <c r="H275" i="5"/>
  <c r="C6" i="11"/>
  <c r="C9" i="11"/>
  <c r="E8" i="11" l="1"/>
  <c r="D8" i="11"/>
  <c r="C8" i="11"/>
  <c r="E7" i="11"/>
  <c r="D7" i="11"/>
  <c r="C7" i="11"/>
  <c r="E6" i="11"/>
  <c r="D6" i="11"/>
  <c r="E9" i="11"/>
  <c r="D9" i="11"/>
  <c r="C11" i="11" l="1"/>
  <c r="C13" i="11"/>
  <c r="C12" i="11"/>
  <c r="F6" i="11"/>
  <c r="F7" i="11"/>
  <c r="F9" i="11"/>
  <c r="F8" i="11"/>
  <c r="C14" i="11" l="1"/>
  <c r="C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<sst xmlns="http://schemas.openxmlformats.org/spreadsheetml/2006/main" count="36195" uniqueCount="3565">
  <si>
    <t>Periodo Informe Mensual</t>
  </si>
  <si>
    <t>Fecha Inicio Periodo</t>
  </si>
  <si>
    <t>Fecha Termino Periodo</t>
  </si>
  <si>
    <t>Grupo</t>
  </si>
  <si>
    <t>INC</t>
  </si>
  <si>
    <t>Warning</t>
  </si>
  <si>
    <t>REQ</t>
  </si>
  <si>
    <t>Total por Equipo</t>
  </si>
  <si>
    <t>Middleware</t>
  </si>
  <si>
    <t>Administración Nube</t>
  </si>
  <si>
    <t>Administración SO, Servidores y Dominios</t>
  </si>
  <si>
    <t>Monitoreo y Respaldo</t>
  </si>
  <si>
    <t>Total Incidentes</t>
  </si>
  <si>
    <t>Total Warning</t>
  </si>
  <si>
    <t>Total Requerimientos</t>
  </si>
  <si>
    <t>Total General</t>
  </si>
  <si>
    <t>FECHA SOLICITUD</t>
  </si>
  <si>
    <t>Periodo</t>
  </si>
  <si>
    <t>AREA / PERSONAL SOLICITANTE</t>
  </si>
  <si>
    <t>PROFESIONAL</t>
  </si>
  <si>
    <t>INC / REQ / WARNING</t>
  </si>
  <si>
    <t>Actividad</t>
  </si>
  <si>
    <t>Detalle / Observación</t>
  </si>
  <si>
    <t>Fernando Lopez - IPS</t>
  </si>
  <si>
    <t>Rodrigo Lorca</t>
  </si>
  <si>
    <t>Transferencia datos criticos entre entidades</t>
  </si>
  <si>
    <t>Transferencia de archivos criticos archivo fallecidos</t>
  </si>
  <si>
    <t>Ingenieria y Servicios - IPS</t>
  </si>
  <si>
    <t>Actividades de Administración Plataformas Tecnologicas IPS</t>
  </si>
  <si>
    <t>Actividades de administración y mantenimiento de los sistemas core de IPS administrados por el área de ingenieria y servicios IPS, destacando coreagil, reforma agil, legados avbmenu, FTPs y SFTPs core IPS, reforma concesión, pisee, SSSonline, asignacion familiar, contacto ips, garantia estatal, reloj virtual, gobierno transparente, mora presunta, entre otros.</t>
  </si>
  <si>
    <t>Jose Luis Hernandez</t>
  </si>
  <si>
    <t>Analisis de Falla masiva en consultas WS Reg Civil</t>
  </si>
  <si>
    <t>Pruebas y analisis por fallas complejas que afectan a institución en consumo de WS pisee.</t>
  </si>
  <si>
    <t>Se hace un analisis detallado del problema presentado en la consulta de WS que consumen la entidad registro civil, se encuentra que el problema era el sobreconsumo por parte de IPS, dado una actividad que estaban realizando desde cliente de negocio desde sucursal santo domingo. Se envia un correo de alerta y aviso por su detención.</t>
  </si>
  <si>
    <t>Carlos Salamanca - IPS</t>
  </si>
  <si>
    <t>Pasos a producción de sistemas bajo administración</t>
  </si>
  <si>
    <t>Revisión de documentacion FINS para pasos a producción. R1732 STI - 145466 -  102</t>
  </si>
  <si>
    <t>Sandra Gomez - IPS</t>
  </si>
  <si>
    <t>Archivos de consulta BPH para el SRCeI proceso marzo 2025</t>
  </si>
  <si>
    <t>Williams Franco - IPS</t>
  </si>
  <si>
    <t>Revisión reforma agil</t>
  </si>
  <si>
    <t>Se realiza revisión y aclaración por problema lenvatado por cliente, generado por utilizar un nodo en especifico y no el DNS balanceado</t>
  </si>
  <si>
    <t>Falla Sistema AF</t>
  </si>
  <si>
    <t>Se realizan acciones de revisión y levantamiento de servicio asignacion familiar que se vio afectado</t>
  </si>
  <si>
    <t>Error avbmenu</t>
  </si>
  <si>
    <t>Resolución de incidente en AVBmenu</t>
  </si>
  <si>
    <t>Jorge Ahumada - IPS</t>
  </si>
  <si>
    <t>Modificación servicio programado</t>
  </si>
  <si>
    <t>Se realiza cambio de configuración horarios de subida y bajada de avbmenu debido a actividad extraordinaria</t>
  </si>
  <si>
    <t>Operaciones - IPS</t>
  </si>
  <si>
    <t>Gestión de instalación FINS ambientes administrados</t>
  </si>
  <si>
    <t>Instalación de variadas fichas en ambientes de desarrollo y QA para distintos proyectos que se encuentran llevando a cabo en IPS.</t>
  </si>
  <si>
    <t>Claudia Flores - IPS</t>
  </si>
  <si>
    <t>Levantamiento servicios AF QA</t>
  </si>
  <si>
    <t>Se realiza la inicialización de servicios sistema AF por solicitud del área correspondiente</t>
  </si>
  <si>
    <t>Incidentes Lentitud Legados</t>
  </si>
  <si>
    <t>Se trabaja en conjunto con soportes de desarrollo, dado los problemas que está generando la ejecuión de procesos sobre DB core legados</t>
  </si>
  <si>
    <t>Fernanda Yañez - IPS</t>
  </si>
  <si>
    <t>Reinicio servicios reforma concesion</t>
  </si>
  <si>
    <t>Se realiza el reinicio controlado de los servicios de reforma concesión por solicitud del soporte asociado</t>
  </si>
  <si>
    <t>Jose Luis Hernandez - IPS</t>
  </si>
  <si>
    <t>Actividad cambio de FW</t>
  </si>
  <si>
    <t>Actividad de Ciberseguridad Cambio de FW Entidades Externas - Viernes 21 de Marzo.</t>
  </si>
  <si>
    <t>Errores Inesperados Core Agil</t>
  </si>
  <si>
    <t>Se realiza analisis y posterior solución a problemas de errores inesperados presentados en core agil</t>
  </si>
  <si>
    <t>Incidente Reloj Virtual</t>
  </si>
  <si>
    <t>Incidente sistema de marcaje institucional, se realiza levantamiento de servicio para su operación a la institución</t>
  </si>
  <si>
    <t>Revisión de documentacion FINS para pasos a producción</t>
  </si>
  <si>
    <t>Paola Arriaza - IPS</t>
  </si>
  <si>
    <t>Transferencia de archivos criticos Acreditación de Matrimonio</t>
  </si>
  <si>
    <t>Revisión de servicios core por incidente de comunicación</t>
  </si>
  <si>
    <t>Analisis y pruebas por falla a nivel de VMC que afectó a variados servicios de la institución</t>
  </si>
  <si>
    <t>Falla WebServices Pisee IPS</t>
  </si>
  <si>
    <t>Analisis y pruebas por falla alertada al momento de consumir los WS desde plataforma Pisee. Se realiza un levantamiento a secretaria general de la republica, dado que la falla proviene del proveedor Registro Civil y no de la plataforma.</t>
  </si>
  <si>
    <t>Coordinación por actividades cambio de hora Verano-Invierno</t>
  </si>
  <si>
    <t>Revisión de actividades a realizar en conjunto en relación al cambio de horario verano-invierno</t>
  </si>
  <si>
    <t>Paso a producción de ticket 150319, cambio en conexión de plataforma SIAGF a PIAS</t>
  </si>
  <si>
    <t>Revisión Plataforma Critica</t>
  </si>
  <si>
    <t>Revisión de plataforma Pisee y pruebas de funcionamiento interno de los WS Regisitro Civil y SII</t>
  </si>
  <si>
    <t>Revisión de actividades y sistemas cambio de horario</t>
  </si>
  <si>
    <t>Se realiza trabajo en conjunto para la revisión de servicios y servidores administrados, para los trabajos a realizar el fin de semana por cambio de horario</t>
  </si>
  <si>
    <t>Cambio de hora</t>
  </si>
  <si>
    <t>Actividades por cambio de horario verano a invierno</t>
  </si>
  <si>
    <t>Raul Villarroel</t>
  </si>
  <si>
    <t>Infraestructura - IPS</t>
  </si>
  <si>
    <t>Error nodo core agil</t>
  </si>
  <si>
    <t>Se reinician servicios de nodo 9 core agil por alerta caida de servicio</t>
  </si>
  <si>
    <t>Patricio Ramirez - IPS</t>
  </si>
  <si>
    <t>Informe de obsolecencia tecnologica abril</t>
  </si>
  <si>
    <t>Se realiza revisión del informe de obsolecencia tecnologica entregado al área de ingenieria y servicios para su revisión</t>
  </si>
  <si>
    <t>Analisis y pruebas por falla alertada al momento de consumir los WS desde plataforma Pisee. Se solicita a personal de santo domingo, que puedan proceder a finalizar sus ejecuciones, ya que, se encontraban saturando las consultas y las TPS que la entidad de registro civil tiene permitidas para el instituto.</t>
  </si>
  <si>
    <t>Falla y lentitud CoreAgil</t>
  </si>
  <si>
    <t>Se trabaja en conjunto con soportes de desarrollo, dado los problemas que alertan desde un área de negocio sto domingo, el soporte no encuentra fallas de oepraciones interna y es informado a cliente final.</t>
  </si>
  <si>
    <t>Claudia Flores - MAFIPS</t>
  </si>
  <si>
    <t>Transferencia de archivo critico entre IPS y SRCeI</t>
  </si>
  <si>
    <t>Patricio Sotomayor - IPS</t>
  </si>
  <si>
    <t>Problema Servidor FTP Previred 10.157.157.14</t>
  </si>
  <si>
    <t>Trabajos por caida de servidor por kernel panic, recuperada por proveedor de servicio</t>
  </si>
  <si>
    <t>Migración servidor de compilacion</t>
  </si>
  <si>
    <t>Se realizan actividades de validación y solicitud de permisos de FW por migración de maquina a on premise</t>
  </si>
  <si>
    <t>Jandi Vasquez - IPS</t>
  </si>
  <si>
    <t>Priscilla Valenzuela - CHA</t>
  </si>
  <si>
    <t>Problema Usuario SFTP Core</t>
  </si>
  <si>
    <t>Se validan problemas de cuenta asignada a sistema critico con encargado de cuenta a personal de CHA</t>
  </si>
  <si>
    <t>Reinicio de servicios reforma agil</t>
  </si>
  <si>
    <t>Omar Salas - IPS</t>
  </si>
  <si>
    <t>Incidente AF</t>
  </si>
  <si>
    <t>Sistemas con fallas debido a problemas en DB genesysp</t>
  </si>
  <si>
    <t>Incidente Core Agil y AF</t>
  </si>
  <si>
    <t>Se validan servicios y se realizan pruebas de funcionamiento, teniendo resultados correctos. Alerta erronea.</t>
  </si>
  <si>
    <t>Victor Muñoz - IPS</t>
  </si>
  <si>
    <t>Claudio Aguilera - IPS</t>
  </si>
  <si>
    <t>Transmsción de archivo hacia SAFP con Urgencia</t>
  </si>
  <si>
    <t>Manuel Huenchullan - IPS</t>
  </si>
  <si>
    <t>Validación de actividad automatica de envio archivos criticos a SP</t>
  </si>
  <si>
    <t>NOC - Abenis &amp; Patricio Soyomayor - IPS</t>
  </si>
  <si>
    <t>Se realiza levantamiento de servicio productivo caido asociado a asignación familiar</t>
  </si>
  <si>
    <t>Alejandra Luna - IPS</t>
  </si>
  <si>
    <t>Reinicio nodo core agil</t>
  </si>
  <si>
    <t>Se realiza reinicio de servicio nodo core agil</t>
  </si>
  <si>
    <t>IPS</t>
  </si>
  <si>
    <t>Proceso CDP Mensual</t>
  </si>
  <si>
    <t>Se modifican parametros y validación de servicios legados avbmenu por excepción de proceso horario Autraliano.</t>
  </si>
  <si>
    <t>Williams Franco - MAFIPS</t>
  </si>
  <si>
    <t>Se valida problema de lentitud en servicio avbmenu, sin encontrar problema reportado u otro. Se le pide a mafips que analicen directamente la sucursal o equipos de usuarios finales.</t>
  </si>
  <si>
    <t>Reforma QA y problemas de lentitud</t>
  </si>
  <si>
    <t>Se realizan variadas pruebas con personal de soporte de desarrollo, y se encuentra en horario AM que habian realizado una copia mal desde producción a la DB de QA. Luego de esto, sigue el problema de lentitud, y se pide la deshabilitación de politicas desde servidor de aplicación QA para descartar problemas de FW.</t>
  </si>
  <si>
    <t>NOC - Abenis</t>
  </si>
  <si>
    <t>Reunión Reforma QA y problemas</t>
  </si>
  <si>
    <t>Se realiza analisis en conjunto con variadas áreas, para solucionar problema de consultas en Reforma QA. En donde, se encuentra que el problema radicaba en que era un permiso hacia Pisee Prod puerto 80.</t>
  </si>
  <si>
    <t>Mauricio Miranda - IPS</t>
  </si>
  <si>
    <t>Incidente Reforma Concesión Nodo 2</t>
  </si>
  <si>
    <t>Se realiza levantamiento de servicios productivos Nodo 2 de reforma concesión. Sin alerta previa por parte del proveedor de datacenter.</t>
  </si>
  <si>
    <t>Pamela Sotomayor - IPS</t>
  </si>
  <si>
    <t>Se realiza levantamiento de servicio productivo caido asociado a asignación familiar por lentitud reportada por negocio.</t>
  </si>
  <si>
    <t>Cristian Abarca - IPS</t>
  </si>
  <si>
    <t>Incidente servidor Batch Core</t>
  </si>
  <si>
    <t>Se debe trabajar en validación de server y posterior levantamiento de servicios por caida de Servidor Batch Core, por kernel panic generado en proveedor de servicio</t>
  </si>
  <si>
    <t>Agente CAWA Productivo</t>
  </si>
  <si>
    <t>Levantamiento de agentes para ejecución de actividades masivas. Generado por incidente de servidor core.</t>
  </si>
  <si>
    <t>Patricio Salinas - IPS</t>
  </si>
  <si>
    <t>Transferencia de archivos critico haciansp por solicitud de soporte</t>
  </si>
  <si>
    <t>Servicio Proceso BONO</t>
  </si>
  <si>
    <t>Se realiza levantamiento de proceso Bono solicitado por personal de soporte core agil</t>
  </si>
  <si>
    <t>-</t>
  </si>
  <si>
    <t>Carlos Salamanca - UPS</t>
  </si>
  <si>
    <t>Paso a producción</t>
  </si>
  <si>
    <t>Paso a producción R1759 STI - 150146 - 134</t>
  </si>
  <si>
    <t>Manuel Soto - Auditoria IPS</t>
  </si>
  <si>
    <t>Tabla SRCeI</t>
  </si>
  <si>
    <t>Apoyo en obtención de documentación mensual sobre Tabla SRCeI</t>
  </si>
  <si>
    <t>Validación servicio AF Productivo</t>
  </si>
  <si>
    <t>Se realiza validación AM por cambio de servidor DB productiva GenesysP durante el fin de semana, el cual, afecto directamente al aplicativo y tuvo que ser reiniciado.</t>
  </si>
  <si>
    <t>Paso a Producción Arandas 150832-151032-151080-147508 - Atención y Concesión</t>
  </si>
  <si>
    <t>Paso a producción AR 151143 Reforma Agil</t>
  </si>
  <si>
    <t>Validación actividad critica</t>
  </si>
  <si>
    <t>Se valida plan de trabajo entregado por proveedor por actividad a realizar con urgencia.</t>
  </si>
  <si>
    <t>paso a producción Aranda 151991 eliminar palabra "normalización" de certificado de HP.</t>
  </si>
  <si>
    <t>Incidentes en AF y sistemas generales</t>
  </si>
  <si>
    <t>Se realiza un trabajo en conjunto con proveedor de serviicos y especialistas de IPS, dado a masivas fallas generadas por el nodo principal de DNS institucional.</t>
  </si>
  <si>
    <t>Levantamiento servicios Legados QA</t>
  </si>
  <si>
    <t>Se solicita a proveedor via Paola Lillo, levantamiento de informix QA, dado que la maquina lleva 21 dias arriba y sus servicios abajo.</t>
  </si>
  <si>
    <t>Juan Pablo Buzeta - Abenis EXT</t>
  </si>
  <si>
    <t>Revisión alerta siio ley19992fase2</t>
  </si>
  <si>
    <t>Se revisa sitio http://ley19992fase2.intranet.ips.gob.cl/loginad/ sin encontrar problema</t>
  </si>
  <si>
    <t>AVBmenu Fallas</t>
  </si>
  <si>
    <t>Se realiza revisión de servicio avbmenu por alerta levantada desde negocio</t>
  </si>
  <si>
    <t>Revisión Pisee</t>
  </si>
  <si>
    <t>Se analizan WS del registro Civil por problemas de intermintencia en consultas a WS entidad externa especifica. Se levanta caso a segpres y se recibe información de fallas en la entidad externa.</t>
  </si>
  <si>
    <t>Problemas en avbmenu por caida de DB informix.</t>
  </si>
  <si>
    <t>Cambio de certificado SSL de pisee.cl el cual no fue avisado previamente por entidad correspondiente</t>
  </si>
  <si>
    <t>Jose Miguel Ruiz - MAFIPS</t>
  </si>
  <si>
    <t>Alerta por problemas Coreagil y Avbmenu</t>
  </si>
  <si>
    <t>Se realiza analisis de servidores Core IPS por alertas generadas por usuarios, siendo ambas alertas descartadas, dado que no se encontraron fallas por nuestra parte.</t>
  </si>
  <si>
    <t>ECER: R1769 Aranda(s) 152565 - STI</t>
  </si>
  <si>
    <t>paso a Producción Aranda 149808  "Agregar Deuda nominal trabajador en anexo 2 de titulo ejecutivo".  Paso con error y se realiza rollback</t>
  </si>
  <si>
    <t>Falla sistema Reforma Agil</t>
  </si>
  <si>
    <t>Se realiza analisis y solución de problema sistema reforma agil en conjunto con soporte de desarrollo.</t>
  </si>
  <si>
    <t>Incidente servicio 3S Online</t>
  </si>
  <si>
    <t>Se realiza levantamiento de servicios correspondiente a sistema 3S Online</t>
  </si>
  <si>
    <t>paso a producción Aranda 143569 AtyC - PTR 2025</t>
  </si>
  <si>
    <t>Incidentes Sistemas Core</t>
  </si>
  <si>
    <t>Se generaron variadas fallas en sistemas core de IPS, debido a problemas mantenidos a nivel de capa Base de Datos productiva Core de IPS.</t>
  </si>
  <si>
    <t>Problemas FTP Previred</t>
  </si>
  <si>
    <t>Se analizan problemas altertados por soporte a la producción, encontrando fallas al ingresar a direcciones IP nateadas del servicio, las cuales, afectan a conexiones de entidades externas criticas.</t>
  </si>
  <si>
    <t>Jorge Echeñique - IPS</t>
  </si>
  <si>
    <t>Paso a producción AR 84639 Reforma Agil</t>
  </si>
  <si>
    <t>DRP Legados</t>
  </si>
  <si>
    <t>Actividades DRP Legados</t>
  </si>
  <si>
    <t xml:space="preserve">paso a producción Aranda 152305 periodos paralelos de certificado de imposiciones </t>
  </si>
  <si>
    <t>Paola Lillo - IPS</t>
  </si>
  <si>
    <t>Revisión de espacios FS Servidores Productivos</t>
  </si>
  <si>
    <t>Se realiza gestión de espacio en servidor productivo insitucional de sistema Asignación Familiar</t>
  </si>
  <si>
    <t>Certificado Firma Digital Pisee</t>
  </si>
  <si>
    <t>Se trabaja en conjunto con personal IPS para la compra y obtención del certificado de firma digital para plataforma Pisee, la cual, tiene fecha de caducidad el día 12 de Julio del 2025.</t>
  </si>
  <si>
    <t>Problemas en avbmenu por problema de DB informix. Realizan reinicio de motor de DB.</t>
  </si>
  <si>
    <t>Se gestiona la instalación de certificado de firma digital con entidad de registro civil.</t>
  </si>
  <si>
    <t>Trabajos de apoyo por problemas generados por carga de servidor base de datos Informix.</t>
  </si>
  <si>
    <t>Incidencia WS Registro Civil</t>
  </si>
  <si>
    <t>Se realiza analisis por intermitencia de consulta a WS de entidad Registro Civil, las cuales, se generan a causa de proceso ejecutado desde sucursal santo domingo en horario indebido.</t>
  </si>
  <si>
    <t>Claudia Flores</t>
  </si>
  <si>
    <t>Requerimiento ANCI Reforma Concesion</t>
  </si>
  <si>
    <t>Se valida en conjunto con personal tecnico de IPS, para validar alcance de solicituid por parte de ANCI correspondiente al sistema reforma concesion</t>
  </si>
  <si>
    <t xml:space="preserve">paso a producción Aranda 151608 Agregar DNPA/DNPR en estadísticas de estado de Recaudación. </t>
  </si>
  <si>
    <t>paso a producción Aranda 137806 "Planillas que quedan informadas al distribuir reca"</t>
  </si>
  <si>
    <t>Bajada controlada 3S Online</t>
  </si>
  <si>
    <t>Se realizan actividades de mantención y bajada de servicio por trabajos en horario programado en entidad IPS</t>
  </si>
  <si>
    <t>Validación de Certificados catalogo Pisee</t>
  </si>
  <si>
    <t>Se valida el alcance de la actualización de certificado en servicios apuntados a catalogo.pisee.cl por parte de servicios administrados en IPS</t>
  </si>
  <si>
    <t>Nueva Reforma: Paso a producción emergencia AR 151113 Reforma Ágil</t>
  </si>
  <si>
    <t>Paso a Producción Arandas 152862 - 151181 – 145820 – 152857 - PGU reglas de concesión</t>
  </si>
  <si>
    <t>Fallas Sistema Asignación Familiar</t>
  </si>
  <si>
    <t>Se realiza validación de servicios asociado a asignación familiar, sin encontrar problemas alertados por personal.</t>
  </si>
  <si>
    <t>Marcela Poblete - IPS</t>
  </si>
  <si>
    <t>Se realiza mantención y acciones post reinicio de motor db concesio</t>
  </si>
  <si>
    <t>Incidente Pisee</t>
  </si>
  <si>
    <t>Se realizan trabajos de analisis por problema en la respuesta de WS asociados a Pisee IPS. Se termina identificando un problema a nivel de comunicación, generado por cambios a nivel de reglas de FW a nivel de proveedor de servicios, el cual, afecto a la comunicación interna de capa aplicativa y DB pisee.</t>
  </si>
  <si>
    <t>Lentitud Core Agil</t>
  </si>
  <si>
    <t>Se validan servicios productivos por problemas generados a causa de sobre carga DB Core IPS</t>
  </si>
  <si>
    <t>R1788 sti - 153234 -  168</t>
  </si>
  <si>
    <t>Se realiza revisión y reinicio de nodo afectado por errores inesperados.</t>
  </si>
  <si>
    <t>paso a producción Aranda 153975  "Causantes Deudor"</t>
  </si>
  <si>
    <t>Validación Cabeceras Seguridad Reforma Concesion</t>
  </si>
  <si>
    <t>Se validan los posibles cambios sobre las cabeceras de seguridad del sitio reforma.inp.cl, debido a vulnerabilidades que alertó ANCI.</t>
  </si>
  <si>
    <t xml:space="preserve">Se realizan variadas pruebas de WS asociados a entidad de registro civil, se reinician servicios </t>
  </si>
  <si>
    <t>Se realiza escalamiento de alance de consumo de TPS sobre los WS asociados a entidad Registro Civil, debido a bloqueo que ésta generó debido al sobreconsumo de éste.</t>
  </si>
  <si>
    <t>paso a producción Aranda 153894 "Exportar consulta de HP en Excel"</t>
  </si>
  <si>
    <t>paso a producción hoy 26 de Agosto 17:00 de Caso No. 154529 / RF-216737-3-154529, error en reconocimientos</t>
  </si>
  <si>
    <t>Paso a producción AR 126950 Reforma Ágil, embudo core</t>
  </si>
  <si>
    <t>Fernando Lopez</t>
  </si>
  <si>
    <t>CAWA Abajo</t>
  </si>
  <si>
    <t>Se realiza levantamiento de agente CAWA legados por servicio inhabilitado, a causa de reinicio de servidor por parte del proveedor sin previo aviso por la entidad.</t>
  </si>
  <si>
    <t>Samuel Lorca - IPS</t>
  </si>
  <si>
    <t>Se realiza transmisión de archivo critico a entidad supen externa por solicitud.</t>
  </si>
  <si>
    <t>Felipe Sanchez - IPS</t>
  </si>
  <si>
    <t>Actividades Cambio de hora</t>
  </si>
  <si>
    <t>Se realizan actividades previas para cambio de horario de fin de semana invierno a verano</t>
  </si>
  <si>
    <t>Actividades por cambio de horario</t>
  </si>
  <si>
    <t>paso a producción hoy 8 de septiembre 17:00 de Caso No. 155951 / RF-219254-3-155951, error en reconocimientos</t>
  </si>
  <si>
    <t>Actividades por mantención DB GensysP</t>
  </si>
  <si>
    <t>Se realizan actividades preventivas y de coordinación por mantención a motor core de GenesysP, el cual, afectará a varios servicios productivos y distintos sistemas</t>
  </si>
  <si>
    <t>Problema espacio servidor core</t>
  </si>
  <si>
    <t>Se realizan acciones para liberación de espacio en servidor nodo productivo core agil 10.157.157.5</t>
  </si>
  <si>
    <t>Priscilla Vargas - CHA</t>
  </si>
  <si>
    <t>Archivo SP Alertado</t>
  </si>
  <si>
    <t>Se envia evidencia para demostrar el envío de archivo hacia entidad SP</t>
  </si>
  <si>
    <t>Incidente Legados Informix</t>
  </si>
  <si>
    <t>Se trabaja en analizar falla y problema con DB informix y aplicativos. Generado por problema de permisos en archivos criticos conocidos.</t>
  </si>
  <si>
    <t>Raul Villarroel - IPS</t>
  </si>
  <si>
    <t>Luego del incidente en servidor legados por db informix. Se debe realizar levantamiento de agente para malla de procesos CAWA en servidor afectado</t>
  </si>
  <si>
    <t>Carlos Jara - NOC Abenis</t>
  </si>
  <si>
    <t>Se realiza validación de problema alertado por Carlos por caida de AF</t>
  </si>
  <si>
    <t>Revisión Servidor Batch Core</t>
  </si>
  <si>
    <t>Se realiza analisis de servidor batch legados por tema de espacio. Se finaliza con la solicitud a personal de soporte a la producción, de liberación de espacio por ser archivos generados por procesos del área correspondiente.</t>
  </si>
  <si>
    <t>Nueva Reforma: Paso a producción emergencia AR 155449 Reforma Ágil</t>
  </si>
  <si>
    <t>Incidentes Pisee</t>
  </si>
  <si>
    <t>Se realizan variadas pruebas por problemas de respuestas WS registro civil. Se descartan problemas de conexión a DB pisee, tambien, de plataforma Pisse IPS, dado que el resto de entidades responde correctamente. Se toma contacto con segpres y personal de registro civil para solicitar apoyo correspondiente.</t>
  </si>
  <si>
    <t>Se confirma por parte de entidad externa, que el problema mantenido en los WS de registro civil, se mantuvieron a causa de fallas internas de la institución.</t>
  </si>
  <si>
    <t>Analisis por modificación directorios ftp</t>
  </si>
  <si>
    <t>Se realiza analisis por problema mantenido en d</t>
  </si>
  <si>
    <t>Se apoya en transmisión de archivo critico por solicitud directa</t>
  </si>
  <si>
    <t>Validación WS Pisee</t>
  </si>
  <si>
    <t>Se realiza una actividad de validación y operación correcta en la respuesta de WS asociado a pisee</t>
  </si>
  <si>
    <t>Error Inesperado CoreAgil</t>
  </si>
  <si>
    <t>Se valida cada nodo de pool de servidores productivos para analizar codigo de error indicado en caso. En ésta ocasión, no existe problema en plataforma alertada.</t>
  </si>
  <si>
    <t>Carlos Jara - Abenis NOC</t>
  </si>
  <si>
    <t>Incidente CoreAgil</t>
  </si>
  <si>
    <t>Se valida caida de servicio producción heracles, generado por eliminación de war correspondiente a sistema core.</t>
  </si>
  <si>
    <t>Se analiza problema de consumo de WS Registro Civil, se levanta caso a segpress, quienes derivan un ticket a entidad externa porque presentan fallas desde SRceI. Se soluciona por parte de entidad durante la tarde.</t>
  </si>
  <si>
    <t>paso a producción Aranda 156975 correcciones en cambios de monto PGU</t>
  </si>
  <si>
    <t>Priscila Valenzuela - CHA</t>
  </si>
  <si>
    <t>Validación de archivos criticos</t>
  </si>
  <si>
    <t>Se realiza validación de archivo critico entre entidades, dado a su gran tamaño presentó problema en transmisión automatica, por lo cual, se prestó apoyo para su realización y validación.</t>
  </si>
  <si>
    <t>Transferencia de archivos criticos BPH entre SRceI e IPS.</t>
  </si>
  <si>
    <t>Problema nasips2</t>
  </si>
  <si>
    <t>Se informa a Cristian de problemas sobre el nasips2 para el deposito de archivos criticos.</t>
  </si>
  <si>
    <t>paso a producción Aranda 153183 "agregar tiempos y/o rentas en BR"</t>
  </si>
  <si>
    <t>Marcela Poblete</t>
  </si>
  <si>
    <t xml:space="preserve">Apoyo transferencia archivo critico </t>
  </si>
  <si>
    <t>Se apoya al área de desarrollo para el envio de archivo critico hacia la SUPEN por proceso en especifico</t>
  </si>
  <si>
    <t>Roberto Cortez</t>
  </si>
  <si>
    <t>Rollback - paso a producción Aranda 153183 "agregar tiempos y/o rentas en BR"</t>
  </si>
  <si>
    <t>Rollback de Paso a producción</t>
  </si>
  <si>
    <t>Jorge Echeñique</t>
  </si>
  <si>
    <t>Convenio con AFC</t>
  </si>
  <si>
    <t>Se revisa en conjunto solicitud de pruebas para transmisión de archivo entre entidades criticas, como medida preventiva debido a cambios de granja tecnologica de entidad externa.</t>
  </si>
  <si>
    <t>Juan Carlos Miranda - IPS</t>
  </si>
  <si>
    <t>Apoyo problema cuentas SFTP</t>
  </si>
  <si>
    <t>Se realiza apoyo en validación y pruebas de acceso/permisos de cuentas entre entidades gestionadas por el área de negocio de santo domingo.</t>
  </si>
  <si>
    <t>Problema DB Informix Legados</t>
  </si>
  <si>
    <t>Se realizan actividades por procedimiento de reinicio de motor DB informix legados.</t>
  </si>
  <si>
    <t>Jose Miguel Ruiz</t>
  </si>
  <si>
    <t>Validación Avbmenu por bajada de servicio</t>
  </si>
  <si>
    <t>Se realiza levantamiento de información respectiva a horario de servicio avbmenu post 18 horas, dado a reclamo de personal interno</t>
  </si>
  <si>
    <t>Ricardo Briones - IPS</t>
  </si>
  <si>
    <t>Se realiza envio de archivo critico directamente hacia casilla hacianesp a servicio Supen Externo</t>
  </si>
  <si>
    <t>Validación de actividad automatica de envio archivos criticos a SP casila HACIANSP</t>
  </si>
  <si>
    <t>Reinicio nodos reforma</t>
  </si>
  <si>
    <t>Se realiza reinicio controlado de nodos indicados por soporte</t>
  </si>
  <si>
    <t>Incidente Asignación Familiar</t>
  </si>
  <si>
    <t>Se deben realizar acciones respectivas en aplicativo de asignación familiar a causa de reinicnio db GensesysP</t>
  </si>
  <si>
    <t>MAFIPS</t>
  </si>
  <si>
    <t>Incidente Core Agil lentitud</t>
  </si>
  <si>
    <t>Se validan nodos de core por alerta generada por cliente santo domingo, finalmente solo utilizaban un nodo pudiendo sobrecargar momentaneamente el nodo utilizado.</t>
  </si>
  <si>
    <t>Juan Pablo Buzeta - IPS Abenis</t>
  </si>
  <si>
    <t>Se deben realizar acciones respectivas en aplicativo de asignación familiar a causa de alerta de sistema</t>
  </si>
  <si>
    <t xml:space="preserve">Paso a producción PTR Recaudación Arandas 140802 y 142263 </t>
  </si>
  <si>
    <t>Andres Soto - IPS</t>
  </si>
  <si>
    <t>Información Certificado Firma Digital con Registro Civil</t>
  </si>
  <si>
    <t>Se realiza entrega de información respecto a certificados de firma digital con entidad registro civil</t>
  </si>
  <si>
    <t>Espacio servidor Core</t>
  </si>
  <si>
    <t>Se realiza validación de espacio en servidor core alertado por mafips</t>
  </si>
  <si>
    <t>paso a producción "ingreso de abonos y seguimiento deuda Corp. Municipal de Valparaíso"</t>
  </si>
  <si>
    <t xml:space="preserve">Incidente Core Agil </t>
  </si>
  <si>
    <t>Se analizan nodos por caidas constantes informadas por clientes de sistema</t>
  </si>
  <si>
    <t>Rollback Paso a producción</t>
  </si>
  <si>
    <t>Ricardo Orellana - IPS</t>
  </si>
  <si>
    <t>Reinicio maquina FTP Core por Kernel Panic</t>
  </si>
  <si>
    <t>Se trabaja en realizar levantamiento de servicios post reinicio de maquina reiniciada a causa de kernle panic.</t>
  </si>
  <si>
    <t>Karen Lobos - IPS</t>
  </si>
  <si>
    <t>Archivos dipreca</t>
  </si>
  <si>
    <t>Se aclara información respecto a entrega de documentación de DIPRECA e IPS con personal de negocio</t>
  </si>
  <si>
    <t>Claudia Valadevenido - MAFIPS</t>
  </si>
  <si>
    <t>Servicios Lotes y Pendientes Core</t>
  </si>
  <si>
    <t>Se realiza un arduo trabajo en conjunto con personal de soporte a la producción por problemas presentados en la ejecución de procesos en servicios de Lotes y Pendientes de sistema Core Agil.</t>
  </si>
  <si>
    <t>WARNING</t>
  </si>
  <si>
    <t>Reinicio servicios web</t>
  </si>
  <si>
    <t>Se realiza reinicio de servicios de aplicación en nodo 5 coreagil</t>
  </si>
  <si>
    <t>Rodrigo Badilla - IPS</t>
  </si>
  <si>
    <t>Apoyo en transmisión de archivos de casilla no nombrada a SUPEN Externa</t>
  </si>
  <si>
    <t>Problemas Pisee</t>
  </si>
  <si>
    <t>Se trabaja en analizar causa de falla, se solicita apoyo a segpress, quienes solicitan mayor atecedente a registro civil. Finalmente habia sido generado por bloqueo por parte de la entidad externa.</t>
  </si>
  <si>
    <t>Gonzalo Sepulveda</t>
  </si>
  <si>
    <t>Extensión anual cuentas portal pago</t>
  </si>
  <si>
    <t xml:space="preserve">Se realiza extensión anual de cuentas de portal pago </t>
  </si>
  <si>
    <t>Paso a Producción Aranda 159239 - Nuevos formatos Resoluciones Oficio PGU</t>
  </si>
  <si>
    <t>Paso a producción modalidad emergencia - Mantenedor HP (ARANDA 159830)</t>
  </si>
  <si>
    <t>Rollback Paso a Producción</t>
  </si>
  <si>
    <t>Cristopher Aguila - IPS</t>
  </si>
  <si>
    <t>Nodo 4 Reforma caido</t>
  </si>
  <si>
    <t>Se realiza reinicio de servicios de aplicación en nodo 4 de reforma agil, solicitado por soporte a la producción especializado en sistema reforma</t>
  </si>
  <si>
    <t>Trabajos DB Concesio</t>
  </si>
  <si>
    <t>Se realizan trabajos de apoyo por actividad en motor DB concesio</t>
  </si>
  <si>
    <t>Transferencia de archivos criticos Acreditación de Fallecidos</t>
  </si>
  <si>
    <t>Trabajos DB Informix</t>
  </si>
  <si>
    <t>Se realizan trabajos de apoyo por actividad en motor DB informix</t>
  </si>
  <si>
    <t>Nicolas Garrao - IPS</t>
  </si>
  <si>
    <t>Apoyo en envio de archivos criticos en casilla no nombrada haciansp</t>
  </si>
  <si>
    <t>POC Core Agil</t>
  </si>
  <si>
    <t>Se apoya en trabajos de preparación de ambientes y servidores para POC de Core Agil en AWS</t>
  </si>
  <si>
    <t>Carlos Puebla - IPS</t>
  </si>
  <si>
    <t>Fernando Toledo - IPS</t>
  </si>
  <si>
    <t>Paris Quintanilla - IPS</t>
  </si>
  <si>
    <t>Melinka Chacon - iPS</t>
  </si>
  <si>
    <t>Cuenta SFTP servidores ftpips</t>
  </si>
  <si>
    <t>Se realiza extensión de periodo anual de cuenta de acuerdo a formulario adjunto</t>
  </si>
  <si>
    <t>Gloria Verdugo - IPS</t>
  </si>
  <si>
    <t>Ivonne Toledo - IPS</t>
  </si>
  <si>
    <t>Alerta por incidencia a nivel comunicación IPS</t>
  </si>
  <si>
    <t>Se realizan labores de validación post problema de comunicación interna en red IPS</t>
  </si>
  <si>
    <t>Se realiza la gestión para la bajada de servicio en horario excepcional, dado el adelanto del respaldo de motor DB informix a causa de calendarización de proceso CDP.</t>
  </si>
  <si>
    <t>Se realiza el reinicio de servicios web de nodos productivos core y uno reforma, al quedar tomado procesos a nivel del DB a causa de una carga realizada.</t>
  </si>
  <si>
    <t> </t>
  </si>
  <si>
    <t>Usuario FTP IPS</t>
  </si>
  <si>
    <t>Se realiza extensión de periodo anual de cuenta para transmisión supen</t>
  </si>
  <si>
    <t>Sebastian Moya - IPS</t>
  </si>
  <si>
    <t>Revisión server 10.150.150.123</t>
  </si>
  <si>
    <t>Se realiza apoyo en analizay sistema y servidor, para lograr levantar un servicio sin control dejado entre CHA e IPS</t>
  </si>
  <si>
    <t>Nicolas Galarce - IPS</t>
  </si>
  <si>
    <t>Revisión de AF</t>
  </si>
  <si>
    <t>Se realizan pruebas y validaciones por error indicado por personal de negocio</t>
  </si>
  <si>
    <t>Alerta sitio login reforma concesión</t>
  </si>
  <si>
    <t>Se realizan las validaciones correspondientes por alerta recibida</t>
  </si>
  <si>
    <t>Jandi Vansquez - IPS</t>
  </si>
  <si>
    <t>Reinicio de servicio tomcat de servidor 10.157.157.5 de core agil, por solicitud de personal de soporte a la producción.</t>
  </si>
  <si>
    <t>Paso a producción "Error al intentar generar cupón de deuda"</t>
  </si>
  <si>
    <t>Reinicio de servicio tomcat de servidor 10.157.157.2 de reforma agil, por solicitud de personal de soporte a la producción.</t>
  </si>
  <si>
    <t>Cambio legados por cdp</t>
  </si>
  <si>
    <t>Se realizan cambios en crond por proceso CDP</t>
  </si>
  <si>
    <t>Configuración legados por cdp</t>
  </si>
  <si>
    <t>Se realizan cambios en crond por vuelta de horario habitual post proceso CDP</t>
  </si>
  <si>
    <t>POC Legados</t>
  </si>
  <si>
    <t>Se realiza analisis y busqueda de archivos modificables para realizar el cambio de motor de DB informix en ambiente de desarrollo por POC de nueva versión de motor.</t>
  </si>
  <si>
    <t>Cambio configuración acceso inpreca</t>
  </si>
  <si>
    <t>Se realiza cambios de permisos para acceder a ruta solicitada por especialista en usuario de sistema inpreca</t>
  </si>
  <si>
    <t>Samuel Lorca y Ricardo Orellana - IPS</t>
  </si>
  <si>
    <t>Validar lentitud de coreagil</t>
  </si>
  <si>
    <t>Se realiza validación de sistema coreagil por lentitud reportada, la cual, fue generada por FS con poco espacio, el cual, generó problemas en nuevos procesos en sistema core agil</t>
  </si>
  <si>
    <t>Problema cuenta afp habitat</t>
  </si>
  <si>
    <t>Se realiza extensión de periodo anual de cuenta empresa externa habitat</t>
  </si>
  <si>
    <t>Lentitud Core</t>
  </si>
  <si>
    <t>Se analizan alertas de lentitud en coreagil y se trabaja en conjunto con personal de soporte core.</t>
  </si>
  <si>
    <t>Espacio Servidor Batch Core</t>
  </si>
  <si>
    <t>Se realiza validación y revisión de FS alertado por procesos de core, se deriva con especialistas que puedan apoyar con dicho espacio.</t>
  </si>
  <si>
    <t>Se valida el funcionamiento de core con soporte, y sigue operando correctamente. Se valida que alerta no es factible.</t>
  </si>
  <si>
    <t>Se realizan trabajos en conjunto con personal de desarrollo, para validar avances de como pueden mantener el espacio critico del servidor de procesos del servicio core IPS coreagil, actividad, que debe ser llevada por personal de soporte con el negocio.</t>
  </si>
  <si>
    <t>Pablo Salazar</t>
  </si>
  <si>
    <t xml:space="preserve">10.150.234.185 ayuda con accesos </t>
  </si>
  <si>
    <t>Area de segurida informatica</t>
  </si>
  <si>
    <t>hallazgo Primeface y java</t>
  </si>
  <si>
    <t>Oscar Luis Mora Araya</t>
  </si>
  <si>
    <t>OHSProd01.ips.gob.cl revision</t>
  </si>
  <si>
    <t>Iann Isaias Sandoval Gonzalez</t>
  </si>
  <si>
    <t>Aranda 14562, accesos a servidores</t>
  </si>
  <si>
    <t xml:space="preserve">Francis Ostos </t>
  </si>
  <si>
    <t>acceosos a RelojVirtual y srv-relojcontrol</t>
  </si>
  <si>
    <t>Paola Lillo</t>
  </si>
  <si>
    <t xml:space="preserve">cuenta de alejandro Ipinza en los linux </t>
  </si>
  <si>
    <t>cuenta de alejandro Ipinza en los linux</t>
  </si>
  <si>
    <t xml:space="preserve">apoyo con envio de startNodeManager.sh  </t>
  </si>
  <si>
    <t>Cesar Gonzalez</t>
  </si>
  <si>
    <t>Extencion de de /sybace/SMA en az-solmanprd</t>
  </si>
  <si>
    <t xml:space="preserve">apoyo con boot scrpt de inicio </t>
  </si>
  <si>
    <t>Jesus Antonio Chavez Bastias</t>
  </si>
  <si>
    <t xml:space="preserve">Aranda 14713 </t>
  </si>
  <si>
    <t>Aranda 14714</t>
  </si>
  <si>
    <t>Area de Mythware</t>
  </si>
  <si>
    <t xml:space="preserve"> ayuda con instalacion y pruebas wget en server 10.200.150.106</t>
  </si>
  <si>
    <t>apoyo de ping, telnet, wget afper-uat-osb</t>
  </si>
  <si>
    <t>Area de Seguridad</t>
  </si>
  <si>
    <t xml:space="preserve">ticket 14713 Seguridad. </t>
  </si>
  <si>
    <t>ticket 14713</t>
  </si>
  <si>
    <t xml:space="preserve">ticket 14713-ticket 14813 </t>
  </si>
  <si>
    <t>ticket 14813 / ticket 14873</t>
  </si>
  <si>
    <t xml:space="preserve">ticket 14813 / ticket 14873 </t>
  </si>
  <si>
    <t xml:space="preserve">ticket 14813 / ticket 14873 analicis de alerta de seguridad ssh </t>
  </si>
  <si>
    <t xml:space="preserve">compatibilidad de maquinas relacionadas a ticket 14813 / ticket 14873 analicis de alerta de seguridad ssh </t>
  </si>
  <si>
    <t>compatibilidad de maquinas relacionadas a ticket 14813 </t>
  </si>
  <si>
    <t>compatibilidad de maquinas relacionadas a ticket 14813 /creacion de cuentas aranda 14959</t>
  </si>
  <si>
    <t>compatibilidad de maquinas relacionadas a ticket 14813 /aranda 14895 /creacion de cuentas aranda 14959</t>
  </si>
  <si>
    <t>aranda 14895/creacion de cuentas aranda 14959</t>
  </si>
  <si>
    <t>busqueda de errores relacionado al ticket 14813 /creacion de cuentas aranda 14959/ aranda 14895/</t>
  </si>
  <si>
    <t>busqueda de errores relacionado al ticket 14813 </t>
  </si>
  <si>
    <t>busqueda de errores relacionado al ticket 14813  aranda 14895/</t>
  </si>
  <si>
    <t xml:space="preserve">busqueda de errores relacionado al ticket 14813  /ticket 14873 analicis de alerta de seguridad ssh </t>
  </si>
  <si>
    <t xml:space="preserve">busqueda de errores relacionado al ticket 14813 / ticket 14873 analicis de alerta de seguridad ssh </t>
  </si>
  <si>
    <t xml:space="preserve">busqueda de errores relacionado al ticket 14813 /ticket 14873 analicis de alerta de seguridad ssh </t>
  </si>
  <si>
    <t>apoyo de servicio de antivirus en la máquina 10.150.226.211/apoyo accesos server 10.150.226.96</t>
  </si>
  <si>
    <t xml:space="preserve">Instalacion de trellix a maquina debian </t>
  </si>
  <si>
    <t>Instalacion de trellix a maquina debian /apoyo salida de internet mauqina QA y desarrollo</t>
  </si>
  <si>
    <t>Instalacion de trellix a maquina debian /extencion de volumen 10.200.2.253</t>
  </si>
  <si>
    <t>aranda</t>
  </si>
  <si>
    <t>Ticket # 15048</t>
  </si>
  <si>
    <t xml:space="preserve">Gonzalo Edgardo Rodriguez Zambrano
</t>
  </si>
  <si>
    <t>apoyo salida de internet mauqina QA y desarrollo/aranda 15048</t>
  </si>
  <si>
    <t xml:space="preserve">revicion maquinas QA salida internet </t>
  </si>
  <si>
    <t>area de Mitheware</t>
  </si>
  <si>
    <t>apoyo modificacion de conf en 10.150.232.20  /revicion de puertos</t>
  </si>
  <si>
    <t xml:space="preserve">apoyo modificacion de conf en 10.150.232.20  </t>
  </si>
  <si>
    <t xml:space="preserve">config de history en server </t>
  </si>
  <si>
    <t xml:space="preserve"> Monitoreo NOC</t>
  </si>
  <si>
    <t>revicion de puerto AWS</t>
  </si>
  <si>
    <t>trabajos history en maquinas AWS</t>
  </si>
  <si>
    <t>trabajos history en maquinas AWS /apoyo accesos 10.150.226.96</t>
  </si>
  <si>
    <t>Paola Lillo /Area de Seguridad</t>
  </si>
  <si>
    <t>Instacion DAM  / cuentas middleware /history maquinas AWS</t>
  </si>
  <si>
    <t>Instacion DAM / cuentas middleware /history maquinas AWS</t>
  </si>
  <si>
    <t>Instacion DAM  / cuentas middleware</t>
  </si>
  <si>
    <t>history maquinas AWS /Instacion DAM</t>
  </si>
  <si>
    <t>apoyo cuentas 10.150.226.212 middleware</t>
  </si>
  <si>
    <t>revición maquina 10.150.180.63 /var/www</t>
  </si>
  <si>
    <t xml:space="preserve">llaves de accesos </t>
  </si>
  <si>
    <t>mesa de ayuda</t>
  </si>
  <si>
    <t>aranda 15496</t>
  </si>
  <si>
    <t>aranda 15496 /15370</t>
  </si>
  <si>
    <t>Paola Lillo /aranda</t>
  </si>
  <si>
    <t>10.150.180.19 cuentas Gerardo Enrique</t>
  </si>
  <si>
    <t>aranda 15559</t>
  </si>
  <si>
    <t>Instacion DAM</t>
  </si>
  <si>
    <t>Instacion DAM /acceso a estos servidores en AWS a los DBA's </t>
  </si>
  <si>
    <t xml:space="preserve">acceso a estos servidores en AWS a los DBA's / Wlsqa1 y wlsqa2 apoyo </t>
  </si>
  <si>
    <t>acceso a estos servidores en AWS a los DBA's </t>
  </si>
  <si>
    <t>acceso a estos servidores en AWS a los DBA's  / aranda 15621 / liberacion de espacio 10.88.0.13</t>
  </si>
  <si>
    <t>Paola Lillo / mesa de ayuda</t>
  </si>
  <si>
    <t xml:space="preserve"> aranda 15621/ apoyo AZJENKINS - 10.88.0.65, liberacionde espacio y reconfig de UTC</t>
  </si>
  <si>
    <t xml:space="preserve"> aranda 15621 / maquina 10.150.180.45 volumen 100%</t>
  </si>
  <si>
    <t>lineracion de espacio server AWS - OSBProd01</t>
  </si>
  <si>
    <t>cuenta (Gonzalo Aro) / Liberacion de espacio 10.88.1.113</t>
  </si>
  <si>
    <t>cuenta (Gonzalo Aro) / Instacion DAM</t>
  </si>
  <si>
    <t>alarma de disco en el servidor 10.88.1.133 / AZSRVSQLent-No2</t>
  </si>
  <si>
    <t>AZSRVSQLent-No2</t>
  </si>
  <si>
    <t>problemas conexion ssh 10.88.6.6</t>
  </si>
  <si>
    <t>aranda 15695</t>
  </si>
  <si>
    <t>Instalacion DAM.</t>
  </si>
  <si>
    <t>apoyo SOLMAN IPS (10.88.0.58)</t>
  </si>
  <si>
    <t>jose luis hernandez /Area de Seguridad</t>
  </si>
  <si>
    <t>apoyo 10.150.150.125 / apoyo eventos relacionados al host az-intdevops</t>
  </si>
  <si>
    <t>Area de Seguridad/ Infraestructura</t>
  </si>
  <si>
    <t>aranda 14813/ apoyo eventos relacionados al host az-intdevops/apoyo Red de producción Azure a Firewall PAN</t>
  </si>
  <si>
    <t>/area de Mitheware</t>
  </si>
  <si>
    <t>/ usuarios usuario de administración</t>
  </si>
  <si>
    <t>apoyo de usuarios e ingresos a server 10.88.0.81 / instalacion agente dam</t>
  </si>
  <si>
    <t>apoyo de usuarios e ingresos a server 10.88.0.81</t>
  </si>
  <si>
    <t>Area de Seguridad / Paola Lillo</t>
  </si>
  <si>
    <t>apoyo de usuarios e ingresos a server 10.88.0.81 / servidor 10.150.233.67 crear llaves para Jesus Chavez y Jeremy Leiva</t>
  </si>
  <si>
    <t>servidor 10.150.233.67 crear llaves para Jesus Chavez y Jeremy Leiva</t>
  </si>
  <si>
    <t xml:space="preserve"> usuarios usuario de administración</t>
  </si>
  <si>
    <t>Paola Lillo /area de Mitheware</t>
  </si>
  <si>
    <t>Apoyo Jose Abarca por accesos a IP 10.87.5.5 / usuarios usuario de administración</t>
  </si>
  <si>
    <t>Paola Lillo /infraestructura /Area de Seguridad</t>
  </si>
  <si>
    <t>Servidor SAP puertos de BD / Apoyo Jose Abarca por accesos a IP 10.87.5.5 / revición de cryptografía en sybase 10.88.0.58 / apoyo cambio de hora AWS DBA's</t>
  </si>
  <si>
    <t xml:space="preserve">Cambio de Hora. </t>
  </si>
  <si>
    <t>Servidor SAP puertos de BD</t>
  </si>
  <si>
    <t>Servidor SAP puertos de BD / extencion de volumen IP: 10.150.233.67 / revición de cryptografía en sybase 10.88.0.58</t>
  </si>
  <si>
    <t xml:space="preserve">Paola Lillo /mesa de ayuda / </t>
  </si>
  <si>
    <t>Servidor SAP puertos de BD / 10.88.6.8 cambio de hora / revición de cryptografía en sybase 10.88.0.58</t>
  </si>
  <si>
    <t xml:space="preserve">Apoyo maquinas mitheware </t>
  </si>
  <si>
    <t>area de Mitheware /Paola Lillo</t>
  </si>
  <si>
    <t>Apoyo maquinas mitheware / l espacio del disco, la Sonda AWS 2 (10.150.233.67)</t>
  </si>
  <si>
    <t>revición de cryptografía en sybase 10.88.0.58</t>
  </si>
  <si>
    <t>Area Cloud</t>
  </si>
  <si>
    <t>apoyo server 10.88.6.6</t>
  </si>
  <si>
    <t>Paola Lillo /</t>
  </si>
  <si>
    <t xml:space="preserve">Servidor SAP puertos de BD </t>
  </si>
  <si>
    <t>problemas  de autenticacion </t>
  </si>
  <si>
    <t>servidor 10.150.236.96</t>
  </si>
  <si>
    <t>Servidor SAP puertos de BD /evición de cryptografía en sybase 10.88.0.58</t>
  </si>
  <si>
    <t>extencio 10.150.233.67</t>
  </si>
  <si>
    <t>sap</t>
  </si>
  <si>
    <t>aranda 16270</t>
  </si>
  <si>
    <t>aranda 16204</t>
  </si>
  <si>
    <t xml:space="preserve">aranda  16482 </t>
  </si>
  <si>
    <t>apoyo ssh ssh wlsprod03.ips.gob.cl</t>
  </si>
  <si>
    <t>infraestructura</t>
  </si>
  <si>
    <t xml:space="preserve">apoyo server ssh ScotiaBank 10.150.227.104 / 10.150.234.115 / 10.150.234.250 / 10.150.220.11 / 10.150.226.40 / 10.150.234.115 / 10.150.236.96 / 10.150.232.20 / 10.150.234.109 / 10.150.234.115 / 10.150.234.213 / 10.150.234.250 / 10.150.235.88 / 10.150.235.145
</t>
  </si>
  <si>
    <t>Extencion de discos en server 10.88.4.14 y 10.88.5.137</t>
  </si>
  <si>
    <t>suscripción de redhat de aws</t>
  </si>
  <si>
    <t>-suscripción de redhat de aws
-Extencion de discos  10.88.1.133</t>
  </si>
  <si>
    <t xml:space="preserve">Gestion de cuentas server </t>
  </si>
  <si>
    <t>Extencion de discos  10.88.2.16</t>
  </si>
  <si>
    <t>aranda 16433</t>
  </si>
  <si>
    <t>Cristian Rodrigo Vasquez Lucic</t>
  </si>
  <si>
    <t>análisis de colapso de memoria ram /aranda 16482</t>
  </si>
  <si>
    <t>análisis de colapso de memoria ram</t>
  </si>
  <si>
    <t>Erwin Eduardo Huaiquin Vasquez</t>
  </si>
  <si>
    <t>aranda 15621/ apoyo accesosos a server</t>
  </si>
  <si>
    <t>Arandas Salman /agente dam</t>
  </si>
  <si>
    <r>
      <rPr>
        <sz val="12"/>
        <color rgb="FF000000"/>
        <rFont val="Calibri"/>
        <family val="2"/>
        <scheme val="minor"/>
      </rPr>
      <t>aranda 16622  "cannot connect to 10.150.234.95:1521/PPSIT, cannot connect to 10.150.234.95:1521/PRYSIT"</t>
    </r>
  </si>
  <si>
    <t>Problemas de espacio en "Disk Free: /"  10.250.280.63</t>
  </si>
  <si>
    <t>Jorge Antonio Echenique Gutierrez</t>
  </si>
  <si>
    <t>apoyoy maqiuna 10.88.0.84</t>
  </si>
  <si>
    <t>apoyo centas  AZSSO1-DEV.ips.gob.cl y  AZSSO1-PRD.ips.gob.cl</t>
  </si>
  <si>
    <t>Apoyo cuneta ilazos.srv</t>
  </si>
  <si>
    <t>apoyo  cunata samba alexander.rivera</t>
  </si>
  <si>
    <t>ipv6 en el SOLMAN</t>
  </si>
  <si>
    <t xml:space="preserve">Gonzalo Edgardo Rodriguez </t>
  </si>
  <si>
    <t xml:space="preserve">cunata server aws Claudio Gajardo Garrido
cunetas aws expiro </t>
  </si>
  <si>
    <t>cunata server aws Claudio Gajardo Garrido</t>
  </si>
  <si>
    <t>cuanta expirada en 10.88.2.16</t>
  </si>
  <si>
    <t>apoyo cuentra oracle ene proosb02.ips.gob.cl</t>
  </si>
  <si>
    <t>revicion de cuentas con llave aws</t>
  </si>
  <si>
    <t>Patricio Valdivieso</t>
  </si>
  <si>
    <t>Equipo de Monitoreo</t>
  </si>
  <si>
    <t>espacio en  / server 10.150.220,.45  de BD</t>
  </si>
  <si>
    <t>revicion de alerta 10.150.220,.45</t>
  </si>
  <si>
    <t xml:space="preserve">mesa de ayuda </t>
  </si>
  <si>
    <t>revicion maquina 10.150.150.104 / accesos a server smb</t>
  </si>
  <si>
    <t>trabajos repositorios 10.110.0.136</t>
  </si>
  <si>
    <t>aranda 17006 / aranda 17008</t>
  </si>
  <si>
    <t xml:space="preserve">apoyo accesos </t>
  </si>
  <si>
    <t>aranda 16901</t>
  </si>
  <si>
    <t>apoyo logs var/opt/microsoft/omsconfig/omsconfigdetailed.log</t>
  </si>
  <si>
    <t>trabajos en sever smb</t>
  </si>
  <si>
    <t>expacion de Filesystem</t>
  </si>
  <si>
    <t>area sap</t>
  </si>
  <si>
    <t>revision sap redes</t>
  </si>
  <si>
    <t>revicion carpera /paso-potencialesderecho servidor 10.150.220.145</t>
  </si>
  <si>
    <t>revicion carpera /paso-potencialesderecho servidor 10.150.220.146</t>
  </si>
  <si>
    <t>Instalacion de Deep security en servers</t>
  </si>
  <si>
    <t>Instalacion de Deep security en servers / revision sap redes</t>
  </si>
  <si>
    <t>vpn sap</t>
  </si>
  <si>
    <t>espacio en server pirihuico</t>
  </si>
  <si>
    <t>vacaciones</t>
  </si>
  <si>
    <t>-ALERTAS DE DISCO servidor AWS 
-Asistencia alerta espacio en disco servidor AWS - Wlsprod03 IP 10.200.2.253</t>
  </si>
  <si>
    <t>-alertas AZS4HANAPRD01 IP 10.88.1.135</t>
  </si>
  <si>
    <t>-alertas AZS4HANAPRD01 IP 10.88.1.136</t>
  </si>
  <si>
    <t>mesa de ayuda /infraestructura</t>
  </si>
  <si>
    <t>-aranda 17330
-agente en unas maquinas de AWS</t>
  </si>
  <si>
    <t xml:space="preserve"> trabajos aws key fjilbertof</t>
  </si>
  <si>
    <t>capacidad de discos server aws
ipv6 en el SOLMAN</t>
  </si>
  <si>
    <t>capacidad de discos server aws</t>
  </si>
  <si>
    <t xml:space="preserve">key maquinas aws </t>
  </si>
  <si>
    <t>key maquinas aws / trabajos en planilla de maquinas virtules</t>
  </si>
  <si>
    <t>trabajos en planilla de maquinas virtules</t>
  </si>
  <si>
    <t>Gonzalo Rodriguez</t>
  </si>
  <si>
    <t>Migración a Discos Administrados MV Azure</t>
  </si>
  <si>
    <t>Realizar migracion de discos administrado en MV apagadas (Robot)</t>
  </si>
  <si>
    <t>Documentación de vpn Azure y AWS</t>
  </si>
  <si>
    <t>Generar documentación entre las vpn de Azure y AWS</t>
  </si>
  <si>
    <t>Documentación de Firewall Palo Alto</t>
  </si>
  <si>
    <t>Generar documentación de FW Palo Alto Azure</t>
  </si>
  <si>
    <t>Pamela Nogues</t>
  </si>
  <si>
    <t>Redireccion de tráfico hacia internet por Firewall Palo Alto Azure</t>
  </si>
  <si>
    <t>Configuración de FW y creación de las tablas de rutas para subredes de Desarrollo</t>
  </si>
  <si>
    <t>Ricardo Briones</t>
  </si>
  <si>
    <t>Ticket 14376 - Permisos App Service</t>
  </si>
  <si>
    <t>Se otorgan permisos Website Contributor a usuario Christian Fuentes para apps Hpfront-prd y Hpback-prd</t>
  </si>
  <si>
    <t>Ticket 14386 - Apagado Maquinas Virtuales AWS</t>
  </si>
  <si>
    <t>Se deshabilita apaga automatico instancias PDP UAT</t>
  </si>
  <si>
    <t>Ticket 14399 - Apagado Maquinas Virtuales AWS</t>
  </si>
  <si>
    <t>Levantamiento MV produccion Azure</t>
  </si>
  <si>
    <t>Se entrega detalle de todas las MV de producción</t>
  </si>
  <si>
    <t>Ticket 14456 - Apagado Maquinas Virtuales AWS</t>
  </si>
  <si>
    <t>Levantamiento Subnets produccion Azure</t>
  </si>
  <si>
    <t>Se entrega detalle de todas las Subnets de producción</t>
  </si>
  <si>
    <t>Daniel Zamora + TIVIT</t>
  </si>
  <si>
    <t>Azure Devops</t>
  </si>
  <si>
    <t>Se crea nueva suscripcion en cuenta IPS-CHILE-AE e implementación de herramienta Azure Devops</t>
  </si>
  <si>
    <t>Se sube documentacion a Sharepoint de las VPN S2S entre nubes Azure y AWS</t>
  </si>
  <si>
    <t>Implementacion Firewall PAN</t>
  </si>
  <si>
    <t>Creacion de Tablas de rutas para subredes de Producción</t>
  </si>
  <si>
    <t>Ricardo Orellana</t>
  </si>
  <si>
    <t>Recuperación de Tablas DB Azure</t>
  </si>
  <si>
    <t>Se entrega información y analisis de costos para recuperación de tablas de BD Productiva Azure</t>
  </si>
  <si>
    <t>Daniel Zamora</t>
  </si>
  <si>
    <t>Reunion con Chile Atiende sobre experiencia e Implementacion de Azure Devops</t>
  </si>
  <si>
    <t>17/04/2025 </t>
  </si>
  <si>
    <t>Gonzalo Sepúlveda</t>
  </si>
  <si>
    <t>Deshablitar autoapagado</t>
  </si>
  <si>
    <t>no realizar el apagado de las máquinas de PDP del ambiente SIT</t>
  </si>
  <si>
    <t>21/04/2025 </t>
  </si>
  <si>
    <t> no realizar el apagado del ambiente de DEV de PDP</t>
  </si>
  <si>
    <t>22/04/2025 </t>
  </si>
  <si>
    <t>Carlos Leins</t>
  </si>
  <si>
    <t>Firewall PAN</t>
  </si>
  <si>
    <t>Preparacion para integracion de firewall PAN en ambiente productivo</t>
  </si>
  <si>
    <t>23/04/2025 </t>
  </si>
  <si>
    <t>deshabilitación del apagado de la máquina de SIT del ambiente de PDP</t>
  </si>
  <si>
    <t>24/04/2025 </t>
  </si>
  <si>
    <t>Jorge Echenique</t>
  </si>
  <si>
    <t>Revsion app service</t>
  </si>
  <si>
    <t>revisión de appservices tramites digitales ambiente QA para validar funcionamiento de servicios instalados.</t>
  </si>
  <si>
    <t>Sergio Santibañez</t>
  </si>
  <si>
    <t>Encendido de MV</t>
  </si>
  <si>
    <t>Se solicita subir maquinas UAT de AFPER uat-afper-consulta.ips.gob.cl, uat-afper-consulta-2.ips.gob.cl, uat-afper-reclamo.ips.gob.cl</t>
  </si>
  <si>
    <t>Patricio Pizarro</t>
  </si>
  <si>
    <t>Gabriel Nunez </t>
  </si>
  <si>
    <t>mantener encendidos ambientes sit y dev del portal de pago</t>
  </si>
  <si>
    <t>Configuración Palo Alto  Firewall PAN HA</t>
  </si>
  <si>
    <t>Definiciones</t>
  </si>
  <si>
    <t>Team AWS</t>
  </si>
  <si>
    <t>AWS Landing Zone Fase 2</t>
  </si>
  <si>
    <t>Inicio Fase II, parte 1</t>
  </si>
  <si>
    <t>Inicio Fase II, parte 2</t>
  </si>
  <si>
    <t>Apagado Automático EC2</t>
  </si>
  <si>
    <t>Deshabilitar Apagado automático Ambiente SIT Portal de Pago</t>
  </si>
  <si>
    <t>Avances de configuración</t>
  </si>
  <si>
    <t>Sesion de Levantamiento</t>
  </si>
  <si>
    <t>Carlos Villanueva</t>
  </si>
  <si>
    <t>Revision App service Azure</t>
  </si>
  <si>
    <t>Troubleshooting app service cnormativo-be</t>
  </si>
  <si>
    <t>Luz Rivera</t>
  </si>
  <si>
    <t>Revision performance app service</t>
  </si>
  <si>
    <t>Reinicio y escalamiento horizontal de plan ASEWIN02 para proceso en sdm-back</t>
  </si>
  <si>
    <t>Configuración Palo Alto  Firewall PAN</t>
  </si>
  <si>
    <t xml:space="preserve">Implementación de segunda vmseries para alta disponibilidad </t>
  </si>
  <si>
    <t>Jorgue echeñique</t>
  </si>
  <si>
    <t>Apoyo despliegue app service</t>
  </si>
  <si>
    <t>Se requiero actualizar .war en app service tramites digitales</t>
  </si>
  <si>
    <t>Infraestructura</t>
  </si>
  <si>
    <t>Naming / Tagging</t>
  </si>
  <si>
    <t>Networking</t>
  </si>
  <si>
    <t>Implementacion Azure Devops</t>
  </si>
  <si>
    <t>Usuario y configuración Azure Devops</t>
  </si>
  <si>
    <t>Revisión de control de Control Tower</t>
  </si>
  <si>
    <t>Definicion de servicios de seguridad</t>
  </si>
  <si>
    <t>Deshabilitar Apagado automático Ambiente DEV Portal de Pago</t>
  </si>
  <si>
    <t>Revision sprint 1 y planeamiento de sprint 2</t>
  </si>
  <si>
    <t>Implementacion de HA</t>
  </si>
  <si>
    <t>Definicion de politicas de backup y etiquetado</t>
  </si>
  <si>
    <t>Definicion de repositorios a utlizar (Gitlab)</t>
  </si>
  <si>
    <t>Definiciones de Accesos a AWS (IAM Identity Center)</t>
  </si>
  <si>
    <t>Felipe Tapia</t>
  </si>
  <si>
    <t>Revsion de Tráfico AWS</t>
  </si>
  <si>
    <t>Revision de ip de orgen y destino</t>
  </si>
  <si>
    <t>Despliegue inicial Control Tower + Landing Zone Acelerator</t>
  </si>
  <si>
    <t>Revision de Cargas de Trabajo</t>
  </si>
  <si>
    <t>Revision de Frameworks Cloud Security</t>
  </si>
  <si>
    <t>Revision de Normativas de Seguridad</t>
  </si>
  <si>
    <t>Integrar IDP con Identity Center</t>
  </si>
  <si>
    <t>Claudia Contreras</t>
  </si>
  <si>
    <t>Ticket 15178 - Permisos Azure</t>
  </si>
  <si>
    <t>Se otorgan permiso de Website Contributor a diferentes usuarios para determinados app services</t>
  </si>
  <si>
    <t>Revision Portal de Pagos</t>
  </si>
  <si>
    <t>Revision Portal de Pagos ambiente SIT Caja los Andes</t>
  </si>
  <si>
    <t>Review Sprint 2 / Planning Sprint 3</t>
  </si>
  <si>
    <t>AWS Landing Zone Fase 3</t>
  </si>
  <si>
    <t>Definir SCP bloqueo billing</t>
  </si>
  <si>
    <t>Networking, Diseño y Despliegue</t>
  </si>
  <si>
    <t>Definicion Arquitectura Gitlab</t>
  </si>
  <si>
    <t>Revision de cargas Minisitios</t>
  </si>
  <si>
    <t>Modelado final e implementación de Grupos y Permisos</t>
  </si>
  <si>
    <t>Chileatiende</t>
  </si>
  <si>
    <t>Integración de AWS CNAPP</t>
  </si>
  <si>
    <t>Azure</t>
  </si>
  <si>
    <t>Analisis y Diseño de Solucion de Inspección de Tráfico</t>
  </si>
  <si>
    <t>Servicio s IPS</t>
  </si>
  <si>
    <t>Revisión y baja de Servicios IPS</t>
  </si>
  <si>
    <t>Revisión de Procedimientos Internos</t>
  </si>
  <si>
    <t>Sprint 3 Review y Sprint 4 Planning</t>
  </si>
  <si>
    <t>AWS</t>
  </si>
  <si>
    <t>AWS Landing Zone Fase 4</t>
  </si>
  <si>
    <t>Gitlab prueba demo</t>
  </si>
  <si>
    <t>Definicion de Custom Policies - Identity Center</t>
  </si>
  <si>
    <t>Pruebas de HA</t>
  </si>
  <si>
    <t>Definicion adecuación a web</t>
  </si>
  <si>
    <t>Despliegue Gitlab</t>
  </si>
  <si>
    <t>Planificación Workshops de Seguridad</t>
  </si>
  <si>
    <t>Luz Maria Rivera</t>
  </si>
  <si>
    <t>Ticket 15432 - Creación de app service Azure</t>
  </si>
  <si>
    <t>Creacion app service productivo ctaCorrienteback-prod</t>
  </si>
  <si>
    <t>Actualización de Formularios</t>
  </si>
  <si>
    <t>Borrador de Formulario de creación de app services</t>
  </si>
  <si>
    <t>Instrucciones y Despliegue Gitlab IPS</t>
  </si>
  <si>
    <t>Pruebas HA Firewall Palo Alto</t>
  </si>
  <si>
    <t>Gitlab Sesion N°2</t>
  </si>
  <si>
    <t>Sprint 4 Review / Sprint 5 Planning</t>
  </si>
  <si>
    <t>Team AWS - Matias Labbe</t>
  </si>
  <si>
    <t>AWS Landing Zone Fase 5</t>
  </si>
  <si>
    <t>Workshop Seguridad -IAM</t>
  </si>
  <si>
    <t>Workshop Seguridad - Logging &amp; Monitoring</t>
  </si>
  <si>
    <t>Oscar Fernandez</t>
  </si>
  <si>
    <t>Solicitud de Logs aplicativo ctacorriente-qa</t>
  </si>
  <si>
    <t>Revision y entrega de logs Java Memory dump (.bin), Java Thread dump (.log) yJAVA Flight Recorder Trace (.jfr)</t>
  </si>
  <si>
    <t>Definicion adecuación Alfresco</t>
  </si>
  <si>
    <t>Claudio Araya</t>
  </si>
  <si>
    <t>Ticket 15513 - Alerta de Ciberseguridad entorno Azure Tanzu</t>
  </si>
  <si>
    <t>Proveedor sugiere no realizar cambios en la configuración.</t>
  </si>
  <si>
    <t>Ticket 15513 - Alerta de Ciberseguridad entorno AWS MV</t>
  </si>
  <si>
    <t>Se eliminan los registros inbound de los SG por default</t>
  </si>
  <si>
    <t>Revision de cilo de vida de Logs</t>
  </si>
  <si>
    <t>Ejecución Adecuación a Web minisitios</t>
  </si>
  <si>
    <t>Rudy Pinochet</t>
  </si>
  <si>
    <t>Revision de proyecto con Chileatiende</t>
  </si>
  <si>
    <t>Revision Configuración Peering, nueva Suscripción IPS_TEST</t>
  </si>
  <si>
    <t>Revision Spint 5 / Planning Sprint 6</t>
  </si>
  <si>
    <t>Matias Labbe AWS</t>
  </si>
  <si>
    <t>Workshop Seguridad</t>
  </si>
  <si>
    <t>VPC Overview</t>
  </si>
  <si>
    <t>Infraestructure Security</t>
  </si>
  <si>
    <t>AWS Landing Zone Fase 5 - Adecuacion web Minisitios</t>
  </si>
  <si>
    <t>Ejecución Adecuación a Web minisitios - Minisitios QA</t>
  </si>
  <si>
    <t>Adecuacion web Minisitios</t>
  </si>
  <si>
    <t>Ticket 15628 - Habilitar conectividad ambientes Azure y AWS</t>
  </si>
  <si>
    <t>Creación de nueva regla inbound al grupo de seguridad sg-92a6e8f6 (IPS SSH VM Prod) en AWS</t>
  </si>
  <si>
    <t>AWS Landing Zone 4 Adecuacion web Minisitios</t>
  </si>
  <si>
    <t>Definicion Adecuacion IPS em Linea</t>
  </si>
  <si>
    <t>Felipe Tapia, Jorge Echeñique</t>
  </si>
  <si>
    <t>Revision conectividad ambientes Azure y AWS</t>
  </si>
  <si>
    <t>Revision de puertos vpn y grupos de seguridad</t>
  </si>
  <si>
    <t>AWS Landing Zone Fase 6</t>
  </si>
  <si>
    <t>Workshop Seguridad - Data Protection</t>
  </si>
  <si>
    <t>Despliegue Firewall Palo Alto en AWS</t>
  </si>
  <si>
    <t>Ticket 15667</t>
  </si>
  <si>
    <t>Creación app services pagosaffront</t>
  </si>
  <si>
    <t>Creación app services pagosafbaack</t>
  </si>
  <si>
    <t>Sprint 6 Review / Sprint 7 Planning</t>
  </si>
  <si>
    <t>AWS Landing Zone Sprint 7</t>
  </si>
  <si>
    <t>Workshop Network Inmension Day</t>
  </si>
  <si>
    <t>Integración cuentas  Legado a LZ</t>
  </si>
  <si>
    <t>Configuración AWS Backups</t>
  </si>
  <si>
    <t>AWS Workshop Secrets Manager</t>
  </si>
  <si>
    <t>AWS Workshop Security Hub</t>
  </si>
  <si>
    <t>Definicion a adecuación Asignación Familiar (S3 pivote)</t>
  </si>
  <si>
    <t>Configuración Direct Connect</t>
  </si>
  <si>
    <t>Cesar Martinez</t>
  </si>
  <si>
    <t>Configuración Gitlab Minisitios / Eliminacion TG Attachments VMC</t>
  </si>
  <si>
    <t>Definicion de Adecuacion a IPS en Linea (SGI)</t>
  </si>
  <si>
    <t>Azure Firewall PAN</t>
  </si>
  <si>
    <t>Integración network productiva</t>
  </si>
  <si>
    <t>AWS Landing Zone 8</t>
  </si>
  <si>
    <t>Sprint 7 Review / Sprint 8 Planning</t>
  </si>
  <si>
    <t>AWS Landing Zone Sprint 8</t>
  </si>
  <si>
    <t>Workload para Adecuar</t>
  </si>
  <si>
    <t>José Abarca</t>
  </si>
  <si>
    <t>Clonación Maquina Virtual NodoExpone</t>
  </si>
  <si>
    <t>Azure Backup Policy y Clonacion VM NodoExpone</t>
  </si>
  <si>
    <t>Workshop Seguridad AWS Threar Detection and response</t>
  </si>
  <si>
    <t>Falla app service sdm-back</t>
  </si>
  <si>
    <t>Reinicio y entrega de logs de app service sdm-back productivo</t>
  </si>
  <si>
    <t>Jose Abarca</t>
  </si>
  <si>
    <t>Habilitación de EKS</t>
  </si>
  <si>
    <t>Reunion con Andes Digital y Arquitectura</t>
  </si>
  <si>
    <t>Revision vpn aws liqconsolidada prd</t>
  </si>
  <si>
    <t>Creación nueva vpn aws liqconsolidada prd</t>
  </si>
  <si>
    <t>Configuración VPN S2S</t>
  </si>
  <si>
    <t>Workshop Seguridad VPN</t>
  </si>
  <si>
    <t>Arquitectura</t>
  </si>
  <si>
    <t>EKS Tanzu</t>
  </si>
  <si>
    <t>EKS Definicion de Roles</t>
  </si>
  <si>
    <t>Azure VM</t>
  </si>
  <si>
    <t>Actualizacion de Discos administrados ambiente QA</t>
  </si>
  <si>
    <t>Revision de llave publica y conectividad SSH</t>
  </si>
  <si>
    <t>Ejecucion Adecuacion a Web minisitio - Migracion</t>
  </si>
  <si>
    <t>AWS Landing Zone Sprint 9</t>
  </si>
  <si>
    <t>SPRINT 8 REVIEW// SPRINT 9 PLANNING</t>
  </si>
  <si>
    <t>Team AWS - Mauro Aprea</t>
  </si>
  <si>
    <t>Workshop DevOps</t>
  </si>
  <si>
    <t>Migración Adecuación a Asignación Familiar &amp; Liquidacion Consolidada</t>
  </si>
  <si>
    <t>Workshop Seguridad - WAF 1</t>
  </si>
  <si>
    <t>Próximos Pasos - Adecuación Plataforma PISSE</t>
  </si>
  <si>
    <t>Activación y Configuración de SecurityHub</t>
  </si>
  <si>
    <t>Activación y Configuración de GuardDuty vía LZA</t>
  </si>
  <si>
    <t>Migración Adecuación a Asignación Familiar</t>
  </si>
  <si>
    <t>Adecuación SGI - Repositorios Gitlab</t>
  </si>
  <si>
    <t>Gitlab IPS</t>
  </si>
  <si>
    <t>Despliegue Minisitio bonospendientes.cl</t>
  </si>
  <si>
    <t>Despliegue Servicios Asignación Familiar</t>
  </si>
  <si>
    <t>AWS Landing Zone Sprint 10</t>
  </si>
  <si>
    <t>SPRINT 9 REVIEW// SPRINT 10 PLANNING</t>
  </si>
  <si>
    <t>Infraestructura - Cesar Gonzalez</t>
  </si>
  <si>
    <t>AWS Landing Zone Sprint - Minisitios</t>
  </si>
  <si>
    <t>Adecuación Sitios Consulta/Gestión - Ambientes IPS</t>
  </si>
  <si>
    <t>Migracion Adecuacion a Asignacion Familiar + PISSE</t>
  </si>
  <si>
    <t>Revisión Conectividad LDZ</t>
  </si>
  <si>
    <t>MODELADO DE PERMISSIONSETS DE ACCESO A CUENTAS AWS</t>
  </si>
  <si>
    <t>Infraestructura - Paola Lillo</t>
  </si>
  <si>
    <t>AzureIPS</t>
  </si>
  <si>
    <t>Acompañamientro Microsoft - App Services</t>
  </si>
  <si>
    <t>Definicion Adecuacion Afper</t>
  </si>
  <si>
    <t>Definicion de PermissionSets</t>
  </si>
  <si>
    <t>Pisee</t>
  </si>
  <si>
    <t>Infraestructura - Daniel Zamora</t>
  </si>
  <si>
    <t>Correccion de Certificados Minisitio Consulta Bolsillo</t>
  </si>
  <si>
    <t>Correccion de Certificados Minisitio BonoCovid</t>
  </si>
  <si>
    <t>Workshop Seguridad WAF 2</t>
  </si>
  <si>
    <t>Ajustes Finales Config Firewall y Ruteos</t>
  </si>
  <si>
    <t>Habilitación de permisos Azure Devops</t>
  </si>
  <si>
    <t>Definicion Adecuación AFPER</t>
  </si>
  <si>
    <t>Definiciones antes de implementar en LZA</t>
  </si>
  <si>
    <t>AWS Landing Zone Sprint 11</t>
  </si>
  <si>
    <t>Revision Sprint 10</t>
  </si>
  <si>
    <t>AWS Revisíon de servicios y redes</t>
  </si>
  <si>
    <t>Entrega de planilla de EC2 y VPC</t>
  </si>
  <si>
    <t>luz maria</t>
  </si>
  <si>
    <t>Azure Revision Appservice</t>
  </si>
  <si>
    <t>Expedienteelectronico</t>
  </si>
  <si>
    <t>pagosaf</t>
  </si>
  <si>
    <t>Oriana Sanchez - Microsoft</t>
  </si>
  <si>
    <t>Azure App Services</t>
  </si>
  <si>
    <t>Apoyo de Microsoft Buenas Practicas</t>
  </si>
  <si>
    <t>Toma de metricas App service TramitesDigitales</t>
  </si>
  <si>
    <t>Revisión de App Services Azure</t>
  </si>
  <si>
    <t>Implementaión de Buenas practicas en app service Azure, Healt check y affinity session.</t>
  </si>
  <si>
    <t xml:space="preserve">Habilitacion de permisos Azure </t>
  </si>
  <si>
    <t>Se asignan permisos a para visualizar Application Insights a jorge echeñique, carlos villanueva y jesus Chavez</t>
  </si>
  <si>
    <t>Creación Maquina Virtual Veeam Backup</t>
  </si>
  <si>
    <t>Creación Maquina Virtual AZ-VeeamBKP</t>
  </si>
  <si>
    <t>Infraestructura / Microsoft</t>
  </si>
  <si>
    <t xml:space="preserve">Azure App services </t>
  </si>
  <si>
    <t>Acompañamiento App Services</t>
  </si>
  <si>
    <t>AWS Landing Zone Sprint 12</t>
  </si>
  <si>
    <t>Revision Sprint 11</t>
  </si>
  <si>
    <t>Implementacion Pisee</t>
  </si>
  <si>
    <t>Construccion de Imagen Dockerfile para catalogo pisee pt1</t>
  </si>
  <si>
    <t>Construccion de Imagen Dockerfile para catalogo pisee pt2</t>
  </si>
  <si>
    <t>Actualización de Version y contenedor Nodo Pisee en ambiente local pt1</t>
  </si>
  <si>
    <t>Instalación Veeam Backup</t>
  </si>
  <si>
    <t>Se realiza implementacion de Veeam Backup para Azure desde Marketplace</t>
  </si>
  <si>
    <t>Actualización de Version y contenedor Nodo Pisee en ambiente local pt2</t>
  </si>
  <si>
    <t>Revision VPN Azure</t>
  </si>
  <si>
    <t>Se realizar analisis y revisión de trafico de VPN y conexión activas.</t>
  </si>
  <si>
    <t>Actualización de Version y contenedor Nodo Pisee en Landing Zone</t>
  </si>
  <si>
    <t>Azure VPN / AWS VPN</t>
  </si>
  <si>
    <t>Se eliminan conexiones sin uso para ambientes Desarrollo y QA</t>
  </si>
  <si>
    <t>Se agregan usuarios al grupo Project Collection Administrators</t>
  </si>
  <si>
    <t>Veeam Backup for Azure</t>
  </si>
  <si>
    <t>Apoyo implementacion de MV Azure Veeam Backup</t>
  </si>
  <si>
    <t>Jorge echeñique</t>
  </si>
  <si>
    <t>Solicitud de permisos so MV 10.88.2.16</t>
  </si>
  <si>
    <t>AWS Route 53</t>
  </si>
  <si>
    <t>Registro DNS externo para maestrodgdp-test.ips.gob.cl</t>
  </si>
  <si>
    <t>Azure Entra ID</t>
  </si>
  <si>
    <t>Apoyo creación de Service Principal para Cloudockit</t>
  </si>
  <si>
    <t>Apoyo con appservice error al cargar archivo desde Solicitud de Pago</t>
  </si>
  <si>
    <t>Despliegue Gitlab LZA</t>
  </si>
  <si>
    <t>Apoyo conceptos y generación de llave SSH</t>
  </si>
  <si>
    <t>Creación de cuenta a straverso para Gitlab</t>
  </si>
  <si>
    <t>Apoyo nuevo proyecto Notibatch Gitlab</t>
  </si>
  <si>
    <t>Apoyo a Claudia Contreras con app service maestrojuicios-dev-back</t>
  </si>
  <si>
    <t>Azure Veeam Backup</t>
  </si>
  <si>
    <t>Nueva Instalación de VM Veeam backup para Azure</t>
  </si>
  <si>
    <t>Mauro Aprea</t>
  </si>
  <si>
    <t>Landing Zone Acelerator</t>
  </si>
  <si>
    <t>Re modelado de proyecto Pisee Terraform gitlab y ECR</t>
  </si>
  <si>
    <t>Notificador Batch: Despliegue Imagen Docker, Repositorio GitLab, Modelado Terraform</t>
  </si>
  <si>
    <t>AWS Landing Zone 13</t>
  </si>
  <si>
    <t>Se completan tabla entidades de DynamoDB</t>
  </si>
  <si>
    <t>Maestro Juicios</t>
  </si>
  <si>
    <t>AWS Landing Zone 14</t>
  </si>
  <si>
    <t>Levantamiento Lambda bap</t>
  </si>
  <si>
    <t>AWS networking</t>
  </si>
  <si>
    <t>Solicitud de accesos via transit gateway a vpc servicios transversales</t>
  </si>
  <si>
    <t>Cesar Neculman</t>
  </si>
  <si>
    <t>Revisión y ajustes Lambda Liquidación consolidada</t>
  </si>
  <si>
    <t>Maestro Juicios desarrollo - pruebas de despliegue</t>
  </si>
  <si>
    <t>Merge Request repo SrvTransversales para asignamiento de permisos en proyecto BAP</t>
  </si>
  <si>
    <t>Adecuación de Servicios Transversales - SIB y Gedin</t>
  </si>
  <si>
    <t>Azure Backups</t>
  </si>
  <si>
    <t>Revision de costos Storage y Azure Backups</t>
  </si>
  <si>
    <t>AWS LZ DynamoDB</t>
  </si>
  <si>
    <t>Configuración y poblado de DinamoDB tabla entidades y persona_entidad cuenta AWS-IPS-SRV-TRANSV-BENEF-QA</t>
  </si>
  <si>
    <t>Azure App Services Maestros de Juicio</t>
  </si>
  <si>
    <t>Configuración de VPN Desarrollo en Conexión a Firewall IPS .128</t>
  </si>
  <si>
    <t>Servicios Onprem</t>
  </si>
  <si>
    <t>Apoyo a Arquitectura levantamiento VM onprem 10.150.0.82</t>
  </si>
  <si>
    <t>Creación de app service maestro-juicios-front-qa.azurewebsites.net</t>
  </si>
  <si>
    <t>Creación de app service maestro-juicios-back-qa.azurewebsites.net</t>
  </si>
  <si>
    <t>Creación de app service maestro-juicios-front-prod.ipsase01.appserviceenvironment.net</t>
  </si>
  <si>
    <t>Creación de app service maestro-juicios-back-prod.ipsase01.appserviceenvironment.net</t>
  </si>
  <si>
    <t>Azure Virtual Machine</t>
  </si>
  <si>
    <t>Levantamiento VM KEYCLOAK-SSO-DEV con problemas en storage account</t>
  </si>
  <si>
    <t>Azure app service</t>
  </si>
  <si>
    <t>Revision y configuracion maestro-juicios</t>
  </si>
  <si>
    <t>Azure App service</t>
  </si>
  <si>
    <t>Levantamiento temporal app service python</t>
  </si>
  <si>
    <t>AWS LZ Servicios transversales qa</t>
  </si>
  <si>
    <t>Revisión de error y Configuración nodo-notificador qa</t>
  </si>
  <si>
    <t>Azure App service python configuración</t>
  </si>
  <si>
    <t>Apoyo despliegue y configuración app service python (ambiente temporal)</t>
  </si>
  <si>
    <t>Configuración Azure VPN Desa-vNet-GW</t>
  </si>
  <si>
    <t>Permisos vpn s2s para maestro-juicios-dev a integracion.pjud.cl</t>
  </si>
  <si>
    <t>Permisos vpn s2s para maestro-juicios-dev a integraciontest.pjud.cl</t>
  </si>
  <si>
    <t>Configuración Azure VPN Gtw PRD-vNET-GW</t>
  </si>
  <si>
    <t>Permisos vpn s2s para maestro-juicios-prod a integracion.pjud.cl</t>
  </si>
  <si>
    <t>Permisos vpn s2s para maestro-juicios-prod a integraciontest.pjud.cl</t>
  </si>
  <si>
    <t>Configuración Azure VPN QA-vNet-GW</t>
  </si>
  <si>
    <t>Permisos vpn s2s para maestro-juicios-qa a integracion.pjud.cl</t>
  </si>
  <si>
    <t>Permisos vpn s2s para maestro-juicios-qa s integraciontest.pjud.cl</t>
  </si>
  <si>
    <t>AWS LZ Validación Firma Electronica Avanzada</t>
  </si>
  <si>
    <t>Revisión y configuracion de lambda FEA</t>
  </si>
  <si>
    <t>AWS LZ nodo pisee notificados unhealty</t>
  </si>
  <si>
    <t>alb de eks unhealty</t>
  </si>
  <si>
    <t xml:space="preserve">Habilitación permisos nodo notificados </t>
  </si>
  <si>
    <t>Se solicitan permisos a ciberseguridad para straverso permita acceso a balanceador</t>
  </si>
  <si>
    <t>AWS LZ api gateway, lambda</t>
  </si>
  <si>
    <t>Levantamiento manual de servicios transversales prod</t>
  </si>
  <si>
    <t>revision estado unhealthy alb</t>
  </si>
  <si>
    <t>AWS LZ nodo pisee</t>
  </si>
  <si>
    <t>Revision y reinicio nodo pise estado unhealthy, se modifica path de validación de alb</t>
  </si>
  <si>
    <t>Nuevo Azure App service Plan: ASP-Linux001-Dev</t>
  </si>
  <si>
    <t>Creacion de nuevo app service plan para aplicativos linux en ambiente Desarrollo</t>
  </si>
  <si>
    <t>Azure App service maestrodgdp-dev</t>
  </si>
  <si>
    <t>Apoyo despliegue app service maestrodgdp-dev (python)</t>
  </si>
  <si>
    <t>AWS LZ Servicios Transversales Infraestructura</t>
  </si>
  <si>
    <t>Construccion nueva imagen para ECR de nodo notificador</t>
  </si>
  <si>
    <t>Mauro Aprea AWS</t>
  </si>
  <si>
    <t>Creación de nuevo EC2 Pivote</t>
  </si>
  <si>
    <t>Solicitud acceso y configuración vpc srv transversales prod</t>
  </si>
  <si>
    <t>Modelado srv transversales prod</t>
  </si>
  <si>
    <t>Microsoft</t>
  </si>
  <si>
    <t>Azure Virtual Network Gateway</t>
  </si>
  <si>
    <t>Cambio sku ip basica</t>
  </si>
  <si>
    <t>Actualización config.json nodo notificador producción</t>
  </si>
  <si>
    <t>Ejecución pipeline srv-transversales</t>
  </si>
  <si>
    <t>Revision servicio EKS Notificador</t>
  </si>
  <si>
    <t>Revisión y solicitud de cambio de config.json en nodo notificador</t>
  </si>
  <si>
    <t>AWS EKS Cluster</t>
  </si>
  <si>
    <t>Revisión de error en pod pise notificador</t>
  </si>
  <si>
    <t>AWS Servicios Transversales</t>
  </si>
  <si>
    <t>Revisión de api gateway docdigital</t>
  </si>
  <si>
    <t>AWS Servicios Transversales DynamoDB</t>
  </si>
  <si>
    <t>Revisión de api gateway docdigital y DynamoDB</t>
  </si>
  <si>
    <t>AWS IAM Liquidación Consolidada QA</t>
  </si>
  <si>
    <t xml:space="preserve">Solicitud de cambio de contraseña usuar jorge.echeñique </t>
  </si>
  <si>
    <t>Revisión de api gateway</t>
  </si>
  <si>
    <t xml:space="preserve">Merge request qa --&gt; main </t>
  </si>
  <si>
    <t>Restablecer nodo notificador PRD en AWS EKS</t>
  </si>
  <si>
    <t>Se elimina pod desde pivote para reestablecer servicio de nodo notficador producción</t>
  </si>
  <si>
    <t>Restablecer nodo notificador QA en AWS EKS</t>
  </si>
  <si>
    <t>Se elimina pod desde pivote para reestablecer servicio de nodo notficador ambient qa</t>
  </si>
  <si>
    <t>Azure App Service maestrogdp-qa</t>
  </si>
  <si>
    <t>Se crea nuevo App Service para maestrogdp-qa</t>
  </si>
  <si>
    <t>Azure Migración ip SKU</t>
  </si>
  <si>
    <t>Azure actualizacion ip pubilca QA</t>
  </si>
  <si>
    <t>AWS Landing Zone</t>
  </si>
  <si>
    <t>Revision de LZA con Andesdigital</t>
  </si>
  <si>
    <t>Azure Virtual Machines / Backups</t>
  </si>
  <si>
    <t>Reinicio y comprobación de agentes en maquinas virtuales con problemas de backup</t>
  </si>
  <si>
    <t>Revisión de variables de entorno, se agrega secret y client id de forma manual</t>
  </si>
  <si>
    <t>AWS Minisitios</t>
  </si>
  <si>
    <t>Paso a producción minisitio aportefamiliar.cl</t>
  </si>
  <si>
    <t>Revision ambientes AWS con Andes Digital</t>
  </si>
  <si>
    <t>Revision de LZA con Andesdigital y Mauro Aprea</t>
  </si>
  <si>
    <t>AWS Servicios Transversales QA</t>
  </si>
  <si>
    <t>Despliegue de pipeline en qa (no se realiza Deploy debido a error de Cloudwatch Group log)</t>
  </si>
  <si>
    <t>Eliminacion manual de cloudwatch log group y Despliegue de pipeline en qa</t>
  </si>
  <si>
    <t xml:space="preserve">AWS Servicios Transversales QA / DynamoDB </t>
  </si>
  <si>
    <t>Carga masiva tabla entidades (error time out)</t>
  </si>
  <si>
    <t>AWS Servicios Transversales Merge Request</t>
  </si>
  <si>
    <t>Se acepta merge request entre ramas main --&gt; qa</t>
  </si>
  <si>
    <t xml:space="preserve">Carga masiva tabla entidades </t>
  </si>
  <si>
    <t>AWS Servicios Transversales EKS</t>
  </si>
  <si>
    <t>Actualizacion de imagen ECR nodo notificador Producción</t>
  </si>
  <si>
    <t>Silvio Traverso</t>
  </si>
  <si>
    <t>Pruebas Api Gateways SrvTransversales</t>
  </si>
  <si>
    <t>Coordinación para Pruebas Api Gateways SrvTransversales</t>
  </si>
  <si>
    <t>Ejecucion de pruebas API Gateway</t>
  </si>
  <si>
    <t>AWS Asignación Familiar</t>
  </si>
  <si>
    <t>Actualización minisitio aasignación Familiar</t>
  </si>
  <si>
    <t>Pruebas Api Gateways cuenta SrvTransversales</t>
  </si>
  <si>
    <t>Generación de Informe de Resultados y Ejecución de pruebas API Gateway SrvTransversales.</t>
  </si>
  <si>
    <t>Solicutad para creación de Storage Account</t>
  </si>
  <si>
    <t>Se analisa solicitud para File Shared requerido en aplicativo Expediente Electronico.</t>
  </si>
  <si>
    <t>Solicitud para ingresar a posrtal Azure</t>
  </si>
  <si>
    <t>Esto requiere añadir al grupo de desarrollo de app services los permisos necesarios.</t>
  </si>
  <si>
    <t>Actualización minisitio aportefamiliar.cl</t>
  </si>
  <si>
    <t>Se actualiza codigo fuente a repositorio gitlab en ramas qa y prod</t>
  </si>
  <si>
    <t>Solicitud de copiado de Storage Accounts</t>
  </si>
  <si>
    <t>Se solicito copiar dos File Shares de Produccion a Desarrollo (5tb).</t>
  </si>
  <si>
    <t>Creacion de dominio App service</t>
  </si>
  <si>
    <t xml:space="preserve"> se expone dominio maestrodgdp-dev-ips.gob.ips.cl en DNS externo via AWS Route53.</t>
  </si>
  <si>
    <t>Validación de dominio</t>
  </si>
  <si>
    <t>Se solicita generar nuevo ticket al validar cierta informacion incorrecta en app service maestrodgdg-dev.</t>
  </si>
  <si>
    <t xml:space="preserve">Correción de dominio App service </t>
  </si>
  <si>
    <t>Actualización Documentacíon Api Gateway Correciones v2</t>
  </si>
  <si>
    <t>Ejecución de pruebas Api Gateway Pisee Notificador</t>
  </si>
  <si>
    <t>Fabian Flores</t>
  </si>
  <si>
    <t>Habilitacion de permisos en Storage Account</t>
  </si>
  <si>
    <t>Habilitacion de permisos Reader en Storage Account: almacenexpedienteafdev a ffloresl.srv@ips.gob.cl</t>
  </si>
  <si>
    <t>Jorge Echeñique - Marco</t>
  </si>
  <si>
    <t>Api Gateways cuenta SrvTransversales</t>
  </si>
  <si>
    <t>Correccion de la Ejecución de pruebas Api Gateway Pisee Notificador</t>
  </si>
  <si>
    <t>Andres Bastias</t>
  </si>
  <si>
    <t>Azure App service pensionfem</t>
  </si>
  <si>
    <t>Resivión de Informe Ciberseguridad Hacking Etico App service Pensionfem</t>
  </si>
  <si>
    <t>Se evalua solución para exponer api desde Azure api manager</t>
  </si>
  <si>
    <t>Mauricio Miranda</t>
  </si>
  <si>
    <t>Azure Reglas Network Security Group</t>
  </si>
  <si>
    <t>Se solicita regla para denegar servicios desde NSG de subnet tanzu a base de datos sql (tanzu-mgmt-cluster-node-nsg) solo puerto 443</t>
  </si>
  <si>
    <t>Se solicita regla para denegar servicios desde NSG de subnet tanzu a base de datos sql (tanzu-mgmt-cluster-node-nsg) todos los puertos</t>
  </si>
  <si>
    <t>Propuesta APIM para pensionfem</t>
  </si>
  <si>
    <t>Se entrega propuesta para exponer api pensionfem desde Azure api manager.</t>
  </si>
  <si>
    <t>Revisión y correcciones api managment pisee notificador</t>
  </si>
  <si>
    <t>Luz Riverea</t>
  </si>
  <si>
    <t>Agregar regla cors Azure app service Productivo</t>
  </si>
  <si>
    <t>Se agrega cors app service sdm.ips.gob.cl (back y front)</t>
  </si>
  <si>
    <t>Api Gateways pisee-notificador cuenta SrvTransversales</t>
  </si>
  <si>
    <t>Definiciones para modelar iac en ambiente productivo</t>
  </si>
  <si>
    <t>Ticket N° 14347 - URGENTE!!! Solicitud de actualización minisitio ipsenlinea :: Bajada servicio SIAGF en SUSESO</t>
  </si>
  <si>
    <t>Actualizar el minisitio de ipsenlinea (https://www.ipsenlinea.cl/) producto de la bajada del servicio SIAGF por parte de SUSESO, lo cual afecta al trámite reconocimiento de carga familiar y maternal.</t>
  </si>
  <si>
    <t>Rollback de actualización minisitio ipsenlinea :: Bajada servicio SIAGF en SUSESO</t>
  </si>
  <si>
    <t>Se realiza rollback de actualizacion de minisitio requerido por Chileatiende durante las fechas 21/03 al 24/03 - Este cambio se realiza fuera de horario debido a que el sitio debia estar disponbile a primera hora del dia Martes 25/03</t>
  </si>
  <si>
    <t>Operaciones IPS</t>
  </si>
  <si>
    <t xml:space="preserve">Seguimiento: [IPS] Temas Pendientes - Cloud Services ☁ </t>
  </si>
  <si>
    <t>Call a realizar todos los dias Martes a partir de las 9:30 Hrs - Se revisan temas pendientes y proyectos en curso correspondientes a Cloud Services IPS.</t>
  </si>
  <si>
    <t>Daniel Zamora  Operaciones IPS</t>
  </si>
  <si>
    <t>Ticket N° 14380 - Apagado Nodos 5-6 Proyecto AFPER</t>
  </si>
  <si>
    <t>Se realiza apagado de instancias AFPER-Consulta 5-6 correspondientes al proyecto AFPER solicitados por Daniel Zamora, realizada el drenaje respectivo en los balanceadores pertinentes.</t>
  </si>
  <si>
    <t xml:space="preserve">Continuacion Seguimiento: [IPS] Temas Pendientes - Cloud Services ☁ </t>
  </si>
  <si>
    <t>Se continua call en donde se revisan temas pendientes y proyectos en curso correspondientes a Cloud Services IPS.</t>
  </si>
  <si>
    <t>Miguel Garrido - Abenis</t>
  </si>
  <si>
    <t>Coordinación ABENIS - IPS</t>
  </si>
  <si>
    <t>Call de coordinacion</t>
  </si>
  <si>
    <t>Victor Bustos - IPS</t>
  </si>
  <si>
    <t>Ticket N° 14393 - Encendido Instancias DEV AFPER</t>
  </si>
  <si>
    <t>Solicitan el encendido de instancias AFPER DEV en horario habil.</t>
  </si>
  <si>
    <t>Call Presentacion De Estrategia Abenis</t>
  </si>
  <si>
    <t>Call de presentacion de estrategia y planificacion Abenis-IPS</t>
  </si>
  <si>
    <t>IPS-TIVIT</t>
  </si>
  <si>
    <t>Call Seguimiento De Contrato MS Azure</t>
  </si>
  <si>
    <t>Call con TAM TIVIT y Daniel Zamora IPS para la estrategia de implementacion y configuracion del servicio PaaS Azure DevOps.</t>
  </si>
  <si>
    <t>Area SAP IPS - Area Operaciones IPS</t>
  </si>
  <si>
    <t>Actividad Planificada - Fuera De Horario:                                                                Upgrade de S.O RHEL 8.10 en SAP HANA DB (10.88.1.135) 🗄️🗃️</t>
  </si>
  <si>
    <t>Actividad planificada - fuera de horario con areas de SAP y Operaciones IPS, correspondiente al Upgrade de S.O para ambiente SAP HANA BD (10.88.1.135)</t>
  </si>
  <si>
    <t>Ricardo Orellana DBA IPS</t>
  </si>
  <si>
    <t>Apoyo - Autorización del acceso de base de datos a SQL Database, Instancia administrada de SQL</t>
  </si>
  <si>
    <t>Se realizan las validaciones y verificacion de los usuarios dbamanager ya que actualmente Ricardo Orellana no tiene acceso a BD PaaS PROD con usuario administrador.</t>
  </si>
  <si>
    <t>Continuacion Call Presentacion De Estrategia Abenis</t>
  </si>
  <si>
    <t>Usuario Christian Fuentes - Area DyM IPS requiere archivo de configuracion aplication.properties para el servicio App Services Garantia Estatal.</t>
  </si>
  <si>
    <t>Christian Fuentes IPS</t>
  </si>
  <si>
    <t>Ticket N° 14459 - Solicitud Archivo De Configuracion App Services Garantia Estatal</t>
  </si>
  <si>
    <t>Usuario Angel Alvarez de Area Ciberseguridad IPS requiere lso certificados renovados wildcard para los dominios inp.cl e ips.gob.cl ya que estan proximos a expirar (11/04/25) Seran enviados y adjuntos en ticket creado.</t>
  </si>
  <si>
    <t>Angel Alvarez IPS</t>
  </si>
  <si>
    <t>Ticket N° 14462 - Solicitud certificados wildcard inp.cl e ips.gob.cl</t>
  </si>
  <si>
    <t>Usuario: Gonzalo Sepulvedad solicita deshabilitar Scheduler de Apagado correspondiente al ambiente UAT PDP con fecha 02/04 hasta 04/04 volviendo nuevamente habilitar el Scheduler.</t>
  </si>
  <si>
    <t>Gonzalo Sepulveda IPS</t>
  </si>
  <si>
    <t>Ticket N° 14479 - Deshabilitar Scheduler Apagado Ambientes UAT PDP</t>
  </si>
  <si>
    <t>Se coordina call con TAM Jorge Quiroz de TIVIT y Daniel Zamora IPS para realizar el proceso de habilitacion de suscripcion de servicios PaaS Azure DevOps requeridos por IPS.</t>
  </si>
  <si>
    <t>Jorge Quiroz - TIVIT        Daniel Zamora - IPS</t>
  </si>
  <si>
    <t>Call Cuenta y Suscripcion Servicios PaaS Azure DevOps</t>
  </si>
  <si>
    <t>Call semanal en donde se revisan temas pendientes y proyectos en curso correspondientes a Cloud Services IPS.</t>
  </si>
  <si>
    <t xml:space="preserve">Call Seguimiento: [IPS] Temas Pendientes - Cloud Services ☁ </t>
  </si>
  <si>
    <t>Se coordina actividad para realizar fuera de horario correspondiente al proceso de remediacion de vulnerabilidades detectadas en instancias AWS/Azure por nuestra area de Ciberseguridad. Para esta actividad se realizara la remediacion de 4 instancias Azure y 2 instancias AWS.</t>
  </si>
  <si>
    <t>Fuera De Horario - Actividad de Remediación de Vulnerabilidades</t>
  </si>
  <si>
    <t>Se gestiona call con usuario Ricardo Orellana debido a problemas con usuarios con rol dbamanager creados en recursos Azure SQL</t>
  </si>
  <si>
    <t>Call Revision Acceso Azure SQL</t>
  </si>
  <si>
    <t>Se gestiona call para revisar problemas con servicios Weblogics, debido a una actualizacion realizad ay reportada por nuestra area de Ciberseguridad IPS, el cual se realiza actualizacion del servicio PrimeFaces a version 11</t>
  </si>
  <si>
    <t>Equipo Middleware IPS</t>
  </si>
  <si>
    <t>Call Validacion De Servicios WLSPROD03-WLSPROD04</t>
  </si>
  <si>
    <t>Se gestiona call correspondiente a la planificacion y coordinacion de trabajos para las actividades de cambio de hora.</t>
  </si>
  <si>
    <t>Call Planificacion Cambio De Hora - Invierno 2025</t>
  </si>
  <si>
    <t>Se gestiona actividad planificada fuera de horario, en conjunto con area Servicios Oracle IPS para realizar mantenicon y reparacion de isntancia WebLogic WLSProd03 ya que presento problemas en su actualizacion de repositoris Pramefaces solcitado como mitigacion por el area de Ciberseguridad.</t>
  </si>
  <si>
    <t>Servicios Oracle IPS</t>
  </si>
  <si>
    <t>Actividad Planificada - Fuera De Horario: Apoyo Mantencion y Configuracion Instancia Weblogic - WLSPROD03 AWS</t>
  </si>
  <si>
    <t>Se procede con la eliminacion de Snapshots obtenidos en el proceso de mitigacion de vulnerabilidades ya resueltos en los sistemas de Azure.</t>
  </si>
  <si>
    <t>AZ IPS - Eliminar RG Snapshots Remediacion</t>
  </si>
  <si>
    <t>Se realiza call con DBA Ricardo Orellana para explicar la situacion del proyecto AlwaysOn SQLent y detalles del proceso de migracion del servicio de LB que actualmente utiliza, ya que MS Azure descontinuara los servicios de LB Classic el 30/09/25</t>
  </si>
  <si>
    <t>Operaciones IPS        Ricardo Orellanna DBA IPS</t>
  </si>
  <si>
    <t>Call Coordinacion Migracion LB - Proyecto AlwaysOn SQLent</t>
  </si>
  <si>
    <t>Se procede con la eliminacion de recursos sin uso, en este caso, con servicios ALB Classic en la cuenta de AWS IPS-Chile.</t>
  </si>
  <si>
    <t>[AWS IPS] Resource Explorer - Servicios sin uso</t>
  </si>
  <si>
    <t>Resolver hallazgo informado desde la ANCI, dado reporta exposición de servidor web Oracle-HTTP-Server_12c en los siguientes endpoint:
https://empresa.ipsenlinea.cl/IpsEnLineaEmpresa/login/ingresoPersonasEmpresa.jsf
https://persona.ipsenlinea.cl/IpsEnLinea/web/ingresoPersonas.jsf</t>
  </si>
  <si>
    <t>Ciberseguridad IPS</t>
  </si>
  <si>
    <t>Ticket N° 14572: Exposición de versión servidor web</t>
  </si>
  <si>
    <t>Se realiza call para revisar estrategias e implementacion de FW PAM en nuestras nubes actuales</t>
  </si>
  <si>
    <t>Ciberseguridad IPS Operaciones IPS</t>
  </si>
  <si>
    <t>Call Ciberseguridad PAM Ambientes Cloud</t>
  </si>
  <si>
    <t>Se deshabilitan y renuevan certificados desde el servicio Keyvaults correspondiente a MS Azure asociados al wildcard *.ips.gob.cl</t>
  </si>
  <si>
    <t>[MS AZ IPS] Deshabilitar Certificado IPS.GOB.CL</t>
  </si>
  <si>
    <t>SE realiza apoyo en area de Operaciones IPS para habilitar servicios SSL en ambiente SSO ya que el certificado habia expirado. Servicios se encuentran operando correctamente.</t>
  </si>
  <si>
    <t>Apoyo en la configuracion de certificado SSL para servicios SSO IPS</t>
  </si>
  <si>
    <t>Problema con la casilla  sgd-gedin@ips.gob.cl, se esta recibiendo el siguiente mensaje de error - Correspondiente a la configuracion desde AWS SES.
2025-04-10 17:16:29 [INFO]: InvalidClientTokenId: The security token included in the request is invalid.
2025-04-08 15:48:05 [INFO]: InvalidClientTokenId: The security token included in the request is invalid.</t>
  </si>
  <si>
    <t>Yessenia Olivares - JP IPS</t>
  </si>
  <si>
    <t>Ticket N° 14585 - Problemas Con Casilla GEDIN - AWS SES</t>
  </si>
  <si>
    <t>Se gestiona call para realizar las revisiones y apoyo al caso del ticket N° 14585 correspondiente al correo GEDIN creado y configurado en AWS SES</t>
  </si>
  <si>
    <t>Call Revision Correo GEDIN - Servicios AWS SES</t>
  </si>
  <si>
    <t>Se coordina call con Operaciones CHA e IPS para explicar y definir la operación actual de los servicios de Azure DevOps</t>
  </si>
  <si>
    <t>Operaciones CHA  Operaciones IPS</t>
  </si>
  <si>
    <t>Call Rev AZ DevOps</t>
  </si>
  <si>
    <t>Se coordna call con area de DyM IPS ya que se estan presentando problemas de conectividad desde los App Services de cnormativo-sitionormativo-back hacia fileserver QA ubicado en OnPremise.</t>
  </si>
  <si>
    <t>Area DyM IPS</t>
  </si>
  <si>
    <t>Call validar conectividad de servicios app sercices hacia FTP QA</t>
  </si>
  <si>
    <t>Se coordina call para definir las estrategias de implementacion de FW PAN en los servicios Cloud actuales que contiene IPS.</t>
  </si>
  <si>
    <t>Area Ciberseguridad IPS Operaciones IPS</t>
  </si>
  <si>
    <t>Call Revision FW AWS/Azure</t>
  </si>
  <si>
    <t>FERIADO</t>
  </si>
  <si>
    <t>Feriado</t>
  </si>
  <si>
    <t>Area Operaciones CHA-IPS Morris Opazo</t>
  </si>
  <si>
    <t>Call CHA - Modernizacion a AWS</t>
  </si>
  <si>
    <t>Se realiza call para revisar procesos de modernizacion de apps por obselecencia actual en CHA e IPS</t>
  </si>
  <si>
    <t>Area Ciberseguridad IPS</t>
  </si>
  <si>
    <t>Ticket N° 14684 - Hallazgos ANCI - ipsenlinea</t>
  </si>
  <si>
    <t>Se genera ticket debido a los hallazgos de seguridad obtenidos para el servicio persona.ipsenlinea.cl</t>
  </si>
  <si>
    <t>IPS - TIVIT - CHA - AWS</t>
  </si>
  <si>
    <t>[EXTERNO]RV: IPS / AWS / Tivit Kickoff Proyecto Fase 2-Implementación de Landing Zone, Adecuación de Cuentas AWS y Epicas de Seguridad</t>
  </si>
  <si>
    <t>Se cita a kick off migración LZ de IPS - Reunion en oficinas de IPS</t>
  </si>
  <si>
    <t>FinOps Azure IPS</t>
  </si>
  <si>
    <t>Reunion para revisar estrategias FinOps en ambiente Azure.</t>
  </si>
  <si>
    <t>Ticket N° 14707 - Apagado PDP QA</t>
  </si>
  <si>
    <t>Solicitud de encendido de ambientes PDP QA para la fecha indicada</t>
  </si>
  <si>
    <t>Palo Alto            Ciberseguridad IPS Operaciones IPS</t>
  </si>
  <si>
    <t>Call Implmentacion FW PAN - Cuentas AWS IPS</t>
  </si>
  <si>
    <t>Call para verificar las formas de implementacion de FW PAN en cuentas AWS IPS</t>
  </si>
  <si>
    <t>TIVIT - Operaciones IPS</t>
  </si>
  <si>
    <t>Call Implementacion y planificacion - Puesta en Marcha Azure DevOps</t>
  </si>
  <si>
    <t>Call para revisar y planificar la puesta en marcha y estrategia del servicio Azure DevOps para IPS</t>
  </si>
  <si>
    <t>Ticket N° 14735 - Encendidos Instancias AFPER UAT</t>
  </si>
  <si>
    <t>Ticket para realizar el encendido de ambientes UAT AFPER</t>
  </si>
  <si>
    <t>Ticket N° 14752 - Apagados DEV PDP</t>
  </si>
  <si>
    <t>Ticket para no realizar el apagado de isntancias PDP DEV durante esta fecha.</t>
  </si>
  <si>
    <t>Call IPS: revision Ticket R95489</t>
  </si>
  <si>
    <t>Call de revision de ticket</t>
  </si>
  <si>
    <t>Area Operaciones y NOC IPS</t>
  </si>
  <si>
    <t>Call Monitoreo - Coordinación Programación Encendido/Apagado Instancias</t>
  </si>
  <si>
    <t>Call de revision correspondiente al procedimiento de encendidos y apagados de instancias solcitados y reportar al NOC correspondiente.</t>
  </si>
  <si>
    <t>Ciberseguridad  Operaciones IPS</t>
  </si>
  <si>
    <t>Ticket N°: 14776 - Evento De Seguridad</t>
  </si>
  <si>
    <t>Se gestiona ticket por parte de nuestra area de Ciberseguridad por eventos de seguridad detectados en AWS.</t>
  </si>
  <si>
    <t>Ticket N°: 14783 - Apagado Instancias PDP Dev</t>
  </si>
  <si>
    <t>Se gestiona ticket para no realizar el apagado de instancias DEV PDP</t>
  </si>
  <si>
    <t>Area De Ciberseguridad</t>
  </si>
  <si>
    <t>Ticket N°: 14786 - Evento De Seguridad IPS</t>
  </si>
  <si>
    <t>Continuacion - Call Implmentacion FW PAN - Cuentas AWS IPS</t>
  </si>
  <si>
    <t>Ticket N° 14791 - Estado Repositorio Documental | 05-05-2025</t>
  </si>
  <si>
    <t>Verificar disponiblidad de repositorio S3</t>
  </si>
  <si>
    <t>Ticket N°: 14819 - Apagado Instancias PDP Dev</t>
  </si>
  <si>
    <t>Ticket N°: 14833 - Apagado Instancias PDP SIT</t>
  </si>
  <si>
    <t>Se gestiona ticket para no realizar el apagado de instancias SIT PDP</t>
  </si>
  <si>
    <t>Area Ciberseguridad</t>
  </si>
  <si>
    <t>Call Mitigación de Vulnerabilidades Informadas x Prisma</t>
  </si>
  <si>
    <t>Se gestiona call para revisar alternativas de mitigacion de vulnerabilidades en ambientes IPS</t>
  </si>
  <si>
    <t>Area Proyectos</t>
  </si>
  <si>
    <t>Call Expediente Electronico - Validacion Ethical Hacking</t>
  </si>
  <si>
    <t>Call para verificar el servicio Expediente Electronico debido a que se encuentra expuesto a internet, se realizao un Ethical Hacking actual al servicio.</t>
  </si>
  <si>
    <t>Andres Bastidas - Area Proyectos - Area Ciberseguridad</t>
  </si>
  <si>
    <t>Call Problemas App Service sdmback-dev - Conexión Consecio DEV</t>
  </si>
  <si>
    <t>Call para verificar el servicio sdmback-dev hacia BD Concesio-DEV</t>
  </si>
  <si>
    <t>Ticket N° 14847 - 14846 - Eventos de Seguridad IPS</t>
  </si>
  <si>
    <t>Ticket para realizar las verificaciones y mitigaciones reportadas por Ciberseguridad.</t>
  </si>
  <si>
    <t>Call Solicitud PoC Azure DevOps IPS</t>
  </si>
  <si>
    <t>Call para coordina ry planificar PoC asociados a los servicios de Azure DevOps para IPS</t>
  </si>
  <si>
    <t xml:space="preserve">Ticket N° 14863 - Creacion Instancia </t>
  </si>
  <si>
    <t>Se crea ticket para la creacion de instancia en plataforma Azure correspondiente a Sonda vZor</t>
  </si>
  <si>
    <t>Ticket N° 14858 - Eventos de Seguridad IPS</t>
  </si>
  <si>
    <t>Area Ciberseguridad  Gonzalo Sepulveda</t>
  </si>
  <si>
    <t>Ticket N° 14877 - Creacion De Politicas AWS</t>
  </si>
  <si>
    <t>Se gestiona ticket para realizar las configuraciones de relgas de seguridad de servicios AWS requeridas por Ciberseguridad y Gonzalo Sepulveda.</t>
  </si>
  <si>
    <t>TIVIT - Operaciones IPS - AWS</t>
  </si>
  <si>
    <t>Call Fase II - Launch Ready Planning AWS</t>
  </si>
  <si>
    <t>Call para gestionar proceso de inicializacion del proyecto AWS Adecuacion de cuentas</t>
  </si>
  <si>
    <t>Call Fase II - Launch Ready Planning AWS - Segunda Parte</t>
  </si>
  <si>
    <t>Ticket N° 14931 - Eventos de Seguridad IPS</t>
  </si>
  <si>
    <t>Call Fase II Sprint 1</t>
  </si>
  <si>
    <t>Continuacion - Call para gestionar proceso de inicializacion del proyecto AWS Adecuacion de cuentas</t>
  </si>
  <si>
    <t xml:space="preserve">Call TLS 1.2 Estado De Servicios Internos </t>
  </si>
  <si>
    <t>Se realiza call para realizar las validaciones de los servicios TLS 1.2 y verificar los servicios internos de IPS.</t>
  </si>
  <si>
    <t>Call IPS Fase II - Daily AWS-TIVIT</t>
  </si>
  <si>
    <t>Ticket N° 14951 - Eventos de Seguridad IPS</t>
  </si>
  <si>
    <t xml:space="preserve">IPS FASE 2 - Sesión de levantamiento AWS </t>
  </si>
  <si>
    <t>Proceso de levantamiento de servicios asociados a las cuentas de AWS IPS</t>
  </si>
  <si>
    <t xml:space="preserve">Call IPS FASE 2 - Sesión de levantamiento AWS </t>
  </si>
  <si>
    <t>Ticket N° 14993 - 14982 - Eventos de Seguridad IPS</t>
  </si>
  <si>
    <t>Area Operaciones - TIVIT</t>
  </si>
  <si>
    <t>Call - Validacion y configuracion Azure DevOps</t>
  </si>
  <si>
    <t>Call de validacion correspondiente a la creacion de persmisos para usuarios QA dentro de Azure DevOps</t>
  </si>
  <si>
    <t>Call - IPS Fase II - Naming/Tagging AWS</t>
  </si>
  <si>
    <t>Call para validar los Tagging y Namming que tendran los servicios de AWS.</t>
  </si>
  <si>
    <t>Area Ciberseguridad       Area Operaciones</t>
  </si>
  <si>
    <t>Ticket N° 15002: Mitigacion De Vulnerabilidades - Ambientes IPS</t>
  </si>
  <si>
    <t>Se genera ticket para mitigar vulnerabilidades presentadas en ambientes IPS</t>
  </si>
  <si>
    <t>Call - IPS Fase II - Networking AWS</t>
  </si>
  <si>
    <t>Call para validar configuraciones correspondeintes a Networking y nuevos despliegues de redes.</t>
  </si>
  <si>
    <t>Area Proyectos  Operaciones</t>
  </si>
  <si>
    <t>Call AppServices SDM-Back</t>
  </si>
  <si>
    <t>Call para validar problema de conectividad y consulta de servicios sdm-back</t>
  </si>
  <si>
    <t>Call IPS FASE 2 - Revisión de Controles de CT a aplicar</t>
  </si>
  <si>
    <t>Call para realizar las validaciones correspondeites a Controles de CT para el proyecto de adecuacion de cuentas.</t>
  </si>
  <si>
    <t>Ticket N° 15039 - Problemas sitio ciber.ips.gob.cl</t>
  </si>
  <si>
    <t>Se crea ticket por problemas de conectividad en sitio ciber.ips.gob.cl</t>
  </si>
  <si>
    <t>Continuacion - Call para validar configuraciones correspondeintes a Networking y nuevos despliegues de redes.</t>
  </si>
  <si>
    <t>IPS FASE 2 - Definición de Servicios de Seguridad a Implementar o Explorar</t>
  </si>
  <si>
    <t>Call correspondiente a validar y veriticar servicios de seguridad a implmentar.</t>
  </si>
  <si>
    <t>IPS FASE 2 - SPRINT 1 REVIEW / SPRINT 2 PLANNING</t>
  </si>
  <si>
    <t>Call de revision de finalizacion de Sprints 1-2</t>
  </si>
  <si>
    <t>IPS FASE 2 - Definir políticas de backup y estrategia de etiquetado</t>
  </si>
  <si>
    <t>Call correspondiente al proyecto de adecuacion de cuentas en donde se realizaron las validaicones de politicas y etiquetados de ambientes par aservicios de AWS Backup</t>
  </si>
  <si>
    <t>IPS FASE 2 - DEFINICION DE REPOSITORIOS A UTILIZAR</t>
  </si>
  <si>
    <t>Call para validar los repositorios que se utilizaran para los despliegues de IaC para lo que es Landing Zone</t>
  </si>
  <si>
    <t>JUNIO</t>
  </si>
  <si>
    <t>Continuacion IPS FASE 2 - DEFINICION DE REPOSITORIOS A UTILIZAR</t>
  </si>
  <si>
    <t xml:space="preserve">Call IPS - DEFINICIONES DE ACCESOS A AWS ( IAM IDENTITY CENTER) </t>
  </si>
  <si>
    <t>Call para definir los accesos, grupos que tendra el despliegue de IAM Identity Center.</t>
  </si>
  <si>
    <t>IPS FASE 2 - Despliegue inicial CT + LZA</t>
  </si>
  <si>
    <t>Call correspondiente a las configuraciones y despliegues del servicio CT y LZA</t>
  </si>
  <si>
    <t>Ticket N° 15120 - Estado Repositorio Documental | 04-06-2025</t>
  </si>
  <si>
    <t>IPS FASE 2 - Revisión y priorización de cargas de trabajo a Adecuar</t>
  </si>
  <si>
    <t>Call para verificar el orden de prioridad que tendra la migracion y adecuacion de cargas para el proyecto de adecuacion de cuentas.</t>
  </si>
  <si>
    <t>Call IPS FASE 2 - Revisión de Normativas de Seguridad 1</t>
  </si>
  <si>
    <t>Call para revisar las normativas de seguridad que se aplicaran en nuestros servicios de LZA</t>
  </si>
  <si>
    <t>Ticket N° 15144 - Asunto: Solicitud ticket Infraestructura recursos appsservices PROD concesión mayo 2025</t>
  </si>
  <si>
    <t>solicitar aumento de recursos del appservice Sdm-back.scm.azurewebsites.net en PROD ya que se requiere realizar el proceso de concesión de mayo 2025. El proceso se ejecutará desde las 18 hrs en adelante para no ejecutar en horario de oficina.</t>
  </si>
  <si>
    <t>Call IPS FASE 2 - Revisión de Frameworks (Cloud Security/Risk)</t>
  </si>
  <si>
    <t>Call para validar Frameworks correspondientes a servicios Cloud a implementar.</t>
  </si>
  <si>
    <t>Jesus Chavez - IPS</t>
  </si>
  <si>
    <t>Ticket N° 15156 - Eliminacion de recursos Splunk Azure</t>
  </si>
  <si>
    <t>Ticket correspondiente a la eliminacion de recursos Splunk en Azure</t>
  </si>
  <si>
    <t xml:space="preserve">Call IPS FASE 2 - REVISION DE NORMATIVAS DE SEGURIDAD 2 </t>
  </si>
  <si>
    <t>Call para revisar las normativas actaules que cuenta IPS para ser complementadas en proyecto de adecuacion de cuentas en AWS</t>
  </si>
  <si>
    <t xml:space="preserve">IPS FASE 2 - INTEGRAR IDP CON IDENTITY CENTER </t>
  </si>
  <si>
    <t>Call para realizar la integracion de servicios Idp Entra ID IPS hacia servicios de AWS Identity Center para cuenta administrativas.</t>
  </si>
  <si>
    <t>Call [MS AZ IPS] Temas Pendientes</t>
  </si>
  <si>
    <t>Call correspondientes a las validaciones y verificaciones de temas pendientes correspondientes a Microsoft Azure</t>
  </si>
  <si>
    <t>Call revision ambiente SIT Portal De Pagos - Cliente-Caja Los Heroes</t>
  </si>
  <si>
    <t>Call para validar las configuraciones de nuevos servicios en donde Portal De Pagos consumira servicios hacia un WSDL Caja Los Heroes</t>
  </si>
  <si>
    <t>Ticket N°: 15208 - Apagado Instancias PDP SIT</t>
  </si>
  <si>
    <t>Call Sprint 2 Review - Sprint 3 Planning</t>
  </si>
  <si>
    <t>Call para finalizar los Sprints correspondientes a la Fase II y comienzo del Sprints 3</t>
  </si>
  <si>
    <t>Claudia Contreras - Nickolas Gil</t>
  </si>
  <si>
    <t>Call Validar Funcionamiento App Expediente Electronico QA</t>
  </si>
  <si>
    <t>Call para validar problemas de performance y configuraciones del app Expediente Electronico QA</t>
  </si>
  <si>
    <t>Call Modelado e implementacion Grupos y Permisos - LZA - EntraID</t>
  </si>
  <si>
    <t>Call para definir los grupos a crear dentro de EntraID como tambien los tipos de politicas y permisos y aplicar.</t>
  </si>
  <si>
    <t>Call Definicion SCP Billing</t>
  </si>
  <si>
    <t>Call para definir SCP que aplicar para el servicio Billing e cuentas de AWS IPS desde LZA</t>
  </si>
  <si>
    <t>Call IPS FASE 2 - NETWORKING 2 DISEÑO INICIAL Y DESPLIEGUE</t>
  </si>
  <si>
    <t>Call para realizar las validaciones y posteriores configuraciones de direccionamiento nuevos para los servicios de AWS IPS.</t>
  </si>
  <si>
    <t>Call IPS Fase II - Gitlab</t>
  </si>
  <si>
    <t>Call para validar las ultimas configuraciones correspondeintes al servicio Gitlab que estara en nuestro LZA</t>
  </si>
  <si>
    <t>Call Rev Cargas Minisitios - Proy. Landing Zone</t>
  </si>
  <si>
    <t>Call para validar y revisar cargas de minisitios a migrar.</t>
  </si>
  <si>
    <t>TIVIT - Operaciones IPS - CHA</t>
  </si>
  <si>
    <t>Call IPS Integración AWS-AZURE IPS a CNAPP</t>
  </si>
  <si>
    <t>Call para realizar el levantamiento de gestiones y configuraciones para realizar la implementacion de agentes Crowdstrike e inventario de servicios que requiere CHA</t>
  </si>
  <si>
    <t>Call IPS Modelado Final e Implementacion de Grupos</t>
  </si>
  <si>
    <t>Call para realizar las validaciones finales de grupos y permisos hacai nuestro LZA</t>
  </si>
  <si>
    <t>Call IPS Fase II - Desplieue y Modelamiento</t>
  </si>
  <si>
    <t>Call para realizar los despliegues y modelamientos de LZA restantes</t>
  </si>
  <si>
    <t>JULIO</t>
  </si>
  <si>
    <t>Call MS-TIVIT Ticket: R95489</t>
  </si>
  <si>
    <t>Call para realizar las gestiones de tickets y actividades pendientes con TIVIT y MS</t>
  </si>
  <si>
    <t>Call IPS Fase II - Gitlab Prueba Demo</t>
  </si>
  <si>
    <t>Call para realizar las validaciones y pruebas demos de ambiente Gitlab</t>
  </si>
  <si>
    <t>Call IPS FASE 2 - Definición de Custom Policies  - Identity Center - Levantamiento</t>
  </si>
  <si>
    <t>En los casos que sea necesario, se agregará una custom policy a los grupos de permisos definidos en el Identity Center para agregar o limitar los accesos otorgados mediante AWS Managed Policies.
En esta actividad se propone hacer un levantamiento de las necesidades adicionales a modelar con Custom Policies en cada uno de los grupos de permisos (PermissionSets) desplegados actulmente</t>
  </si>
  <si>
    <t>IPS - Jorge Leon Aguilez</t>
  </si>
  <si>
    <t>Ticket 15388 - Asunto: ODI PRD conexión smtp</t>
  </si>
  <si>
    <t>Favor generar aranda a INFRA para realizar revisión de conexión entre las máquinas:
ODI Prod: 10.150.150.108
Servidor de correo SMTP: email-smtp.us-east-1.amazonaws.com
Favor revisar urgente ya que estamos sin poder procesar y notificar del estado de sus archivos a las entidades externas.</t>
  </si>
  <si>
    <t>Call IPS FASE 2 - DEFINICION ADECUACION A WEB APP VARIAS (MINISITIOS)</t>
  </si>
  <si>
    <t>Call para realizar las validaciones de los minisitios y servicios que se estaran migrando</t>
  </si>
  <si>
    <t xml:space="preserve">Operaciones IPS </t>
  </si>
  <si>
    <t>Call IPS Validacion y Revision ODI</t>
  </si>
  <si>
    <t>Call para realizar las validaciones y problemas presentados en el envio de correos del ambiente ODI PROD</t>
  </si>
  <si>
    <t>TIVIT - Operaciones IPS - Microsoft</t>
  </si>
  <si>
    <t>Call  [EXTERNO]RE: Ticket R95489</t>
  </si>
  <si>
    <t>Call para realizar las validaciones con respecto a los servicios Quota/App Services</t>
  </si>
  <si>
    <t>Call  [EXTERNO]RE: Ticket R119468</t>
  </si>
  <si>
    <t>Call para realizar las validaciones con respecto a los servicios Azure Static Apps  huerfano asociado a Anuario-IPS</t>
  </si>
  <si>
    <t>Call IPS Fase II - Despliegue Gitlab</t>
  </si>
  <si>
    <t xml:space="preserve"> Call para gestionar proceso de inicializacion y despliegue del servicio Gitlab que sera utilizado en nuestro LZA.</t>
  </si>
  <si>
    <t>Call IPS Fase II - Workshop De Seguridad</t>
  </si>
  <si>
    <t xml:space="preserve"> Call correspondiente a Workshop de seguridad que tendran nuestros servicios y cuentas en LZA IPS</t>
  </si>
  <si>
    <t xml:space="preserve"> [MS AZ IPS] Cloud Services - Temas Pendientes</t>
  </si>
  <si>
    <t xml:space="preserve"> Call para realizar las validaciones de temas pendientes en nube MS Azure</t>
  </si>
  <si>
    <t xml:space="preserve"> [MS AZ IPS] Ticket 15422 - Sitios FQDN App Services Azure</t>
  </si>
  <si>
    <t>Ciberseguridad IPS: Necesitamos el listado de todos los sitios publicados en Azure, con el dominio azurewebsites.net.
También el detalle de a qué ambiente pertenecen: QA, Desa o Producción.</t>
  </si>
  <si>
    <t>Operaciones IPS - AWS</t>
  </si>
  <si>
    <t>Call IPS Fase II - Intrucciones/Despliegue y Configuraciones Gitlab</t>
  </si>
  <si>
    <t xml:space="preserve"> Call correspondiente a erealizar el despliegue y configuraciones del servicio Gitlab en nuestro LZA</t>
  </si>
  <si>
    <t>Call IPS - Análisis y Coordinación Incidente Notificación a SUPEN - NOC - DC - SOC</t>
  </si>
  <si>
    <t>Call correspondiente a las validaciones del incidente presentado con base a lo indicado en el asunto.</t>
  </si>
  <si>
    <t>Call IPS Fase II - Continuacion Despliegue Gitlab Etapa 2</t>
  </si>
  <si>
    <t xml:space="preserve"> Continuacion Call para gestionar proceso de inicializacion y despliegue del servicio Gitlab que sera utilizado en nuestro LZA.</t>
  </si>
  <si>
    <t>Call IPS - PRESENCIAL SPRINT 4 REVIEW// SPRINT 5 PLANNING</t>
  </si>
  <si>
    <t>Call para el cierre del Sprint 4 y comienzo de Sprint 5</t>
  </si>
  <si>
    <t>Call Configuracion App Service Cta Corriente</t>
  </si>
  <si>
    <t>Call para validar las configuraciones de servicios de App Services Cta Corriente</t>
  </si>
  <si>
    <t>Ticket N° 15467 - Hallazgos ANCI</t>
  </si>
  <si>
    <t>Se realiza ticket para verificar reportes de cabeceras faltantes en recursos de app reforma.inp.cl</t>
  </si>
  <si>
    <t>Call IPS Fase II - Revision DC y alternativas</t>
  </si>
  <si>
    <t>Call para relaizar las validaciones y alternativas de utilizar el actual DirectConnect a nuestros servicios de LZA.</t>
  </si>
  <si>
    <t>Call IPS Fase II - Workshop De Seguridad - IAM</t>
  </si>
  <si>
    <t>Workshop AWS Day Security</t>
  </si>
  <si>
    <t>Call IPS Fase II - Workshop De Seguridad - Logging Monitoring</t>
  </si>
  <si>
    <t>Operaciones y Ciberseguridad IPS - NASTEC</t>
  </si>
  <si>
    <t>Call Invitation: Follow up POC IPS/Chileatiende - LUMU - NASTEC</t>
  </si>
  <si>
    <t>Call para conocer PoC asociado a herrameinta LUMU</t>
  </si>
  <si>
    <t>IPS FASE2 - DEFINICIONES ADECUACION A ALFRESCO</t>
  </si>
  <si>
    <t>Call para realizar el levntamiento de servicios correspondientes a Alfresco IPS</t>
  </si>
  <si>
    <t>Operaciones/ Area DyM IPS</t>
  </si>
  <si>
    <t>[MS Azure IPS] Avances y Próximos Pasos Azure DevOps</t>
  </si>
  <si>
    <t>Call para revisar los avances y proximos pasos del servicio Azure DevOps</t>
  </si>
  <si>
    <t>Call IPS Fase II - Integracion Gitlab - EntraID</t>
  </si>
  <si>
    <t>Call para gestionar y realizar las configuraciones correspodientes a la integracion de Gitlab con EntraID</t>
  </si>
  <si>
    <t>Call IPS Fase II - Despliegue de Runners Gitlab</t>
  </si>
  <si>
    <t>Call para proceder con las configuraciones de Runners para ambiente Gitlab IPS desplegado en LZA</t>
  </si>
  <si>
    <t>Call IPS Fase II - Revision Ciclo de Vida Logs</t>
  </si>
  <si>
    <t>Call para coordinar y verificar las configuraciones de ciclo de vida de Logs que estaran en nuestro LZA</t>
  </si>
  <si>
    <t>Ciberseguridad - Operaciones IPS</t>
  </si>
  <si>
    <t>[Evento de seguridad]: Permisos insuficientes cuenta AWS</t>
  </si>
  <si>
    <t>Ticket N° 15556 correspondientes a eventos de configuracion asociados al servicio Prisma Cloud en AWS</t>
  </si>
  <si>
    <t>Operaciones IPS - Ciberseguridad</t>
  </si>
  <si>
    <t>Call Validar politicas Prisma Cloud AWS/Azure</t>
  </si>
  <si>
    <t>Call para realizar las validaciones y acciones faltantes correspondeintes a rol creado en prisma cloud hacia nuestros servicios cloud AWS/Azure</t>
  </si>
  <si>
    <t>Call IPS Fase II - Ejecucion Adecuacion a Web Minisitios Gitlab</t>
  </si>
  <si>
    <t>Call para realizar las configuraciones e implemntaciones d eminisitios a traves de Gitlab</t>
  </si>
  <si>
    <t>Operaciones y Ciberseguridad IPS</t>
  </si>
  <si>
    <t>Call Configuracion Servicios PoC LUMU</t>
  </si>
  <si>
    <t>Call para proceder a realizar las configuraciones de servicios PoC correspondeinte a Herr. LUMU administrada por Ciberseguridad.</t>
  </si>
  <si>
    <t>Operaciones IPS - CHA</t>
  </si>
  <si>
    <t>Call IPS - CHA Configuracion Peering entre Suscricpiones</t>
  </si>
  <si>
    <t>Call para realizar configuraciones correspondientes a peerings entre suscricpiones MS Azure de IPS-CHA</t>
  </si>
  <si>
    <t>IPS - PRESENCIAL SPRINT 5 REVIEW// SPRINT 6 PLANNING</t>
  </si>
  <si>
    <t>Call IPS Fase II - Workshop VPC Overview</t>
  </si>
  <si>
    <t>Call correspondiente a Workshop VPC para cuentas LZA AWS IPS</t>
  </si>
  <si>
    <t>Call IPS Fase II - Workshop Infraestructure Security</t>
  </si>
  <si>
    <t>Call correspondiente a Workshop Infraestructure Security para cuentas LZA AWS IPS</t>
  </si>
  <si>
    <t xml:space="preserve">Operaciones/Ciberseguridad IPS </t>
  </si>
  <si>
    <t>Call Sesion Tecnica LUMU AWS</t>
  </si>
  <si>
    <t>Call para realizar validaciones correspondientes a la PoC LUMU en AWS</t>
  </si>
  <si>
    <t xml:space="preserve">Operaciones/Ciberseguridad IPS  LUMU </t>
  </si>
  <si>
    <t>Call Configuraciones PoC LUMU AWS</t>
  </si>
  <si>
    <t>Call correspondiente a las validaicones y configuraciones d elos servicios PoC LUMU AWS</t>
  </si>
  <si>
    <t>IPS FASE 2- Ejecución Adecuación a Web minisitios - Minisitios QA</t>
  </si>
  <si>
    <t>Call para veridicar y agregar nuevas configuraciones correspondientes a los despliegues de ambientes Minisitios QA</t>
  </si>
  <si>
    <t>Call [AWS IPS] Definición - Adecuación Web Minisitios</t>
  </si>
  <si>
    <t>Call para realizar las validaciones y definiciones correspondientes a los proximos adecuaciones y migraciones de minisitios para IPS.</t>
  </si>
  <si>
    <t>Area QA IPS</t>
  </si>
  <si>
    <t>Call [AZ IPS] Call Induccion App Services QA</t>
  </si>
  <si>
    <t>Call de induccion correspondientes a los servicios y configuraciones correspondientes a App Services QA</t>
  </si>
  <si>
    <t>Call IPS FASE 2 - Definición Adecuación a IPS en Línea</t>
  </si>
  <si>
    <t>Call correspondiente a las definiciones de adecuacion de servicios IPSenLinea</t>
  </si>
  <si>
    <t xml:space="preserve">Call IPS FASE 2 - DESPLIEGUE DE PALO ALTO FW </t>
  </si>
  <si>
    <t>Call correspondiente a las definiciones de despliegue de FW de Inspeccion Palo Alto IPS</t>
  </si>
  <si>
    <t>AGOSTO</t>
  </si>
  <si>
    <t>Call IPS Fase II - Workshop Data Protection</t>
  </si>
  <si>
    <t>Call Workshop Data Protection asociado a los servicios de LZA IPS</t>
  </si>
  <si>
    <t>Ticket 15665 - Evento de Seguridad Instancias AWS EC2</t>
  </si>
  <si>
    <t>Ticket correspondiente a evento de seguridad en instancias AWS EC2 detectado por Prisma Cloud.</t>
  </si>
  <si>
    <t xml:space="preserve">Continuacion Call IPS FASE 2 - DESPLIEGUE DE PALO ALTO FW </t>
  </si>
  <si>
    <t>Continuacion Call correspondiente a las definiciones de despliegue de FW de Inspeccion Palo Alto IPS</t>
  </si>
  <si>
    <t>Soporte AWS</t>
  </si>
  <si>
    <t>Call Solicitud de informe de trazabilidad sobre envío del 17 de junio</t>
  </si>
  <si>
    <t>Call para realizar las validaciones Solicitud de informe de trazabilidad sobre envío del 17 de junio para identidad sgd-gedin@ips.gob.cl</t>
  </si>
  <si>
    <t xml:space="preserve">IPS FASE 2 - INTEGRACION CUENTAS LEGADAS EN LZ </t>
  </si>
  <si>
    <t>Call correspondiente al proceso de configuracion de cuentas legadas hacia LZA IPS, como tambien asi sus correspondientes reglas de compliance a verificar</t>
  </si>
  <si>
    <t>IPS FASE 2 - ACTIVIDADES PENDIENTES</t>
  </si>
  <si>
    <t>IPS - Miguel Abarca</t>
  </si>
  <si>
    <t>Revision Despacho GEDIN</t>
  </si>
  <si>
    <t>Call para validar los registros y estado de los servicios AWS SES para el servicio GEDIN</t>
  </si>
  <si>
    <t>IPS FASE 2 - Workshop Seguridad - Incident Response</t>
  </si>
  <si>
    <t>Call Workshop Incident Response asociado a los servicios de LZA IPS</t>
  </si>
  <si>
    <t>IPS - PRESENCIAL SPRINT 7 REVIEW// SPRINT 8 PLANNING</t>
  </si>
  <si>
    <t>Call IPS - PRESENCIAL SPRINT 7 REVIEW// SPRINT 8 PLANNING</t>
  </si>
  <si>
    <t>Cumplimiento normativo Prisma</t>
  </si>
  <si>
    <t>Call correspondiente a las validaciones y comprobaciones de normativas de seguridad para los servicios IPS desde Prisma Cloud</t>
  </si>
  <si>
    <t xml:space="preserve">IPS FASE 2 WORKSHOP - AWS NETWORKING INMESION DAY </t>
  </si>
  <si>
    <t xml:space="preserve">Workshop IPS FASE 2 WORKSHOP - AWS NETWORKING INMESION DAY </t>
  </si>
  <si>
    <t>Jorge Leon - IPS</t>
  </si>
  <si>
    <t>Ticket 15761 -  APP Azure para llamadas API REST PBI</t>
  </si>
  <si>
    <t>Ticket correspondiente a la creacion de servicios App Services requeridos.</t>
  </si>
  <si>
    <t>IPS FASE 2 - INTREGRACION DE CUENTAS LEGADO A LZ</t>
  </si>
  <si>
    <t>Call correspondiente a las configuraciones e integraciones de cuentas legadas a nuestros servicios de LZA</t>
  </si>
  <si>
    <t>IPS FASE 2 - Configuracion AWS Backup</t>
  </si>
  <si>
    <t>[EXTERNO]Sesión de alcance técnica App Services - ChileAtiende/IPS</t>
  </si>
  <si>
    <t>Call [EXTERNO]Sesión de alcance técnica App Services - ChileAtiende/IPS</t>
  </si>
  <si>
    <t>IPS FASE 2 WORKSHOP - AWS SECRET MANAGER</t>
  </si>
  <si>
    <t>Call IPS Fase II - Corregir Cifrado Aurora</t>
  </si>
  <si>
    <t>Call correspondiente a la correccion de servicios Aurora Gitlab para servicios LZA desde RDS</t>
  </si>
  <si>
    <t>[EXTERNO]FW: IPS FASE 2 - Ejecución Adecuación a Web minisitios - Minisitios PROD</t>
  </si>
  <si>
    <t>Call [EXTERNO]FW: IPS FASE 2 - Ejecución Adecuación a Web minisitios - Minisitios PROD para servicios LZA IPS</t>
  </si>
  <si>
    <t>IPS FASE 2 - CONFIGURACION DIRECTCONNECT</t>
  </si>
  <si>
    <t>Call IPS FASE 2 - CONFIGURACION DIRECTCONNECT correspondientes a las configuraciones a realizar desde nuestro LZA a las regiones permitidas</t>
  </si>
  <si>
    <t>IPS FASE 2 - Definición Adecuación a Asignación Familiar (S3 pivote)</t>
  </si>
  <si>
    <t>IPS FASE 2 - Definición Adecuación a Asignación Familiar (S3 pivote) Reunion con areas de arquitecrura para definir la adecuacion correcta de esta carga de trabajo.</t>
  </si>
  <si>
    <t>Configuración Gitlab Minisitios / Eliminación TG Attachments VMC Legacy</t>
  </si>
  <si>
    <t>Call en conjunto con area de Infraestructura IPS para explicar - Configuración Gitlab Minisitios / Eliminación TG Attachments VMC Legacy</t>
  </si>
  <si>
    <t>IPS FASE 2 - DEFINICION ADECUACION A IPS EN LINEA (SGI)</t>
  </si>
  <si>
    <t>Call IPS FASE 2 - DEFINICION ADECUACION A IPS EN LINEA (SGI) para realizar las validaciones de dicho ambiente a ser adecuado</t>
  </si>
  <si>
    <t>Operaciones IPS - Microsoft</t>
  </si>
  <si>
    <t>[EXTERNO]Presentación acompañamiento técnico AppServices - ChileAtiende/IPS</t>
  </si>
  <si>
    <t>Call [EXTERNO]Presentación acompañamiento técnico AppServices - ChileAtiende/IPS</t>
  </si>
  <si>
    <t>Ticket 15878 - Respaldos AD Cloud Services</t>
  </si>
  <si>
    <t>Se requiere realizar los respaldos de AD ubicados en nuestros CloudProviders por proceso de upgrade que se realizaran en dichos ambientes.</t>
  </si>
  <si>
    <t xml:space="preserve">IPS FASE 2 - WORKSHOP THREAT DETECTION AND RESPONSE </t>
  </si>
  <si>
    <t xml:space="preserve">Call - IPS FASE 2 - WORKSHOP THREAT DETECTION AND RESPONSE </t>
  </si>
  <si>
    <t>Interna - Diseño e implementación Ruteo final hacia On-Prem</t>
  </si>
  <si>
    <t>Call para definir las rutas y configuraciones que estaran pasando desde nuestros LZA hacai OnPremises y otras subredes de nubes disponibles.</t>
  </si>
  <si>
    <t>Call De Seguimiento AWS Minisitios</t>
  </si>
  <si>
    <t>Call de apoyo AWS Minisitios - Area Operaciones IPS</t>
  </si>
  <si>
    <t>IPS FASE 2 - Priorizar siguientes Workloads a Adecuar</t>
  </si>
  <si>
    <t>Call correspondeinte a realizar las validaciones de cuales Workloads seran prioritarias realziar las migraciones y adecuaciones correspondientes.</t>
  </si>
  <si>
    <t>Aplicación Cabeceras de Seguridad Reforma</t>
  </si>
  <si>
    <t>Call Aplicación Cabeceras de Seguridad Reforma asociado a los servicios WAF del Sistema.</t>
  </si>
  <si>
    <t>[AWS IPS - Proyecto Adecuación De Ambientes Planificación - Migración Cargas de Minisitios hacia PRD</t>
  </si>
  <si>
    <t>Call de coordinacion - [AWS IPS - Proyecto Adecuación De Ambientes Planificación - Migración Cargas de Minisitios hacia PRD</t>
  </si>
  <si>
    <t>Acceso Green Lake a Tenant IPS</t>
  </si>
  <si>
    <t>Call Acceso Green Lake a Tenant IPS</t>
  </si>
  <si>
    <t>Ticket 15927 - Solicitud Certificado asignacionfamiliar.cl</t>
  </si>
  <si>
    <t>Mediante ticket se solciita la renovacion del certificado asignacionfamiliar.cl ya que esta proximo a expirar.</t>
  </si>
  <si>
    <t>IPS FASE 2 - WORKSHOP THREAT DETECTION AND RESPONSE</t>
  </si>
  <si>
    <t>Operaciones - Area Arquitectura IPS</t>
  </si>
  <si>
    <t>Call Revision Habilitacion AKS</t>
  </si>
  <si>
    <t>Call para revisar las psoibles alternativas de arquitecgtura e implementacion de solcuiones tipo AKS para el servicio PISSE</t>
  </si>
  <si>
    <t>Operaciones - Area QA/DyM IPS</t>
  </si>
  <si>
    <t>Call Revision Permisos/Configuraciones Azure DevOps</t>
  </si>
  <si>
    <t>Call para realizar validaciones correspondientes a Permisos y Configuraciones del servicio Azure DevOps para el area de QA/DYM</t>
  </si>
  <si>
    <t>Call Continuacion - Aplicación Cabeceras de Seguridad Reforma</t>
  </si>
  <si>
    <t>Continuacion - [AWS IPS - Proyecto Adecuación De Ambientes Planificación - Migración Cargas de Minisitios hacia PRD</t>
  </si>
  <si>
    <t>Call LZ - Implementacion AWS EKS Servicios Tanzu</t>
  </si>
  <si>
    <t>Call Servicios Transversales (PISSE) - Rango IP</t>
  </si>
  <si>
    <t>Call correspondiente al proyecto Servicios Transversales (PISSE) - Rango IP en donde se validaran los recursos a utiliza ren Cluster EKS</t>
  </si>
  <si>
    <t>Operaciones IPS - TIVIT/Microsoft</t>
  </si>
  <si>
    <t>Call RE: [EXTERNO]Solicitud abierta R133119 - Azure DevOps</t>
  </si>
  <si>
    <t>Call correspondeinte a realziar validaciones de Parallel Jobs requeridos en suscripcion Azure DevOps en IPS</t>
  </si>
  <si>
    <t>Call IPS Fase II - Configuracion VPN S2S</t>
  </si>
  <si>
    <t>Call corresponidente a realizar las configuraciones correspondientes a la conectividad VPN S2S entre cuentas LZA hacia IPS</t>
  </si>
  <si>
    <t>Call IPS Fase II - Workshop Seguridad VPN y DX</t>
  </si>
  <si>
    <t>Call corresponidente a verificar y coordinar los equipos que estaran revisanod el cambio de hora.</t>
  </si>
  <si>
    <t xml:space="preserve">Operaciones/Arquitectura IPS </t>
  </si>
  <si>
    <t>Call Landing Zone - EKS Tanzu [Definición Roles AWS/IPS Gitlab]</t>
  </si>
  <si>
    <t>Call para realizar las verificaciones correspondientes al tema - Landing Zone - EKS Tanzu [Definición Roles AWS/IPS Gitlab]</t>
  </si>
  <si>
    <t xml:space="preserve">IPS FASE 2 // Ejecucion Adecuacion a Web minisitio - Migracion </t>
  </si>
  <si>
    <t>Call para gestionar proceso de migracion y adecaucion de minitios PROD hacai AWS Route 53</t>
  </si>
  <si>
    <t>Call IPS - PRESENCIAL SPRINT 8 REVIEW// SPRINT 9 PLANNING</t>
  </si>
  <si>
    <t>IPS FASE 2 - Workshop DevOps</t>
  </si>
  <si>
    <t>IPS FASE 2 - Workshop DevOps correspondientes a los servicios configurados para LZA IPS</t>
  </si>
  <si>
    <t>IPS FASE 2 - Migración Adecuación a Asignación Familiar &amp; Liquidacion Consolidada</t>
  </si>
  <si>
    <t>Call IPS FASE 2 - Migración Adecuación a Asignación Familiar &amp; Liquidacion Consolidada correspondeinte al proyecto de IPS LZA</t>
  </si>
  <si>
    <t xml:space="preserve">IPS FASE 2 - Workshop Seguridad - WAF 1 </t>
  </si>
  <si>
    <t xml:space="preserve">Actividad LZA - IPS FASE 2 - Workshop Seguridad - WAF 1 </t>
  </si>
  <si>
    <t>[AWS IPS ]Próximos Pasos - Adecuación Plataforma PISSE</t>
  </si>
  <si>
    <t>Call para revisar Próximos Pasos - Adecuación Plataforma PISSE asociados al despliegue de la arquitectura AWS EKS</t>
  </si>
  <si>
    <t>IPS FASE 2 - Activación y Configuración de SecurityHub</t>
  </si>
  <si>
    <t>Implmentacion IPS FASE 2 - Activación y Configuración de SecurityHub en cuenta Security de LZA</t>
  </si>
  <si>
    <t>IPS FASE 2 - Activación y Configuración de GuardDuty vía LZA</t>
  </si>
  <si>
    <t>Implementacion IPS FASE 2 - Activación y Configuración de GuardDuty vía LZA</t>
  </si>
  <si>
    <t>IPS FASE 2 - Migración Adecuación a Asignación Familiar</t>
  </si>
  <si>
    <t>Call correspondiente a los trabajos asociados a IPS FASE 2 - Migración Adecuación a Asignación Familiar</t>
  </si>
  <si>
    <t>Call Analisis de conectividad - Servicios Reforma</t>
  </si>
  <si>
    <t>Call correspondiente a verificar y realizar los analisis actuales de conectividad de servicios de Reforma</t>
  </si>
  <si>
    <t>IPS FASE 2 -  - Avances Migración Adecuación a Asignación Familiar</t>
  </si>
  <si>
    <t>Call IPS FASE 2 -  - Avances Migración Adecuación a Asignación Familiar en conjunto con Area de Infraestructura</t>
  </si>
  <si>
    <t>IPS FASE 2 - Despliegue Servicios Asignación Familiar</t>
  </si>
  <si>
    <t>Call para realizar las validaciones internas con area de Arquitectura para realizar las validaciones internas con el modelo LZA AsignacionFamiliar</t>
  </si>
  <si>
    <t>IPS - PRESENCIAL SPRINT 9 REVIEW// SPRINT 10 PLANNING</t>
  </si>
  <si>
    <t>IPS FASE 2 - Despliegue anticipado Servicios Transversales (PISSE)</t>
  </si>
  <si>
    <t>Call correspondiente a IPS FASE 2 - Despliegue anticipado Servicios Transversales (PISSE) asociados a los despliegues de servicios LZA</t>
  </si>
  <si>
    <t>AWS SES - Problemas Servicios Contraloria</t>
  </si>
  <si>
    <t>Call para validar problemas en los envios de correos a identidad externas Contraloria</t>
  </si>
  <si>
    <t>[EXTERNO]Acompañamiento App Services - IPS</t>
  </si>
  <si>
    <t>Continuacion - Call de seguimiento y apoyo correspondiente a los servicios de App Services IPS</t>
  </si>
  <si>
    <t>Configuracion</t>
  </si>
  <si>
    <t>Operaciones IPS/Ciberseguridad/AWS</t>
  </si>
  <si>
    <t>[POC SIEM Trellix]: Integración AWS</t>
  </si>
  <si>
    <t>Continuacion Call correspondiente a realizar las validaciones y verificaciones correspondeintes a PoC de implmentacion Trellix</t>
  </si>
  <si>
    <t>Activación de CIS v5.0 mediante SecurityHub</t>
  </si>
  <si>
    <t>Call para proceder a erealziar la Activación de CIS v5.0 mediante SecurityHub en cuenta centralizada de LZA</t>
  </si>
  <si>
    <t>Revision App Services y Definicion Maestro De Juicios</t>
  </si>
  <si>
    <t>Validar servicios corresppondiente a la definiciones de App Services del proyecto Maestro De Juciios</t>
  </si>
  <si>
    <t>GEDIN - Tamaño de archivos adjuntos</t>
  </si>
  <si>
    <t>Validar las configuraciones y validaciones del tamaño configurado de envio de adjuntos por identidad en AWS SES.</t>
  </si>
  <si>
    <t>[POC SIEM Trellix]: Arquitecturas y requerimientos de integración AWS</t>
  </si>
  <si>
    <t>Call corresponidente a realizar las validaciones de arquitectura y configuraciones asociados a PoC Trellix</t>
  </si>
  <si>
    <t>IPS FASE 2 - Sesión de KT Terraform</t>
  </si>
  <si>
    <t>Call correspondiente a capacitacion de servicios IPS FASE 2 - Sesión de KT Terraform</t>
  </si>
  <si>
    <t>Continuacion - Call Acompañamiento App Services</t>
  </si>
  <si>
    <t>Update IaC - Ambiente AFPER DEV</t>
  </si>
  <si>
    <t>Call para relizar Update IaC - Ambiente AFPER DEV ya definida para la infraestructura</t>
  </si>
  <si>
    <t>Validación Servicios AWS LZA AWS SGI Dev</t>
  </si>
  <si>
    <t>Se realiza call para realizar validaciones internas entre servicios SGI DEV correspondiente a la intregacion de LZA</t>
  </si>
  <si>
    <t>IPS - REMOTO SPRINT 12 REVIEW// SPRINT 13 PLANNING</t>
  </si>
  <si>
    <t>Call IPS - REMOTO SPRINT 12 REVIEW// SPRINT 13 PLANNING</t>
  </si>
  <si>
    <t>Operaciones/Ciberseguridad IPS</t>
  </si>
  <si>
    <t>PoC Intregacion Trellix - AWS IPS</t>
  </si>
  <si>
    <t>Call correspondeinte a las gestiones y configuraciones asociados a PoC con servicios AWS y Trellix</t>
  </si>
  <si>
    <t>Operaciones -  IPS</t>
  </si>
  <si>
    <t>AWS LZA - SGI DEV</t>
  </si>
  <si>
    <t>Call para validar los servicios correspondientes a SGI LZA AWS</t>
  </si>
  <si>
    <t>Operaciones/Area QA IPS</t>
  </si>
  <si>
    <t>Validacion Permisos Azure QA</t>
  </si>
  <si>
    <t>Validar permisos correspondientes a recursos ubicados para App Services QA requeridos por area de DyM IPS</t>
  </si>
  <si>
    <t>Revision Monitoreo AWS SES</t>
  </si>
  <si>
    <t>Validar posibles integraciones con monitoreo de servicios AWS SES IPS en ambietnes de monitoreo actuales.</t>
  </si>
  <si>
    <t>Kickoff Soporte Azure - TIVIT</t>
  </si>
  <si>
    <t>Kickoff correspondiente al proceso de Soporte de Azure desde nuestro partners TIVIT/Microsoft</t>
  </si>
  <si>
    <t>AWS LZA - Srv-transv-benef</t>
  </si>
  <si>
    <t>Call par validar y dar continuidad a servicios AWS LZA - Srv-transv-benef correspondientes a ambientes de Arquitectura</t>
  </si>
  <si>
    <t>Operaciones / Ciberseguridad IPS</t>
  </si>
  <si>
    <t>POC SIEM TRELLIX: Formato de logs (json).</t>
  </si>
  <si>
    <t>Call para validar POC SIEM TRELLIX: Formato de logs (json).</t>
  </si>
  <si>
    <t>Caso No. 16545 / RF-223878-4-16545 - Habilitacion Usuarios Gitlab IPS</t>
  </si>
  <si>
    <t>Solicitud Caso No. 16545 / RF-223878-4-16545 para creacion de usuario para accesos hacia Gitlab IPS</t>
  </si>
  <si>
    <t>IPS LZA - SGI</t>
  </si>
  <si>
    <t>Validacion configuraciones correspondientes a validaciones de SGI LZA</t>
  </si>
  <si>
    <t>Nodo notificador del estado - Site2Site</t>
  </si>
  <si>
    <t>Call para realizar las validaciones y levantamiento de servicios correspondientes a la creacion de Nodo notificador del estado - Site2Site</t>
  </si>
  <si>
    <t>POC SIEM - Formato Logs</t>
  </si>
  <si>
    <t>Call correspondiente a las validaciones y formato de logs para POC SIEM Trellix requerido por Ciberseguridad.</t>
  </si>
  <si>
    <t>Operaciones/Ciberseguridad IPS-CHA</t>
  </si>
  <si>
    <t>[EXTERNO] RV: Solicitud de configuración equipo SW -CORE HUAWEI AMU 25, piso 4</t>
  </si>
  <si>
    <t>[EXTERNO] RV: Solicitud de configuración equipo SW -CORE HUAWEI AMU 25</t>
  </si>
  <si>
    <t>Operaciones IPS-CHA</t>
  </si>
  <si>
    <t>Permisos Gitlab - Accesos SGI IPS/CHA</t>
  </si>
  <si>
    <t>Call para realizar los procesos de confoguraciones de servicios Permisos Gitlab - Accesos SGI IPS/CHA</t>
  </si>
  <si>
    <t>LZA IPS/CHA - Configuración TG SRV-TRANSVERSALES QA [Nodo NE]</t>
  </si>
  <si>
    <t>Call para proceder a realizar configuraciones asociados a conectibidad entre SRV Nodo Notificador Estado con CHA</t>
  </si>
  <si>
    <t>AWS-IPS LZA -Backlog y planificación CSPM</t>
  </si>
  <si>
    <t>Nodo notificador del estado - Estado Conexión</t>
  </si>
  <si>
    <t>Call para realizar validaciones correspondeintes a la conectividad de servicios Nodo Notificador IPS con CHA</t>
  </si>
  <si>
    <t>Revisión Avance SGI - Landing Zone - Levantar Riesgo</t>
  </si>
  <si>
    <t>Revisión de los problemas de avance con migración de SGI – Landing Zone, y la posibilidad de levantar carta de riesgo por falta de información y conocimiento indicados por el equipo que lidera Paola Lillo.</t>
  </si>
  <si>
    <t>PoC App Service LZ SCL</t>
  </si>
  <si>
    <t>Call para revisar las configuraciones para PoC App Service LZ SCL</t>
  </si>
  <si>
    <t>Alfresco - IPS AWS LZA</t>
  </si>
  <si>
    <t>Call para revisar las configuraciones para Alfresco - IPS AWS LZA</t>
  </si>
  <si>
    <t>IPS - REMOTO SPRINT 13 REVIEW// SPRINT 14 PLANNING</t>
  </si>
  <si>
    <t>Call de cierre - IPS - REMOTO SPRINT 13 REVIEW// SPRINT 14 PLANNING</t>
  </si>
  <si>
    <t>AWS-IPS LZA - Backlog y planificación CSPM</t>
  </si>
  <si>
    <t>Call correspondiente a servicios AWS-IPS LZA - Backlog y planificación CSPM</t>
  </si>
  <si>
    <t>Oscar Fernandez - IPS</t>
  </si>
  <si>
    <t>[MS AZ IPS] Custom Role - App Services Operators [QA]</t>
  </si>
  <si>
    <t>Call para realizar las siguientes validaciones con usuario Oscar Fernandez: [MS AZ IPS] Custom Role - App Services Operators [QA]</t>
  </si>
  <si>
    <t>Continuacion Call - AWS-IPS LZA -Backlog y planificación CSPM</t>
  </si>
  <si>
    <t>Operaciones IPS/CHA - AWS</t>
  </si>
  <si>
    <t>Adecuación TG Servicios Compartidos LZA IPS - CHA</t>
  </si>
  <si>
    <t>Call para proceder a realizar las validaciones correspondiente a los servicios Adecuación TG Servicios Compartidos LZA IPS - CHA</t>
  </si>
  <si>
    <t>Continuacion - Call para revisar las configuraciones para Alfresco - IPS AWS LZA</t>
  </si>
  <si>
    <t>[AWS IPS] [Nodo Notificador] Config-PaP</t>
  </si>
  <si>
    <t>Call para proceder a realizar las configuraciones previas - [AWS IPS] [Nodo Notificador] Config-PaP</t>
  </si>
  <si>
    <t>[AWS LZA IPS] Validación Configuraciones AFPER QA-SIT</t>
  </si>
  <si>
    <t>Call De Continuacion - [AWS LZA IPS] Validación Configuraciones AFPER QA-SIT</t>
  </si>
  <si>
    <t>IPS - SPRINT 15 REVIEW // SPRINT 16 PANNING</t>
  </si>
  <si>
    <t>Call de cierre: IPS - SPRINT 15 REVIEW // SPRINT 16 PANNING</t>
  </si>
  <si>
    <t>Definición Adecuación Portal de Pagos</t>
  </si>
  <si>
    <t>Call para definir y planificar el proceso de adecuacion de servicios Definición Adecuación Portal de Pagos</t>
  </si>
  <si>
    <t>[EXTERNO]Presentación de resultados App Services / IPS-ChileAtiende</t>
  </si>
  <si>
    <t>Re: [EXTERNO]Ticket Abierto Migración SKU IP Publica</t>
  </si>
  <si>
    <t>Operaciones IPS - Jorge Leon</t>
  </si>
  <si>
    <t>Revision  App PowerBI Azure</t>
  </si>
  <si>
    <t xml:space="preserve">Validar configuraciones correspondientes al servicio de App PowerBI </t>
  </si>
  <si>
    <t>Call - Fase de adecuacion AWS SES</t>
  </si>
  <si>
    <t>Call para proceder con las adecuaciones del servicio IPS AWS SES</t>
  </si>
  <si>
    <t>Call Portal De Pagos - Review</t>
  </si>
  <si>
    <t>Call de validacion de servicios Adecuacion Portal De Pagos</t>
  </si>
  <si>
    <t>Continuacion - [EXTERNO]Presentación de resultados App Services / IPS-ChileAtiende</t>
  </si>
  <si>
    <t>Continuacion - Call para proceder con las adecuaciones del servicio IPS AWS SES</t>
  </si>
  <si>
    <t>IPS - SPRINT 16 REVIEW // SPRINT 17 PANNING</t>
  </si>
  <si>
    <t>Call de cierre: IPS - SPRINT 16 REVIEW // SPRINT 17 PANNING</t>
  </si>
  <si>
    <t>Implementación CNAPP Crowdstrike AWS LZA IPS</t>
  </si>
  <si>
    <t>Se genera call para proceder a realizar las confoiguraciones asociados a - Implementación CNAPP Crowdstrike AWS LZA IPS</t>
  </si>
  <si>
    <t>LZA - AFPER SG</t>
  </si>
  <si>
    <t xml:space="preserve">Cofiguracion de servicios y validacion de ambiente LZA AFPER </t>
  </si>
  <si>
    <t>APP Azure para llamadas API REST PBI</t>
  </si>
  <si>
    <t>Cofiguracion de servicios - APP Azure para llamadas API REST PBI</t>
  </si>
  <si>
    <t>AWS LZA - Revisión Despliegues Transit Gateway, peering, etc</t>
  </si>
  <si>
    <t>Configuraciones servicios AWS LZA - Revisión Despliegues Transit Gateway, peering, etc</t>
  </si>
  <si>
    <t>Revisión y Preración - Migración SKU IP Publica Producción</t>
  </si>
  <si>
    <t>Call de continuacion de actividades - Revisión y Preración - Migración SKU IP Publica Producción</t>
  </si>
  <si>
    <t>[IPS AWS] Validación Doc. Adecuación/Próximos Pasos PdP</t>
  </si>
  <si>
    <t>Call de seguimiento LZA - [IPS AWS] Validación Doc. Adecuación/Próximos Pasos PdP</t>
  </si>
  <si>
    <t>LZA AWS - Cambio de correo Cuentas Alfresco</t>
  </si>
  <si>
    <t>LZA AWS - Cambio de correo Cuentas Alfresco para ser utilkizadas para el servicio y adecuacion PdP</t>
  </si>
  <si>
    <t xml:space="preserve">Operaciones /Ciberseguridad IPS </t>
  </si>
  <si>
    <t>Implementación cabeceras Reforma</t>
  </si>
  <si>
    <t>Validar Implementación cabeceras Reforma correspondientes a las configuraciones aplicadas a nivel de reglas WAF</t>
  </si>
  <si>
    <t>AWS LZA SES</t>
  </si>
  <si>
    <t>Validar documentacion correspondiente a las adecuaciones de servicios de AWS SES</t>
  </si>
  <si>
    <t>Inicio AFPER 2026</t>
  </si>
  <si>
    <t>Call para definir y validar servicios y configuraciones para inciar AFPER 2026</t>
  </si>
  <si>
    <t>IPS Fase 2 - Sprint Planning/Review</t>
  </si>
  <si>
    <t>Operaciones IPS - Gonzalo Sepulveda</t>
  </si>
  <si>
    <t>Ticket  N°   17087 - 17086 - 17088  - Encendidos/Apagados Ambientes PDP SIT-UAT-DEV</t>
  </si>
  <si>
    <t>Se crean tickets para realziar encendidos y apagados de ambientes PDP UAT/SIT/DEV</t>
  </si>
  <si>
    <t>Operaciones IPS - AWS - Externo Andes</t>
  </si>
  <si>
    <t>Revision HPA EKS Nodo Notificador</t>
  </si>
  <si>
    <t>Call para revisar temas relacionados con permisos y ejecucion de addons faltantes para el servicio</t>
  </si>
  <si>
    <t>Operaciones IPS - Andres Bastidas</t>
  </si>
  <si>
    <t>Observaciones ciberseguridad SD Fase 3</t>
  </si>
  <si>
    <t>Call para realizar Observaciones ciberseguridad SD Fase 3 correspondietes a las pruebas de EH realizados al servicio de Subsidio de discapacidad</t>
  </si>
  <si>
    <t>AWS LZA-IPS</t>
  </si>
  <si>
    <t>Call para validar de forma interna los puntos acordados en los Sprints del servicio.</t>
  </si>
  <si>
    <t>Configuracion TG Peering LZA IPS-CHA</t>
  </si>
  <si>
    <t>Continuacion - Call para realizar Observaciones ciberseguridad SD Fase 3 correspondietes a las pruebas de EH realizados al servicio de Subsidio de discapacidad</t>
  </si>
  <si>
    <t>Operaciones IPS - Jorge Echenique</t>
  </si>
  <si>
    <t>Ticket 17128 - Registro de Usuarios - Gitlab IPS - Proyecto: IPS-Arquitectura</t>
  </si>
  <si>
    <t>SE generar ticket para habilitacion de usuarios de arquitectura IPS para interactuar con repositorios de cara al proyecto de AWS LZA IPS</t>
  </si>
  <si>
    <t>Ticket 17127 - Registro de Usuarios - AWS LZA IPS - Cuentas SRV-Transversales QA/PROD</t>
  </si>
  <si>
    <t>SE generar ticket para habilitacion de usuarios de arquitectura IPS para interactuar con cuentas SRV-Transversales al proyecto de AWS LZA IPS</t>
  </si>
  <si>
    <t>Operaciones  y Arquitectura IPS</t>
  </si>
  <si>
    <t>Configuracion accesos Gitlab y cuentas AWS LZA IPS</t>
  </si>
  <si>
    <t>Se requiere realizar las configuraciones de cuentas de acceso a Gitlab y AWS LZA IPS para usuarios Arqitectura IPS</t>
  </si>
  <si>
    <t>Operaciones IPS - Daniel Zamora</t>
  </si>
  <si>
    <t>Ticket 17093 - Solicitud PreWarm Ambiente AFPER</t>
  </si>
  <si>
    <t>Se genera ticket para proceder a realizar las gestiones de PreWarm correspondiente al servicio de AFPER 2026</t>
  </si>
  <si>
    <t>Call Rev Planificacion AFPER</t>
  </si>
  <si>
    <t>Call Rev Planificacion AFPER correspondientes al servicio de ejecucion de este año 2026</t>
  </si>
  <si>
    <t>DyM - Andres Bastidas</t>
  </si>
  <si>
    <t>Ticket 17048 - Observaciones ciberseguridad SD Fase 3 - Componentes Infra</t>
  </si>
  <si>
    <t>Ticket correspondeintes a realizar las mitifgaciones de segurtidad al servicio sdmfront-qa asociados a App Services QA</t>
  </si>
  <si>
    <t>VACACIONES: 16/02/26 al 21/02/26</t>
  </si>
  <si>
    <t>Operaciones IPS - Area Middleware</t>
  </si>
  <si>
    <t>[IPS AWS] Deep Dive - Adecuación AFPER QA-SIT [Servicio: Gestión]</t>
  </si>
  <si>
    <t>Call para validar configuraciones correspondeintes a los ultimos detalles de servicios asociados a AFPER</t>
  </si>
  <si>
    <t>AWS LZA - Usuarios SES (Oregon --&gt; Virginia) cuenta AWS-IPS-PRD</t>
  </si>
  <si>
    <t>Validar y generar puesta en marcha: AWS LZA - Usuarios SES (Oregon --&gt; Virginia) cuenta AWS-IPS-PRD</t>
  </si>
  <si>
    <t>Pruebas de servicios - Serv.Transversales</t>
  </si>
  <si>
    <t>Call para realizar las validaciones y pruebas automatizadas para servicios de arquitectura.</t>
  </si>
  <si>
    <t>[AWS IPS LZA][Portal De Pagos Dev] Configuración AWS MGN</t>
  </si>
  <si>
    <t>Call para realizar pruebas - [AWS IPS LZA][Portal De Pagos Dev] Configuración AWS MGN</t>
  </si>
  <si>
    <t>Continuacion - Call para realizar las validaciones y pruebas automatizadas para servicios de arquitectura.</t>
  </si>
  <si>
    <t>Operaciones  IPS</t>
  </si>
  <si>
    <t>[IPS AWS LZA] [Arquitectura SES] - Pruebas Servicios</t>
  </si>
  <si>
    <t>Call para comenzar a realizar [IPS AWS LZA] [Arquitectura SES] - Pruebas Servicios</t>
  </si>
  <si>
    <t>Continuacion - Call para comenzar a realizar [IPS AWS LZA] [Arquitectura SES] - Pruebas Servicios</t>
  </si>
  <si>
    <t>Ticket N°: 17286 - 17287 - 17288 Programacion Encendido Mensual PDP DEV - UAT - SIT</t>
  </si>
  <si>
    <t>Se crean tickets para realizar configuracion mensual de innicio de servicios PDP DEV - UAT - SIT</t>
  </si>
  <si>
    <t>Ticket 17318  -Acceso solo lectura servicios accede.ips.gob.cl</t>
  </si>
  <si>
    <t>Se solicita acceso de solo lectura a servicios MS Azure - Accede IPS para realizar analisis forense.</t>
  </si>
  <si>
    <t>Operaciones IPS - Pablo Zuñiga</t>
  </si>
  <si>
    <t>[IPS AWS] Presentación: Nuevos cambios en notificación de rotación de credenciales – Servicios AWS SES IPS</t>
  </si>
  <si>
    <t>Call para informar sobre los cambios relacionados con notificación de rotación de credenciales – Servicios AWS SES IPS para app Rebaja Salud</t>
  </si>
  <si>
    <t>Operaciones IPS - Area Arquitectura - AWS</t>
  </si>
  <si>
    <t>Refinamiento de permisos - Area Arquitectura</t>
  </si>
  <si>
    <t>Call para revisar y modificar permisos asociados a usuarios de area Arquitectura</t>
  </si>
  <si>
    <t>Operaciones IPS - Area Arquitectura CHA</t>
  </si>
  <si>
    <t>Problemas Servicios Nodo Notificador QA</t>
  </si>
  <si>
    <t>Call para revisar y validar en conjunto con CHA servicios asociados a Nodo Notificador</t>
  </si>
  <si>
    <t>[IPS AWS LZ] Transferir Route53-Hosted Zone a LZ</t>
  </si>
  <si>
    <t>Call para revisa ry coordinar migracion de hosted zones bonospendientes y masvaleprevenir hacia nueva cuenta con servicios AWS Route en LZ</t>
  </si>
  <si>
    <t>Continuacion - Call para revisa ry coordinar migracion de hosted zones bonospendientes y masvaleprevenir hacia nueva cuenta con servicios AWS Route en LZ</t>
  </si>
  <si>
    <t>Operaciones IPS - Carlos Puebla</t>
  </si>
  <si>
    <t>Call para informar sobre los cambios relacionados con notificación de rotación de credenciales – Servicios AWS SES IPS para app Notificaciones PGU</t>
  </si>
  <si>
    <t>IPS AWS LZA - PDP</t>
  </si>
  <si>
    <t>Call para realizar las validaciones y despliegues de configuraciones y recursos asociados a los ambientes a adeacuar de PDP</t>
  </si>
  <si>
    <t>[IPS AWS] Puesta en marcha: Rotación de credenciales – Servicios AWS SES IPS [App: Rebaja Salud]</t>
  </si>
  <si>
    <t>Ticket 17393 - Apagado Ambientes PDP DEV</t>
  </si>
  <si>
    <t>Tikcet para proceder a no realizar el apagado de instancias virtuales correspondientes al servicio PDP DEV</t>
  </si>
  <si>
    <t>AppServices Pension FEM (Hallazgos Ciberseguridad)</t>
  </si>
  <si>
    <t>Call para revisar los hallazos de seguridad declarados en los App Services PROD para el ambiente Pension FEM</t>
  </si>
  <si>
    <t>Ticket 17402 - Creacion de Snapshots RDS IPSPROD19</t>
  </si>
  <si>
    <t>Solicitud de creacion de Snapshots correspondiente al RDS IPSPROD19</t>
  </si>
  <si>
    <t>[IPS AWS LZA] Configuración DataSync - EFS PDP DEV</t>
  </si>
  <si>
    <t>Se realiza call para proceder a realizar el siguiente tema en conjjunto con  AWS - [IPS AWS LZA] Configuración DataSync - EFS PDP DEV</t>
  </si>
  <si>
    <t>Coordinacion de actividades - Periodo de vacaciones Paola Lillo</t>
  </si>
  <si>
    <t>Call para coordinar actividades pendientes en ausencia de Paola Lillo por sus periodo de vacaciones.</t>
  </si>
  <si>
    <t>Continuacion Call - Se realiza call para proceder a realizar el siguiente tema en conjjunto con  AWS - [IPS AWS LZA] Configuración DataSync - EFS PDP DEV</t>
  </si>
  <si>
    <t>Ticket 17450  - Solicitud de Certificado para FW VPN Proximo a Vencer</t>
  </si>
  <si>
    <t>Se crea ticket por area de ciberseguridad correspondiente a la renovacion de certificados wildcard *.ips.gob.cl a ser agregado a servicios FW</t>
  </si>
  <si>
    <t>IPS - CHA</t>
  </si>
  <si>
    <t>difusión nueva organica departamento</t>
  </si>
  <si>
    <t>Call solicitada por las gerencias de IPS / CHA</t>
  </si>
  <si>
    <t>Call para informar sobre los cambios relacionados con notificación de rotación de credenciales – Servicios AWS SES IPS para app Monitoreo Ciberseguridad</t>
  </si>
  <si>
    <t>[IPS AWS LZA] Validación/Configuración - Arquitectura PDP DEV</t>
  </si>
  <si>
    <t>Call para realizar las validaciones y puesta en marcha de servicios relacionados con la arquitectura PDP DEV</t>
  </si>
  <si>
    <t>HH EE</t>
  </si>
  <si>
    <t>Oscar Mora</t>
  </si>
  <si>
    <t>Revisión en linea de logs por falla en una función del aplicativo</t>
  </si>
  <si>
    <t>Revisión de SR por falla en subida de algunos archivos</t>
  </si>
  <si>
    <t>Reinicio de nodos y agente de ODI</t>
  </si>
  <si>
    <t>IPS en Linea</t>
  </si>
  <si>
    <t>Falla en IPS en linea: Post aplicación de parchado de seguridad</t>
  </si>
  <si>
    <t>Se restaura un FS por parte de AWS, se reinician plataformas y hay problema con osbprod01 para iniciar sistema</t>
  </si>
  <si>
    <t>Mantenimiento Programado - Servicio WebLogic - Lunes 07 de Abril - 18:00 Hrs</t>
  </si>
  <si>
    <t>Se realiza en el servidor 10.150.150.103</t>
  </si>
  <si>
    <t>PFP</t>
  </si>
  <si>
    <t>Problema con app</t>
  </si>
  <si>
    <t>Fallo en nodo 1 y 2</t>
  </si>
  <si>
    <t>Jorge Eheñique</t>
  </si>
  <si>
    <t>problema en un servicio que consume el ohs, desde ayer en la tarde esta abajo, el mismo servicio de siempre;
http://ohsprod01.ips.gob.cl:7777/CLAT/HP/v1_0/HistoricoPrevisional?wsdl</t>
  </si>
  <si>
    <t>Maquina no respondía por ssh, se escala con Infra para su apoyo.
Infra revisa y faltaba un check (de 2) en inicio. Se procede a reiniciar la maquina (AWS - Sao Pablo) - Demoró en iniciar pero quedó arriba</t>
  </si>
  <si>
    <t>Portal de Pago</t>
  </si>
  <si>
    <t>Reunión con Oracle por problema de certificado en OHS</t>
  </si>
  <si>
    <t>Reunión de trabajo</t>
  </si>
  <si>
    <t>Iteración con Oracle por SR SR 3-40360525901</t>
  </si>
  <si>
    <t>Problem in the OHS which when loading a file of any size between 2 to 700 MB which gives us a connect</t>
  </si>
  <si>
    <t>Sistema PFP no funciona</t>
  </si>
  <si>
    <t>Nodos: 1 y 3 con falla. Se realiza reinicio sanitario controlado, recuperando la plataforma</t>
  </si>
  <si>
    <t>Reunión de entrega PDP</t>
  </si>
  <si>
    <t>Reunion Informativa PFP y Otros</t>
  </si>
  <si>
    <t>a razón de las multiples fallas de pfp en estas 2 semanas</t>
  </si>
  <si>
    <t>Instalación properties en PRD</t>
  </si>
  <si>
    <t>Ejecución según lo indicado en el documento FINS - Ticket 14634</t>
  </si>
  <si>
    <t>Servidor con problemas de espacio en el /u01, por lo que no funcionaba nodos 1 y 3</t>
  </si>
  <si>
    <t>Configuración https en OHS DEV</t>
  </si>
  <si>
    <t>Se reconfiguran archivos de sistema OHS para que tomaran</t>
  </si>
  <si>
    <t>No se puede conectar al portal de pago de DEV</t>
  </si>
  <si>
    <t>Problema con su equipo, el cual no tenia acceso por reglas de FW</t>
  </si>
  <si>
    <t>Portal de Pago PROD: Se suben archivos a procesar</t>
  </si>
  <si>
    <t>Falla nuevamente por OHS, se capturan videos para subir al SR con Oracle por issue</t>
  </si>
  <si>
    <t>Se itera SR, respondiendo lo consultado y se suben videos de lo realizado en falla de subida de archivos en PdP PROD</t>
  </si>
  <si>
    <t>OHS DEV creación de usuario para Claudio Oyarzun</t>
  </si>
  <si>
    <t>Usuario existía, solo se resetea la pass y se realizan pruebas de acceso y ejecución de procesos en plataforma</t>
  </si>
  <si>
    <t>Nodo 1 con problemas, se reinicia y se recupera el sistema.</t>
  </si>
  <si>
    <t>Reiniciar nodos de ODI e iniciar el plan de carga</t>
  </si>
  <si>
    <t>Por problemas en carga de archivos, según indica el usuario.</t>
  </si>
  <si>
    <t>Oracle Middleware</t>
  </si>
  <si>
    <t>Reunión de coordinación de equipo</t>
  </si>
  <si>
    <t>ver temas varios</t>
  </si>
  <si>
    <t>Apoyo por tema en DEV, a casua del redireccionamiento</t>
  </si>
  <si>
    <t>problema en configuracion</t>
  </si>
  <si>
    <t>Alerta en servidor proosb1: nodos y servicios caidos</t>
  </si>
  <si>
    <t>Servidor fue reiniciado, tiene uptime de 2 días.</t>
  </si>
  <si>
    <t>Caída de sistema Calculo PFP</t>
  </si>
  <si>
    <t>Nodos con buena salud, pero app no funcionaba. Se reinicia nodos 1 y 2, recuperando el sistema</t>
  </si>
  <si>
    <t>ASIMU</t>
  </si>
  <si>
    <t>No se puede accedes al sistema ASIMU</t>
  </si>
  <si>
    <t>Se reinicia los nodos del wls y queda operativo</t>
  </si>
  <si>
    <t>Falla en Solicitud Asignación por Muerte/Cuota Mortuoria - Empresas</t>
  </si>
  <si>
    <t>Antes de presentar problemas Informix, falla en lentitud de despliegue</t>
  </si>
  <si>
    <t>todo el día</t>
  </si>
  <si>
    <t>AFPER</t>
  </si>
  <si>
    <t>Paso a producción AFPER Urgente</t>
  </si>
  <si>
    <t>ticket 14780</t>
  </si>
  <si>
    <t>Sigue falla en Solicitud Asignación por Muerte/Cuota Mortuoria - Empresas</t>
  </si>
  <si>
    <t>El problema estaba en url ssl a papperless (Sergio Santibañez)
el 30 de abril de la suceso dieron de baja una url http://siagf.paperless.cl, debian cambiar los desarrollos a http://ws.pias.suseso.cl/
eso le pega a facilita. van a mandar un comunicado informando que el problema se mantendrá el lunes mientras trabajan en la solución</t>
  </si>
  <si>
    <t>Ticket 14792: reiniciar los nodos de ODI PRD e iniciar el plan de carga</t>
  </si>
  <si>
    <t>se realiza lo solicitado</t>
  </si>
  <si>
    <t>Problemas con el procesamiento de planes de carga</t>
  </si>
  <si>
    <t>Era solo lentitud en BD, por la alta carga</t>
  </si>
  <si>
    <t>Victor Caroca</t>
  </si>
  <si>
    <t>Ayuda con datos de unos datasource de bpel.  Son estos dos:  eis/DB/Facilita_Afper y eis/DB/Facilita_Informix</t>
  </si>
  <si>
    <t>buscar el datasource Facilita_CoreAgil, en productivo</t>
  </si>
  <si>
    <t>Solicitud de configuraciones de la carpeta IPS_HOME\appl</t>
  </si>
  <si>
    <t>Priscilla Valenzuela</t>
  </si>
  <si>
    <t>Reunión configuraciones, revision logs, realizar pruebas</t>
  </si>
  <si>
    <t>Todo el día en encontrar solución con el área de ChileAtiende</t>
  </si>
  <si>
    <t>La solución se implementor parte de la gente de desarrollo del área de ChileAtiende.</t>
  </si>
  <si>
    <t>Problemas en osb afper</t>
  </si>
  <si>
    <t>estaba pegado y la consola de admin no respondía</t>
  </si>
  <si>
    <t>Falla en servicio del BUS AFPProject, por problemas en respuesta</t>
  </si>
  <si>
    <t>Arrojaba en los logs socket timeout en servicio AFPProject, ya que estaba direccionando http://siagf.paperless.cl, y debe
ser ahora a pias.suceso.cl. Problema solucionado con paso a prod de nuevo componente. Quedó con errores pero operativo.
Daniel Zamora enviará correo con detalles y compromiso de eliminar los logs.</t>
  </si>
  <si>
    <t>Reunión: Estrategia bajada ipsenlinea</t>
  </si>
  <si>
    <t>Reunión: OHS - Redireccionamiento de http a https</t>
  </si>
  <si>
    <t>Explicación de como está funcionando y como mejorar la config en los distintos ambientes</t>
  </si>
  <si>
    <t>Nicolas Galarce</t>
  </si>
  <si>
    <t>Ticket: Problemas con PFP, aplicativo no carga</t>
  </si>
  <si>
    <t>Problemas con nodo 1 (puerto 9001).</t>
  </si>
  <si>
    <t>El servidor 10.150.226.95 está sin espacio disponible</t>
  </si>
  <si>
    <t>Se libera espacio, quedando con 90% disponible</t>
  </si>
  <si>
    <t>Patricio Ordenes</t>
  </si>
  <si>
    <t>Entregar los registros log de hoy (29-05-2025), ubicados en la ruta $IPS_HOME/appl/sgi-rechazobancario/logs</t>
  </si>
  <si>
    <t>Se entrega lo solicitado</t>
  </si>
  <si>
    <t>Reunión: Redirección o bajada URL ipsenlinea</t>
  </si>
  <si>
    <t>Reconfiguración de archivo mod_wl_ohs.conf para redireccionamiento para persona y empresa</t>
  </si>
  <si>
    <t>Problemas con sitio web gestion.ipsenlinea.cl</t>
  </si>
  <si>
    <t>Se realiza vuelta atrás del archivo mod_wl_ohs.conf y queda operativo</t>
  </si>
  <si>
    <t>Ticket 15091: Instalación en SIT (QA)</t>
  </si>
  <si>
    <t>problema con los servicios facilita, puedes revisar que el soa este funcionando en productivo</t>
  </si>
  <si>
    <t>/BEN/Facilita/v1_0/ConsultarBeneficios</t>
  </si>
  <si>
    <t>Carlos Jara</t>
  </si>
  <si>
    <t>Problemas con alertas de Weblogic en PdP</t>
  </si>
  <si>
    <t>Se revisa toda la plataforma y no se detecta problemas asociados a la alerta. Siguen escalando y se revisa nuevamente con igual observación</t>
  </si>
  <si>
    <t>Necesita PortalPagoWeb.properties de Produccion</t>
  </si>
  <si>
    <t>???</t>
  </si>
  <si>
    <t>reunión con Oracle por SR abierto por falla en subida de archivos</t>
  </si>
  <si>
    <t>se capturan evidencias y logs para subir al SR</t>
  </si>
  <si>
    <t>Monitoreo / NOC</t>
  </si>
  <si>
    <t>AFPER: PROD - Alertas por indisponibilidad de Admin y nodo OSB</t>
  </si>
  <si>
    <t>Se levanta servicio y nodo</t>
  </si>
  <si>
    <t>Sistema weblogic abajo en DEV</t>
  </si>
  <si>
    <t>NOC</t>
  </si>
  <si>
    <t>Reportan mas de 12 alertas de monitoreo asociado a weblogic</t>
  </si>
  <si>
    <t>Se revisa plataforma y la mayoria eran falsos positivos. Habian 2 que estaban caidos (consolas)</t>
  </si>
  <si>
    <t>PROD: No permite desplegar combo box de mes y año</t>
  </si>
  <si>
    <t>Se revisa la plataforma de Portal de Pago y se encuentra que el OHS, nodo 2, estaba abajo. Se sube y recupera incidente</t>
  </si>
  <si>
    <t>Se realiza agregación de parametros en httpd.conf, y hay que probar el funcionamiento de procesamiento de archivos.</t>
  </si>
  <si>
    <t>Alerta en servidor bpmqa1 (10.150.226.212), problema espacio en /</t>
  </si>
  <si>
    <t>Se livera 4%, recomendando aumentar espacio en FS /</t>
  </si>
  <si>
    <t>problema al consumir http://ohsprod01.ips.gob.cl:7777/CLAT/HP/v1_0/HistoricoPrevisional?wsdl</t>
  </si>
  <si>
    <t>Servidor osb no puede conectarse al ohs1, al puerto 7777</t>
  </si>
  <si>
    <t>Nicolas Reyes</t>
  </si>
  <si>
    <t>Reunión Incidentes en ASIMU</t>
  </si>
  <si>
    <t>Apoyo tecnico</t>
  </si>
  <si>
    <t>IPS: Reinicio preventivo de los nodos OHS</t>
  </si>
  <si>
    <t>Aplicación con problemas</t>
  </si>
  <si>
    <t>Patricio Ramirez</t>
  </si>
  <si>
    <t>Problemas post DRP Legados falla ASIMU</t>
  </si>
  <si>
    <t>No esta clara la falla y se revisa la plataforma y presta apoyo en una reunión por incidente</t>
  </si>
  <si>
    <t>7 HH extras</t>
  </si>
  <si>
    <t>Jesus Chavez</t>
  </si>
  <si>
    <t>Revisar alerta de monitoreo servidor bpmprod01.ips.gob.cl</t>
  </si>
  <si>
    <t>Puertos estaban alertados, pero al revisar la plataforma estaba todo funcionando correctamente.</t>
  </si>
  <si>
    <t>Reunión: Análisis y Coordinación Incidente Notificación a SUPEN - NOC - DC - SOC</t>
  </si>
  <si>
    <t>se capturan evidencias y logs para subir al SR, ya que la prueba falló</t>
  </si>
  <si>
    <t>Se suben evidencias de las pruebas realizadas ayer</t>
  </si>
  <si>
    <t>Alerta en monitoreo http://ohsprod01.ips.gob.cl:7777/CLAT/HP/v1_0/HistoricoPrevisional?wsdl</t>
  </si>
  <si>
    <t>Se realiza reunión con multiples áreas y se detecta que habían aplicado una regla en el FW que bloqueó acceso de prooosb02 a ohs, puerto 7777</t>
  </si>
  <si>
    <t>Juan Pablo Buzeta</t>
  </si>
  <si>
    <t>PRD-AFPER-OSB - 10.200.13.250 - puerto 7001 alertado</t>
  </si>
  <si>
    <t>Se reinicia el servicio de weblogic (consola) y este problema no afecta servicio.</t>
  </si>
  <si>
    <t>Claudio Balbontin</t>
  </si>
  <si>
    <t>Aplicativo no está tomando archivos desde el FTP</t>
  </si>
  <si>
    <t>ticket</t>
  </si>
  <si>
    <t>Reinicio preventivo PFP PROD</t>
  </si>
  <si>
    <t>se realiza a las 8 AM</t>
  </si>
  <si>
    <t>BPM está lento</t>
  </si>
  <si>
    <t>Consola y nodos no respondian, a pesar de estár funcionando.</t>
  </si>
  <si>
    <t>Alerta de espacio en root</t>
  </si>
  <si>
    <t>se pudo dejar en 94% libre, por lo cual se sugiere aumentar el tamaño del file system</t>
  </si>
  <si>
    <t>Apoyo para buscar servicios homologos de QA en PROD</t>
  </si>
  <si>
    <t>Ayuda para restablecer los servicios del server http://10.150.226.95/</t>
  </si>
  <si>
    <t>Ambiente QA - Se valida espacio y memoria y esta todo bien. Se reinicia el nodo nuevamente (18 hrs)</t>
  </si>
  <si>
    <t>Apoyo con servidor http://10.150.226.95// 15598</t>
  </si>
  <si>
    <t>Problemas con DS: 15 servidores no responden a test de conexión desde 10.150.226.95. Servidores no existen, nadie sabe si sirven esas conexiones a las BD</t>
  </si>
  <si>
    <t>Reunión: cambio forma de pago / servicios abajo</t>
  </si>
  <si>
    <t>Fue una War room y también se revisó el problema de la 226.95. Terminamos pasado las 18:15 hrs</t>
  </si>
  <si>
    <t>Iteración Problema: Apoyo con servidor http://10.150.226.95// 15598</t>
  </si>
  <si>
    <t>Conexiones que van desde osbprod01.ips.gob.cl a las BD</t>
  </si>
  <si>
    <t>se saca un listado y se envía por teams</t>
  </si>
  <si>
    <t>Incidente en Server PRD-AFPER-OSB - 10.200.13.250</t>
  </si>
  <si>
    <t>Problena con el puerto 7001, no respondía</t>
  </si>
  <si>
    <t>??</t>
  </si>
  <si>
    <t>Reunion</t>
  </si>
  <si>
    <t>Reunión con Oracle: Continuidad Problema de EM y OHS de PdP</t>
  </si>
  <si>
    <t>Se continuan los trabajos que quedaron pendientes desde el viernes, que fue el control de los nodos por EM</t>
  </si>
  <si>
    <t>Ayer no se pudo corregir el problema del control de los nodos por EM, y hoy se continuan los trabajos</t>
  </si>
  <si>
    <t xml:space="preserve">IPS-Oracle: levantamiento Middleware </t>
  </si>
  <si>
    <t>Copia de archivos para hacer levantamiento en plataforma Oracle Middleware IPS</t>
  </si>
  <si>
    <t>Procesamiento de script de Oracle  para hacer levantamiento en plataforma Oracle Middleware IPS</t>
  </si>
  <si>
    <t>Subida de archivos que fueron resultado del procesamiento de todos los servidores y ambientes de Oracle Middlware</t>
  </si>
  <si>
    <t>Reunión por solicitud con Cesar</t>
  </si>
  <si>
    <t>Debido a IP que no responden y están en listado de inventarios. Revisión en la reunión del listado de Server desconectados.</t>
  </si>
  <si>
    <t>José Miguel Ruiz</t>
  </si>
  <si>
    <t>Aplicativo Sistema de Calculo PFP se encuentra con problemas de acceso.</t>
  </si>
  <si>
    <t>Estaban accesando a una URL distinta a la que se utiliza</t>
  </si>
  <si>
    <t>Cristian Vasquez</t>
  </si>
  <si>
    <t>Alerta Monitoreo: servidor PRD-AFPER-OSB IP: 10.200.13.250</t>
  </si>
  <si>
    <t>servidor PRD-AFPER-OSB IP: 10.200.13.250, se volvió a alertar por perdida de acceso al puerto TCP 7001</t>
  </si>
  <si>
    <t>Reunión: Saludo Director Nacional Fiestas Patrias</t>
  </si>
  <si>
    <t>Paola Bustamante</t>
  </si>
  <si>
    <t>PROD-APOYO SISTEMA PORTAL DE PAGOS INESTABLE  // Caso No. 1562</t>
  </si>
  <si>
    <t>Se revisó toda la plataforma y se aprecia que los nodos SOA estaban respondiendo lentos. Se reinicia y se recupera sistema</t>
  </si>
  <si>
    <t>DEV: Creación de usuario para ingresar a sistema de PdP en DEV</t>
  </si>
  <si>
    <t>Se crea el usuario para erwin huaquin (Ind_ehuaquin)</t>
  </si>
  <si>
    <t>APOYO SISTEMA PORTAL DE PAGOS INESTABLE  // Caso No. 1562</t>
  </si>
  <si>
    <t>PROD - PdP:  este mes el Portal de Pagos a presentado una alta inestabilidad, como, por ejemplo: emisiones que no se cargan generando problemas, errores, procesos caídos, cargas con errores, tareas manuales, no llegan email, lentitud en cargas pequeñas emisiones, etc</t>
  </si>
  <si>
    <t>Se revisa plataforma y se detecta que nodos SOA estaban muy lentos. Se solicita revisar.</t>
  </si>
  <si>
    <t>PROD - Portal de Pago: Problemas con plataforma porque no envia correo</t>
  </si>
  <si>
    <t>Autorización debería llegar por cada emisión que aprueba la Unidad Control De Calidad Emisiones De Pago, y solo ha llegado uno Autorizado al Portal de Pagos, habiendo sido aprobados varios de ellos.</t>
  </si>
  <si>
    <t xml:space="preserve"> </t>
  </si>
  <si>
    <t>PROD - Portal de Pago: Procesamiento de archivos en flujo esta lento</t>
  </si>
  <si>
    <t>Se reinicia controladamente toda la plataforma a excepción de ODI</t>
  </si>
  <si>
    <t>PROD: Alerta en monitoreo de afper-prd-osb</t>
  </si>
  <si>
    <t>Estaba alertado el puerto 7001</t>
  </si>
  <si>
    <t>DEV: Apoyo despliegue Portal de Pago</t>
  </si>
  <si>
    <t>DEV:No abre la url http://10.150.236.96/PortalPagoWeb/faces/login.jsfr</t>
  </si>
  <si>
    <t>Servidor no responde ni por SSH, por lo que debe escalar con area de infraestructura</t>
  </si>
  <si>
    <t>DEV: Esta listo el servidor, estaba apagado y lo encendieron</t>
  </si>
  <si>
    <t>Se suben los servicios de Weblogic y OHS</t>
  </si>
  <si>
    <t>Reunión: [AWS IPS] Levantamiento: Adecuación Sitios Consulta/Gestión - Ambientes IPS</t>
  </si>
  <si>
    <t>PROD-PDP: Reiniciar el BPM y SOA, procesos duplicados</t>
  </si>
  <si>
    <t>Se procede con la solicitud, reiniciando de a un nodo, para no perder servicio. Usuario indica que no hay mas duplicados post</t>
  </si>
  <si>
    <t>Gema Molina</t>
  </si>
  <si>
    <t>Reunión: Reforma de Pensiones: logros y próximos pasos</t>
  </si>
  <si>
    <t>Reunión: IPS FASE 2 - REUNION DAILY</t>
  </si>
  <si>
    <t>IPS FASE 2 - Creación de Inventario solicitado para AFPER</t>
  </si>
  <si>
    <t>Ticket 16168: creación de 2 usuarios para accesar al BPM de DEV</t>
  </si>
  <si>
    <t>Reunión: IPS FASE 2 - DEFINICION ADECUACION AFPER</t>
  </si>
  <si>
    <t>Alerta del servidor PRD-AFPER-OSB, alerta puerto 7001</t>
  </si>
  <si>
    <t>Estaba abajo el proceso del admin del OSB, se sube y se recupera. No afectó el servicio del bus</t>
  </si>
  <si>
    <t>DEV portal de Pago: Sistema EM de BPM no responde</t>
  </si>
  <si>
    <t>Problemas con los nodos weblogic, estaban abajo</t>
  </si>
  <si>
    <t>Ticket 16243: creacion de usuario en DEV Portal de Pagos para Jesus Chavez</t>
  </si>
  <si>
    <t>Reunión IPS FASE 2 - DEFINICION ADECUACION AFPER</t>
  </si>
  <si>
    <t>Reunión: [IPS AWS] Seguimiento - Proyecto Adecuación Servicios AFPER</t>
  </si>
  <si>
    <t>IPS FASE 2 - REUNION DAILY</t>
  </si>
  <si>
    <t>UAT - PdP: Revisar si existen un listado de usuarios creados en portal</t>
  </si>
  <si>
    <t>Por falla en AWS mundial, no se pudo revisar. Al dia siguiente se revisará</t>
  </si>
  <si>
    <t>Ana Maria Alvarez</t>
  </si>
  <si>
    <t>Se revisa DEV y UAT en busqueda de usuarios y no están creados. Se informa por teams</t>
  </si>
  <si>
    <t>Reunión:IPS FASE 2 - REUNION DAILY</t>
  </si>
  <si>
    <t>PROD-IPSEnLinea: Servidor wlsprod03.ips está caido</t>
  </si>
  <si>
    <t>La maquina estaba caida y sin intervención de nuestra parte se levantó el server y se procedió a levantar Admin y Nodos</t>
  </si>
  <si>
    <t>Alerta de espacio en path</t>
  </si>
  <si>
    <t>/u01 estaba con 96% de uso y se deja en 54%</t>
  </si>
  <si>
    <t>Reunión: [IPS/CHA AWS] Seguimiento - Proyecto Adecuación Servicios SGI</t>
  </si>
  <si>
    <t>Reunión coordinación con Cesar respescto a los pasos a seguir</t>
  </si>
  <si>
    <t>Reunión revisión conexiones de servidores migrados: SGI DEV y AFPER DEV</t>
  </si>
  <si>
    <t>Con Cesar y Paola</t>
  </si>
  <si>
    <t>Dev: Problemas con acceso a pagina de portal para Erwin</t>
  </si>
  <si>
    <t xml:space="preserve">Estaba con la URL de Prod y no tiene él acceso </t>
  </si>
  <si>
    <t>Problemas para accesar a pagina de subida de archivos</t>
  </si>
  <si>
    <t>Error en la url de acceso, la plataforma estaba funcionando correctamente</t>
  </si>
  <si>
    <t>PRD-AFPER-OSB" por una alerta en el Puerto Nodo - CRITICAL: Connection status '10.200.13.250' on port 7001 is failed: error=Connection refused</t>
  </si>
  <si>
    <t>Trabajando en proyecto AWS - AFPER</t>
  </si>
  <si>
    <t>los servidores Wlsprod03 y Wlsprod04 que tenemos alertas de monitoreos de puertos TCP hacía esos equipos.</t>
  </si>
  <si>
    <t>Problema de espacio en el filesystem root /</t>
  </si>
  <si>
    <t>Reunión revisión conexiones de servidores migrados: problemas conexión</t>
  </si>
  <si>
    <t>Problema con desarrollo en Portal de Pago</t>
  </si>
  <si>
    <t>Problemas con acceso por red al AD, se escala con Cesar</t>
  </si>
  <si>
    <t>Reunión: Pruebas PDP</t>
  </si>
  <si>
    <t>PROBLEMAS AL LOGEAR EN EL SITIO // 16434</t>
  </si>
  <si>
    <t>Problema a consecuencia de que buscaba el AD "ad.aportefamiliar.cl" que no existía, y se vio afectado al eliminar anoche una zona</t>
  </si>
  <si>
    <t>Sebastian Rodriguez</t>
  </si>
  <si>
    <t>Reunión: IPS FASE 2 - Sesión de KT Terraform</t>
  </si>
  <si>
    <t>Ticket 16442: Creación acceso ODI Portal de Pagos</t>
  </si>
  <si>
    <t>AFPER PROD - Caso No. 1566: Alertados 2 servidores de monitoreo.</t>
  </si>
  <si>
    <t>Se revisa y valida que estan abajo el consulta3 y osb</t>
  </si>
  <si>
    <t>Reunión: ODI DEV</t>
  </si>
  <si>
    <t>Finalizamos</t>
  </si>
  <si>
    <t>Reunión: AWS LZA - SGI DEV</t>
  </si>
  <si>
    <t>Revisión de acceso PDP</t>
  </si>
  <si>
    <t>Trabajando en proyecto SGI - AWS LZA</t>
  </si>
  <si>
    <t>Reconfiguramos nuevamente</t>
  </si>
  <si>
    <t>Problemas con acceso a funciones de ODI</t>
  </si>
  <si>
    <t>PDP PROD: Servidor OHS pegado no responde ni ssh</t>
  </si>
  <si>
    <t>Reinician servidor y luego iniciar sistemas.</t>
  </si>
  <si>
    <t>Solicita información de cierta parte de arquitectura de ips en linea</t>
  </si>
  <si>
    <t>Reunión: Deploy de BPM queda pegado</t>
  </si>
  <si>
    <t>para responder correo de Roderick</t>
  </si>
  <si>
    <t>Revisar conectividad de ciertas IP desde servidor de proyecto</t>
  </si>
  <si>
    <t>PFP - Nodo owsm_server3, del http://proosb01.ips.gob.cl:6001/ estaba cn error</t>
  </si>
  <si>
    <t>se reinicia nodo y se recupera</t>
  </si>
  <si>
    <t>Probar conexiones desde nuevos servidores nuevos para proyecto en QA</t>
  </si>
  <si>
    <t>Reunión</t>
  </si>
  <si>
    <t>DEV - SSL : Reunión para ver proyecto</t>
  </si>
  <si>
    <t>Se sugiere utilizar SIT</t>
  </si>
  <si>
    <t>Sebastian Zuñiga</t>
  </si>
  <si>
    <t>SIT Deployar (ticket) en BPM y SSL</t>
  </si>
  <si>
    <t>Maquinas apagadas y aparece error de despliegue.</t>
  </si>
  <si>
    <t>Reunión para revisar error de paso de ayer</t>
  </si>
  <si>
    <t>Reunión para revisar error de paso de ayer (continuación)</t>
  </si>
  <si>
    <t>Victor Bustos</t>
  </si>
  <si>
    <t>Revisiones Servicios Arquitectura IPS En Línea y SGI</t>
  </si>
  <si>
    <t>Ignacio Frey</t>
  </si>
  <si>
    <t>sensor del puerto 9001  en dispositivo proosb01 IP 10.150.150.103</t>
  </si>
  <si>
    <t>el 10.150.150.104 también tenía alertado el mismo puerto.</t>
  </si>
  <si>
    <t>Instalacion de SIT en PDP</t>
  </si>
  <si>
    <t xml:space="preserve">Pruebas fallidas post instalación  </t>
  </si>
  <si>
    <t>mas de 5 hrs conectado tratando de solucionar el problema en SIT</t>
  </si>
  <si>
    <t>Reunión: Prueba final interna Portal de Pagos</t>
  </si>
  <si>
    <t>Reunión: Revisiones Servicios Arquitectura IPS En Línea y SGI</t>
  </si>
  <si>
    <t>Reunión: Pruebas Portal de Pagos</t>
  </si>
  <si>
    <t>SGI - Documentos Gestión interna: no se conecta a BEN - facilita</t>
  </si>
  <si>
    <t>BD de middleware apagada</t>
  </si>
  <si>
    <t>Denisse Cortez</t>
  </si>
  <si>
    <t>servidores de producción WLSPROD03 y WLSPROD04 y no tienen inconvenientes con el endpoint: https://legacy-proxy.chileatiende.gob.cl/</t>
  </si>
  <si>
    <t>logs de la aplicación del SGI - Documentos, ubicados en wls_preprod1,2 (cluster_preprod) en la ruta $/IPS_HOME/appl/documentos-gestion-interna/logs.</t>
  </si>
  <si>
    <t>Problemas con servicios estos 2 me siguen dando sus respectivos errores
http://osbprod01.ips.gob.cl:8001/BEN/Facilita/v1_0/ConsultarBeneficios?wsdl
http://osbprod01.ips.gob.cl:8001/BEN/Facilita/v1_0/ConsultarCalidadPensionado?wsdl</t>
  </si>
  <si>
    <t>Seguiremos trabajando mañana</t>
  </si>
  <si>
    <t>Continuación:
Problemas con servicios estos 2 me siguen dando sus respectivos errores
http://osbprod01.ips.gob.cl:8001/BEN/Facilita/v1_0/ConsultarBeneficios?wsdl
http://osbprod01.ips.gob.cl:8001/BEN/Facilita/v1_0/ConsultarCalidadPensionado?wsdl</t>
  </si>
  <si>
    <t>Error SOAP UI: 9999 y OSB-360000 respectivamente.
Problemas con configuración de seguridad/redes en AWS</t>
  </si>
  <si>
    <t>logs wls_preprod1,2 (cluster_preprod) en la ruta $/IPS_HOME/appl/cm-asimu-gestion-interna/logs. </t>
  </si>
  <si>
    <t>Pruebas de autoescalado en AFPER QA con AWS</t>
  </si>
  <si>
    <t xml:space="preserve"> alerta en servidor PRD-AFPER-OSB IP 10.200.13.250 puerto 7001 </t>
  </si>
  <si>
    <t>logs ubicados en wls_preprod1,2 (cluster_preprod) en la ruta $IPS_HOME/appl/sgi-rechazobancario/logs</t>
  </si>
  <si>
    <t>Cristian Abarca</t>
  </si>
  <si>
    <t>pueden por favor revisar OnPremise - Prod_OSB02, es por el servicio en el servidor 10.150.150.107</t>
  </si>
  <si>
    <t>Servidor no está bajo la administración nuestra</t>
  </si>
  <si>
    <t>Revisión de nueva maquina de reclamo para QA-AWS</t>
  </si>
  <si>
    <t>Revisión de nueva maquina de reclamo para QA-AWS por error en sistema</t>
  </si>
  <si>
    <t>Reunión: Seguimiento actividades grupo Middleware</t>
  </si>
  <si>
    <t>Ticket: Problemas para conectarse al BPM de SIT</t>
  </si>
  <si>
    <t>Nodos caidos</t>
  </si>
  <si>
    <t>Copiar archivos de XML en sistema</t>
  </si>
  <si>
    <t>enviar logs</t>
  </si>
  <si>
    <t>Gabriel Nuñez</t>
  </si>
  <si>
    <t>Reunión Upgrade ambientes ODI Producción</t>
  </si>
  <si>
    <t>sin mediación nuestra empezó a funcionar… al parecer sería un tema de redes o seguridad</t>
  </si>
  <si>
    <t>Ticket 16599: modificar timeout por error en aplicación</t>
  </si>
  <si>
    <t>Se cierra debido a que están con problema de una librería que es prioritario y que luego abrirían uno nuevo en caso de ser necesario</t>
  </si>
  <si>
    <t>Alerta en afper-prd-osb con el puerto 7001</t>
  </si>
  <si>
    <t>Solo el problema estaba en la consola caida</t>
  </si>
  <si>
    <t>problemas en el ambiente de uat</t>
  </si>
  <si>
    <t>Se recupera el servicio en el WLC pero en el OBS no se pueden subir los nodos</t>
  </si>
  <si>
    <t>Reunión: [AWS LZA IPS] Validación Configuraciones AFPER QA-SIT</t>
  </si>
  <si>
    <t>Ticket 116833: creación de usuarios weblogic para QA de ips en linea (bus)</t>
  </si>
  <si>
    <t>Problemas en el ambiente de uat</t>
  </si>
  <si>
    <t>Problemas con osb uat, se elimina tmp y cache en admin y nodos y luego reiniciar el servidor</t>
  </si>
  <si>
    <t>Reunión Tecnica: [AWS LZA IPS] Validación Configuraciones AFPER QA-SIT</t>
  </si>
  <si>
    <t>Despliegue de reclamo en nuevo servidor de reclamo Afper - proyecto AWS</t>
  </si>
  <si>
    <t>Juan Buzeta</t>
  </si>
  <si>
    <t>ticket, servidor 10.200.13.250 alertado por puerto 7001</t>
  </si>
  <si>
    <t>no afectó servicio</t>
  </si>
  <si>
    <t>ticket 16915: Reinicio del ODI y BPM en Portal de Pagos</t>
  </si>
  <si>
    <t>OK</t>
  </si>
  <si>
    <t>revisar si todos los weblogic estan arriba, por que la web de CHA esta abajo</t>
  </si>
  <si>
    <t>Todos los weblogic están operativos</t>
  </si>
  <si>
    <t>Problemas con procesamiento de archivos de pagos</t>
  </si>
  <si>
    <t>Revisión de problema carga de archivos en BPM</t>
  </si>
  <si>
    <t>VACACIONES</t>
  </si>
  <si>
    <t>Ticket 17041: Reinicio de BPM PROD de PdP</t>
  </si>
  <si>
    <t>Se reinicia Admin y servidor de nodos</t>
  </si>
  <si>
    <t>ayuda con información de servidor</t>
  </si>
  <si>
    <t>Problemas para loguarse a servidor de qa PFP</t>
  </si>
  <si>
    <t>LOG de http://wlsqa2.ips.gob.cl:9001/PFP de hoy desde las 12:00 en adelante</t>
  </si>
  <si>
    <t>PROD - Problemas con ODI console: lentitud en aplicativo</t>
  </si>
  <si>
    <t>PROD - Problemas con ODI console problemas con proceso. Arroja error</t>
  </si>
  <si>
    <t>lentitud en la BD</t>
  </si>
  <si>
    <t>Matias Monroy</t>
  </si>
  <si>
    <t>Ticket 17139: Alerta de disco en OSBQA1 (10.150.226.221)</t>
  </si>
  <si>
    <t>se libera espacio bajando desde el 96% al 76% de uso</t>
  </si>
  <si>
    <t>consola caida: http://osbprod01.ips.gob.cl:6001/console</t>
  </si>
  <si>
    <t>Problemas para consultar servicio de beneficios en bus</t>
  </si>
  <si>
    <t>no encuentra información para un rut especifico de legado</t>
  </si>
  <si>
    <t>Rev Planificación AFPER</t>
  </si>
  <si>
    <t>Ticket 17159: evisar el estado y conexión a DB de los siguientes servicios
El servicio OSB http://osbprod01.ips.gob.cl:8001/BEN/Facilita/v1_0/ConsultarBeneficios
https://pws.gestordepagos.ips.gob.cl/ConsultaLiquidacionExpressWS/consultarLiquidacionExpress</t>
  </si>
  <si>
    <t>Problemas con el BPM ya que estaba con problemas con test de DS a Informix</t>
  </si>
  <si>
    <t>Consola del BUS estaba caída. Se levanta y recupera consola. No afecta consola</t>
  </si>
  <si>
    <t>revisar el modulo de gestion interna de AFPER en UA</t>
  </si>
  <si>
    <t>Ayuda con problema para ver las ejecuciones de instanacias en SOA PRD</t>
  </si>
  <si>
    <t>Problemas del navegador del usuario</t>
  </si>
  <si>
    <t>Jorge Quiroz</t>
  </si>
  <si>
    <t>Reunión: IPS Fase 2 - Sprint Planning/Review</t>
  </si>
  <si>
    <t>Reunión: Revisión reinicios Portal de Pagos</t>
  </si>
  <si>
    <t>Reunión: Monitoreo usuarios BD de aplicativos Oracle MDW</t>
  </si>
  <si>
    <t>Solicita revisar alerta de 10,200,13,250, puerto 7001</t>
  </si>
  <si>
    <t>Es la consola Admin del bus de Afper</t>
  </si>
  <si>
    <t>Carlos Salamanca</t>
  </si>
  <si>
    <t xml:space="preserve">ticket 17249 - Solicitud PaP SGI </t>
  </si>
  <si>
    <t>Ticket: requiere arhivos properties</t>
  </si>
  <si>
    <t>Ayuda con osb de DEV, ya que está arrojando warnings</t>
  </si>
  <si>
    <t>Ticket 17341: Requiere logs de cuota mortuoria</t>
  </si>
  <si>
    <t>Ticket 17370: reinicio de nodos de ODI y ejecutar plan de carga.</t>
  </si>
  <si>
    <t>PROD: BPM no carga y está lento.</t>
  </si>
  <si>
    <t>Revisar plataforma de DEV de PDP nueva por proyecto nuevo</t>
  </si>
  <si>
    <t>Se reivisa conexiones nuevamente, luego de indicación de que BD estaban arriba, pero no hay conexión por telnet. Cesar revisará.</t>
  </si>
  <si>
    <t>Miguel Garrido</t>
  </si>
  <si>
    <t>Reunión: Coordinación Equipo IPS</t>
  </si>
  <si>
    <t>Ayuda para revisar logs en DEV</t>
  </si>
  <si>
    <t>Se conecta a 1 BD pero a las otras no</t>
  </si>
  <si>
    <t>Se conecta a todas la BD</t>
  </si>
  <si>
    <t>Revisar plataforma de DEV de PDP nueva por proyecto nuevo: Admin OSB</t>
  </si>
  <si>
    <t>problemas con la definición de la tabla hosts, por eso da errores. Se sigue revisando porque no levanta el admin del OSB</t>
  </si>
  <si>
    <t>Siguen los probemas para levantar y la conexión por ssh se cae</t>
  </si>
  <si>
    <t>A pedido de Cesar probar nuevamente</t>
  </si>
  <si>
    <t>asimuelegws?wsdl y necesito los saber los servidores en los que está desplegado</t>
  </si>
  <si>
    <t>Reunión: Coordinación - Ejecución Adecuación SGI</t>
  </si>
  <si>
    <t>Christian Segura</t>
  </si>
  <si>
    <t>Reunión: difusión nueva organica departamento</t>
  </si>
  <si>
    <t>Reunión de trabajo 1: Equipo IPS: Middleware</t>
  </si>
  <si>
    <t>09:00 - 18:59</t>
  </si>
  <si>
    <t>Melinka Chacon</t>
  </si>
  <si>
    <t>Revisión SGI. Se encontro que problemas venia desde informix. Por lo cual se escalo a Jose Luis</t>
  </si>
  <si>
    <t>Revisión de configuraciones SSL</t>
  </si>
  <si>
    <t>18:00 - 21:00</t>
  </si>
  <si>
    <t>Revisión y pruebas SSL UAT-SIT-DEV</t>
  </si>
  <si>
    <t>Jorge Leon</t>
  </si>
  <si>
    <t>Revisión ODI por proceso pegado, se revisa plataforma encontrando errores de java.lang.OutOfMemoryError, por lo cual se realiza tunning JVM</t>
  </si>
  <si>
    <t>Nicolas Patricio Reyes Escalona</t>
  </si>
  <si>
    <t>Revisión sistemas de SGI</t>
  </si>
  <si>
    <t>Fernanda Yañez</t>
  </si>
  <si>
    <t>revisióbn caida calculo PFP, se realiza reinicio de servicios owsm server</t>
  </si>
  <si>
    <t xml:space="preserve"> ticket # 886 - Sistema PFP Caído  // 1440</t>
  </si>
  <si>
    <t>Revisión pueto 9001 de server proosb, se realiza reinicio de servicios de osb.</t>
  </si>
  <si>
    <t>Webservices Alertados - OSBPROD01</t>
  </si>
  <si>
    <t>Solicitud revisión de conexiones ODI</t>
  </si>
  <si>
    <t>Prueba de conectividad a nivel nacional Teams</t>
  </si>
  <si>
    <t>Carlos Salamaca</t>
  </si>
  <si>
    <t>Status Paso a operaciones Portal de Pago</t>
  </si>
  <si>
    <t>Revisión servidores de QA</t>
  </si>
  <si>
    <t>Cristian Villanueva</t>
  </si>
  <si>
    <t xml:space="preserve">Refvisión ODI y Sistema AF </t>
  </si>
  <si>
    <t>Solicitud creación ODISYN_ODI_REPO</t>
  </si>
  <si>
    <t>Estimados, nos reportan nuevamente que sistema PFP no responde. http://sistemacalculopfp.ips.gob.cl:9001/PFP/login.xhtml</t>
  </si>
  <si>
    <t xml:space="preserve">ticket # 1444 - Sistema PFP Caído </t>
  </si>
  <si>
    <t>Revisión espacios /u01 de server proosb02, Alertas! Sensor Disk Free: /u01 MV proosb02 IP 10.150.150.104</t>
  </si>
  <si>
    <t>FW: IPS: Revisión caso 3-39559650149 Problemas con OHS después de configurar SSL</t>
  </si>
  <si>
    <t>Status Paso a operaciones Portal de Pago.</t>
  </si>
  <si>
    <t>Jesuis Chavex</t>
  </si>
  <si>
    <t>Revisar proosb01 no tiene corriendo los procesos httpd.worker?</t>
  </si>
  <si>
    <t>Jonathan Nñez</t>
  </si>
  <si>
    <t>Alerta puertos VM Proosb01 (10.150.150.103)  PM 20-03 puertos  9001</t>
  </si>
  <si>
    <t xml:space="preserve">ticket # 1450 - Sistema PFP Caído </t>
  </si>
  <si>
    <t>Status SR 3-39559650149 oracle - SSL - Weblogic</t>
  </si>
  <si>
    <t>Se comparten evidencias del caso de SSL oracle</t>
  </si>
  <si>
    <t>Williams Franco</t>
  </si>
  <si>
    <t xml:space="preserve">ticket # 1454 - Sistema PFP Caído </t>
  </si>
  <si>
    <t>Pablo Gallegos</t>
  </si>
  <si>
    <t>Alerta de puerto 9001 dispositivo proosb01 (10.150.150.103)</t>
  </si>
  <si>
    <t>Solicitud ejecución plan de cargas</t>
  </si>
  <si>
    <t>Reunió soporte Oracle.</t>
  </si>
  <si>
    <t>Solicitud de registros log de aplicación SGI - ASIMU</t>
  </si>
  <si>
    <t>Christopher Astorga</t>
  </si>
  <si>
    <t>[EXTERNO]Alerta de puerto 9001 dispositivo proosb01 (10.150.150.103)</t>
  </si>
  <si>
    <t xml:space="preserve">ticket # 1455 - Sistema PFP Caído </t>
  </si>
  <si>
    <t>Paticio Ordenes</t>
  </si>
  <si>
    <t>Solicitud de lkigs Asimu-geston-interna</t>
  </si>
  <si>
    <t>Solicitud revision servicios SGI, se le informa problemas de comunicación de aws</t>
  </si>
  <si>
    <t>Reinicio de servicios post recuperación de comunicación aws.</t>
  </si>
  <si>
    <t>Daniel Francisco Zamora Galindo</t>
  </si>
  <si>
    <t>Revisión conexión timed out del server de qa, problemas de comunicación VMC</t>
  </si>
  <si>
    <t>Solicitu revisión sistemas de CHA se le informa prioclemas de comunicaciones</t>
  </si>
  <si>
    <t>09:00 - 18:00</t>
  </si>
  <si>
    <t>Asaravia</t>
  </si>
  <si>
    <t>IM-209827-4-1459</t>
  </si>
  <si>
    <t>IM-209965-4-1460</t>
  </si>
  <si>
    <t>Reporta problemas en SGI, esto fue por un parchado de seguridad aplicado por infra a solicitud de seguridad, (PrimeFace)</t>
  </si>
  <si>
    <t>Informa alerta en server wls03 se encuentra con los puertos abajo. Se le informa que se esta trabajando para volver atrás un parchado</t>
  </si>
  <si>
    <t>Patricio Gabriel</t>
  </si>
  <si>
    <t>Reunión de por incidente wla03-04 por un parchado de seguridad aplicado por infra a solicitud de seguridad, (PrimeFace)</t>
  </si>
  <si>
    <t>Jonathan Alexander Nunez Aranguiz</t>
  </si>
  <si>
    <t>Junto con desearles , les comento que se encuentran las siguientes alertas de puerto dispositivo proosb01 (10.150.150.103) puerto 9001</t>
  </si>
  <si>
    <t>Informa alerta en server wls04, se le informa que hubo parchado de seguridad el cual dejo un incidente en wls03 y wls04</t>
  </si>
  <si>
    <t>Victor Venegas</t>
  </si>
  <si>
    <t>Junto con desearles , les comento que se encuentran las siguientes alertas de puerto dispositivo proosb02 (10.150.150.104) puerto 9002</t>
  </si>
  <si>
    <t>Vuelta atrás parchado de maquina wls'3 por parte de infra</t>
  </si>
  <si>
    <t>Inicio Plan de carga UAT solicitado por Gonzalo</t>
  </si>
  <si>
    <t>14536 / RF-210310-4-14536</t>
  </si>
  <si>
    <t>Se solicita a Christian probar funcionamiento de SGI</t>
  </si>
  <si>
    <t>Reporta problemas con ODI de datos. Se reinicia el agente.</t>
  </si>
  <si>
    <t>se informa a Jesus chavez que fue restablecido servicio de wls03</t>
  </si>
  <si>
    <t>Christian consulta por estado de configuración SSL en ambientes de PDP</t>
  </si>
  <si>
    <t>Paola</t>
  </si>
  <si>
    <t>Paola reporta puerto debajo de proosb. Se le informa que servicios estan ok, de todos modos se reinicia.</t>
  </si>
  <si>
    <t>reunión revisión entrega de pdp</t>
  </si>
  <si>
    <t>Informe de incidente PFP causa raiz de caidas.</t>
  </si>
  <si>
    <t>Por favor, su ayuda para revisar el servidor http://10.150.226.96:7001/console que está presentando problemas</t>
  </si>
  <si>
    <t>Caso No. 14625 / RF-210834-4-14625</t>
  </si>
  <si>
    <t>Reicicio servicios PFP</t>
  </si>
  <si>
    <t>Jose Cruces</t>
  </si>
  <si>
    <t>Solicitud de revisión Causa raiz caidas PFP</t>
  </si>
  <si>
    <t>consulta si se tiene la causa raiz de caidas PFP con personal de CHA</t>
  </si>
  <si>
    <t>Reunión caidas PFP con personal de CHA</t>
  </si>
  <si>
    <t>Solicitud actualización de diagrama IPS en linea y AFPEr</t>
  </si>
  <si>
    <t>favor hacerme llegar el siguiente archivo feriados.properties</t>
  </si>
  <si>
    <t>Caso No. 14631 / RF-210870-4-14631</t>
  </si>
  <si>
    <t>Jose Luis Hernaandez</t>
  </si>
  <si>
    <t>Reinicios de servicios owsm por falla en BD de informix</t>
  </si>
  <si>
    <t>Reporta incidente en BD informix</t>
  </si>
  <si>
    <t>Configuración virtua host en ssl.conf de SIT para pdp.</t>
  </si>
  <si>
    <t xml:space="preserve">Maria Fatima Requena Canepa </t>
  </si>
  <si>
    <t>Caso No. 1479 / IM-210975-4-1479</t>
  </si>
  <si>
    <t>Se le informan avances de configuración SSL en SIT</t>
  </si>
  <si>
    <t>Se envia correo de información pruebas ssl</t>
  </si>
  <si>
    <t>Pruebas de ssl en ambiente SIT con gonzalo y desarrollo.</t>
  </si>
  <si>
    <t>Configuración SSL PDP DEV</t>
  </si>
  <si>
    <t>Cristian Salazar</t>
  </si>
  <si>
    <t>Reinicio de sevicios PFP</t>
  </si>
  <si>
    <t>Solicitud revisión servicios OSB de QA</t>
  </si>
  <si>
    <t>Revisión de servicio PFP, reportan servicio intermitente.</t>
  </si>
  <si>
    <t>Revisión de congiguración osb de afper uat http://afper-uat-osb.ips.gob.cl:7003/AFPProject/ConsultaSIAGF</t>
  </si>
  <si>
    <t>Revisión de congiguración osb de afper PRD http://afper-prd-osb.ips.gob.cl:7003/AFPProject/ConsultaSIAGF</t>
  </si>
  <si>
    <t>Diseño y entrega de diagrama de ips en linea</t>
  </si>
  <si>
    <t>Solicita ayuda para poder restaurar problema en wlcdev por levantar servicios con root</t>
  </si>
  <si>
    <t>Caso No. 14711 / RF-211342-4-14711</t>
  </si>
  <si>
    <t>Patricio Salinas Olave</t>
  </si>
  <si>
    <t>Configuración de OSB solicitud de xml de configuraciones</t>
  </si>
  <si>
    <t>Se les informan problemas de BD para levantar los servicios de OSB</t>
  </si>
  <si>
    <t>Sergio inforema que el llega a consumir los wsdl del osb, se le comenta que el problema reportado por BD esta relacionado al funcionamiento de la consola</t>
  </si>
  <si>
    <t>Reporta problemas de espacio en servidor PRD-Afper-Consulta-17 (10.200.17.252) , se eliminan logs obsoletos para regularizar espacios.</t>
  </si>
  <si>
    <t>Gabriel Ramirez</t>
  </si>
  <si>
    <t>Solicita que le compartan manual de purga de logs en ODI PDP</t>
  </si>
  <si>
    <t>Jose Rodrigo Cruces Aguilera</t>
  </si>
  <si>
    <t>reunión Analisis CAidas Calculo PFP</t>
  </si>
  <si>
    <t>Oscar Alex Conejeros Muñoz</t>
  </si>
  <si>
    <t>Solicitud de revisión de calculo PFP</t>
  </si>
  <si>
    <t>08:00 - 18:00</t>
  </si>
  <si>
    <t>Revisión de portal de pagos web ambiente sit</t>
  </si>
  <si>
    <t>Revisión de portal de pagos web ambiente sit por implementación https</t>
  </si>
  <si>
    <t>Reiniciar ambiente prd de PDP</t>
  </si>
  <si>
    <t>Ejecutar plan de carga ambiente prd de PDP</t>
  </si>
  <si>
    <t>Revisión APM PFP</t>
  </si>
  <si>
    <t>Revisión logs en linea de BPM SIT</t>
  </si>
  <si>
    <t>Ayuda en revisión ambiente DEV PDP</t>
  </si>
  <si>
    <t>Sebastian Acevedo</t>
  </si>
  <si>
    <t>Alerta puerto 9001 proosb</t>
  </si>
  <si>
    <t>Reporta caida PFP</t>
  </si>
  <si>
    <t>Reiunión revisión caidas PFP</t>
  </si>
  <si>
    <t>Patricio Ordenez</t>
  </si>
  <si>
    <t>Solicitud de archivos xml de asimu empresa - asimu ips</t>
  </si>
  <si>
    <t>solicitud de logs Empresa-gestion-asimu</t>
  </si>
  <si>
    <t>solicitud de logs Empresa-gestion-ips</t>
  </si>
  <si>
    <t>Despliegue de app TramiteEnLineaEmpresa-1.2.11 wls_server</t>
  </si>
  <si>
    <t>Solicitud de archivos xml de cm-asimu-gestion-interna.xml</t>
  </si>
  <si>
    <t>José Cruces</t>
  </si>
  <si>
    <t>Reunión revisión de PFP</t>
  </si>
  <si>
    <t>Solicitud de levantar servicios owsm_domain qa</t>
  </si>
  <si>
    <t>Solicitud levantar servicios osbqa_domain1213</t>
  </si>
  <si>
    <t>Solicitud levantar servicios osbqa_domain</t>
  </si>
  <si>
    <t>Despliegue de app asimu-gestion-interna-web-1.1.11.war prd</t>
  </si>
  <si>
    <t>Solicitud revisión servicio PFP</t>
  </si>
  <si>
    <t>Ayuda con ruta de logs consumer</t>
  </si>
  <si>
    <t>Estimados, el sistema PFP no está respondiendo.</t>
  </si>
  <si>
    <t>Solicitud revisión versión de TLS en server de oracle</t>
  </si>
  <si>
    <t>Trabajos de prueba apm Vzor en PFP</t>
  </si>
  <si>
    <t>Paso a ord ips en linea isntalación ips-en-linea-empresa-1. 0. 3. war</t>
  </si>
  <si>
    <t>Solicita revisar fins de paso ips e linea</t>
  </si>
  <si>
    <t>19:00 - 21:45</t>
  </si>
  <si>
    <t>Instalación de APM en PFP</t>
  </si>
  <si>
    <t>Reportan caida de PFP</t>
  </si>
  <si>
    <t>Reporta problemas de servicio http://osbprod01.ips.gob.cl:8001/BEN/Facilita/v1_0/ConsultarCalidadPensionado?wsdl</t>
  </si>
  <si>
    <t>Reunión estrategia bajada IPS en linea</t>
  </si>
  <si>
    <t>Solicitud revisión de redireccionamiento de url sit</t>
  </si>
  <si>
    <t>Solicita revisión por cambio de PIAS webservices</t>
  </si>
  <si>
    <t>Consulta por estatus del servicio de PFP</t>
  </si>
  <si>
    <t>Facilitar los log de hoy de $IPS_HOME/appl/sgi-rechazobancario/logs</t>
  </si>
  <si>
    <t>Solicitud de revisión server OSB QA</t>
  </si>
  <si>
    <t>Solicitud de revisión al DBA para ver que BD aun estan operativas en QA</t>
  </si>
  <si>
    <t>Solicitud revisión servicio de Qa que consume ips en linea de PRD</t>
  </si>
  <si>
    <t>Solicitud $IPS_HOME/appl/cm-asimu-gestion-interna/config/reportes</t>
  </si>
  <si>
    <t>Solicitud revisión pdf $IPS_HOME/appl/sgi-rechazobancario/data</t>
  </si>
  <si>
    <t>Revisión espacio /u01 en wls03.</t>
  </si>
  <si>
    <t>Revisión servicio SGI, se reinician servicios</t>
  </si>
  <si>
    <t>solicita el archivo $IPS_HOME/appl/sgi-rechazobancario/config/sgi-rechazobancario.xml</t>
  </si>
  <si>
    <t>Reunión Redirección o bajada URL ipsenlinea</t>
  </si>
  <si>
    <t>Problema carga de rechazos de abono PGU / plataforma gestión interna</t>
  </si>
  <si>
    <t>Solicitud revisión de servicios proosb01-02</t>
  </si>
  <si>
    <t>revisión de firewall linux del server 211</t>
  </si>
  <si>
    <t>Solicita validar espacio de disco weblogicQA (10.150.226.95)</t>
  </si>
  <si>
    <t>Solicitud revisión alerta de wlsprod03</t>
  </si>
  <si>
    <t>revisión de servicios server de qa 211</t>
  </si>
  <si>
    <t>Se solicita mas espacio para el server 2lsprod03</t>
  </si>
  <si>
    <t>Reinicio servicios bpel prd</t>
  </si>
  <si>
    <t>Revisión servicio emision de pago</t>
  </si>
  <si>
    <t>Roderick Rangel</t>
  </si>
  <si>
    <t>Solicita reiniciar consola de osb qa</t>
  </si>
  <si>
    <t>Reunión CDFP forma de pago</t>
  </si>
  <si>
    <t>solicita los datos del datasource Facilita_Informix en el servidor de BPEL en productivo</t>
  </si>
  <si>
    <t>Revisión servicio obtener beneficio</t>
  </si>
  <si>
    <t>Solicitud de reunión para poder revisar servicios sin apm</t>
  </si>
  <si>
    <t>Solicitud de revisión AWS - Wlsprod03 (10.200.2.253) tiene 95% de espacio en disco</t>
  </si>
  <si>
    <t>Solicita revisar espacios en filesystem, se le solicita aumentar espacio de disco.</t>
  </si>
  <si>
    <t>reporta problemas en servicio consulta Domicilio, se le informa que responde desde el osb, deben revisar firewall</t>
  </si>
  <si>
    <t>Revisión de servicios portal de pagos soa. Por alerta de cantidad de instancias en ejecución.</t>
  </si>
  <si>
    <t>Atención de incidentes Portal de Pagos</t>
  </si>
  <si>
    <t>Solicitud de planilla de Turnos</t>
  </si>
  <si>
    <t>Analisis de Incidente fin de semana</t>
  </si>
  <si>
    <t>Confección de informe de incidente en conjunto con Oscar Mora</t>
  </si>
  <si>
    <t>consultarte un tema con el ambiente desarrolo, que necesitamos forzar que utilize el tls 1.1 pero eso se configura al momento de iniciar.</t>
  </si>
  <si>
    <t>Se le informa que debe consultar a seguridad, ya que los servicios estan con TLS1.2</t>
  </si>
  <si>
    <t>Consulta por servicios de osbqa</t>
  </si>
  <si>
    <t>Patricio Odenes</t>
  </si>
  <si>
    <t>Solicitud revisión de servicios http://osbprod01.ips.gob.cl:8001/BEN_Asimu/EXP/PS/PX_EXP_Asimu_gestionaSolicitud?wsdl</t>
  </si>
  <si>
    <t>solicitud de revisión servicios osbpro01.</t>
  </si>
  <si>
    <t>Revisión servicio principal de la elegibilidad del ASIMU</t>
  </si>
  <si>
    <t>Informa espacio del server 10.150.226.96</t>
  </si>
  <si>
    <t>reporta problemas en servicio Historico Previsional, se le informa que responde desde el osb, deben revisar firewall</t>
  </si>
  <si>
    <t>Revisión Filesystem weblogicQA (10.150.226.95) weblogicBPMQA (10.150.226.212)</t>
  </si>
  <si>
    <t>solicitud de logs cm_asimu_gestion-interna</t>
  </si>
  <si>
    <t>Reunión incidencia Asimu, problemas pára guardar registro, se revisa plataforma sin problemas</t>
  </si>
  <si>
    <t>Se revisan wsdl, responden sin problemas en osb</t>
  </si>
  <si>
    <t>Se revisan wsdl, responden sin problemas en osb, se solicita revisar registros en BD MYSQL, se les envia error relacionado.</t>
  </si>
  <si>
    <t>Informa incidente de ASIMU</t>
  </si>
  <si>
    <t>Solicita información sobre incidente de Asimu, se le comunica que no es del lado del app, sino de la BD</t>
  </si>
  <si>
    <t>Favor revisar el portal de pagos debido a que no esta cargando el sitio.</t>
  </si>
  <si>
    <t>Revisión de servicios osb_afper</t>
  </si>
  <si>
    <t>Revisión de servicios BPM_SOA_prod1</t>
  </si>
  <si>
    <t>Reinicio de servicios osbqa1-2 7001  osbqa_domain</t>
  </si>
  <si>
    <t>Reinicio de servicios osbqa1-2 6001 osbqa_domain1213</t>
  </si>
  <si>
    <t>Reinicio de servicios osbqa1-2 5001 owsm_domain</t>
  </si>
  <si>
    <t>Patricio Alberto Ordenes Zuniga</t>
  </si>
  <si>
    <t>quería pedir ayuda con un servidor http://10.150.226.211 parece que está caído</t>
  </si>
  <si>
    <t>Patricio Gabriel Ramirez Rojas</t>
  </si>
  <si>
    <t>Reunión Análisis y Coordinación Incidente Notificación a SUPEN - NOC - DC - SOC</t>
  </si>
  <si>
    <t>Victor Manuel Caroca Villagran</t>
  </si>
  <si>
    <t>deseaba consultarle por un data que me pidieron. los datos del datasource Facilita_Informix en el servidor de BPEL en productivo</t>
  </si>
  <si>
    <t xml:space="preserve">
Miguel Garrido</t>
  </si>
  <si>
    <t>[EXTERNO]Invitación actualizada: Conversación IPS vie 11 de jul de 2025 1pm - 1:30pm</t>
  </si>
  <si>
    <t>Paola Karolina Lillo Azúa</t>
  </si>
  <si>
    <t>Junto con saludar, favor de revisar alerta reportada.
Se ha presentado una alerta por el puerto 8001 en el dispositivo proosb02 (10.150.150.104).</t>
  </si>
  <si>
    <t>Hola Buenos dias, Oscar estuve revisando con Jorge Echeñique un problema que hay con los servicios de HP, que estan alertados</t>
  </si>
  <si>
    <t>hola americo, parece que se callo el nodo osb_server1 Es el ambiente http://10.150.226.96:8003/</t>
  </si>
  <si>
    <t>una consulata, se encuentra arriba el ambiente de OSB el http://10.150.226.211/</t>
  </si>
  <si>
    <t>[EXTERNO]Invitación: Conversa pendiente vie 25 de jul de 2025 11am - 11:30am</t>
  </si>
  <si>
    <t>Junto con saludar, favor de revisar  alerta por espacio en disco de dispositivo osbQA (10.150.226.96).</t>
  </si>
  <si>
    <t>por favor, te molesto con un servidor de desa que se quedo pegado</t>
  </si>
  <si>
    <t>hay un servicio que no me funciona en qa o desarrollo por que ya no está el servidor el servicio de prod</t>
  </si>
  <si>
    <t>una consulta, tengo un servicio OSB que no se ha donde a punta el business. puede revisarlo en productivo.
 http://osbprod01.ips.gob.cl:8001/CAN/CertExRegimen/v1_0/Escalamiento</t>
  </si>
  <si>
    <t xml:space="preserve">puede revisar a donde apunta el datasource DB/CertExRegimen
 </t>
  </si>
  <si>
    <t>hola me puede dar el db adapter del
http://proosb.ips.gob.cl:80/CLAT/HP/v1_0/HistoricoPrevisional</t>
  </si>
  <si>
    <t>hola americo, parece que el siguiente servicio osb esta abajo:
http://osb.ips.gob.cl/CAN/CertExRegimen/v1_0/Solicitud?wsdl</t>
  </si>
  <si>
    <t>Puede darme el dba adapter del http://osb.ips.gob.cl/CAN/CertExRegimen/v1_0/Solicitud?wsdl</t>
  </si>
  <si>
    <t>Quieren que todos los agentes de portal de pago se llamen igual</t>
  </si>
  <si>
    <t>Solicitud de servicio .jar</t>
  </si>
  <si>
    <t>Nicolás Reyes Escalona</t>
  </si>
  <si>
    <t>cambio forma de pago / servicios abajo</t>
  </si>
  <si>
    <t>hola américo, me preguntan si busco apoyo con patricio ramirez, porque no saben con quien consultar para obtener el NLS_SESSION_PARAMETERS.</t>
  </si>
  <si>
    <t>me puede descargar el jar del osb http://osb.ips.gob.cl/CAN/CertExRegimen/v1_0/Solicitud?wsdl para revisarlo.</t>
  </si>
  <si>
    <t>Favor de revisar  alerta por espacio en FS  /  de dispositivo Weblogic QA (IP 10.150.226.95)</t>
  </si>
  <si>
    <t>necesito que ejecute un bussines, de un servicio osb y me envie lo que obtiene. es el:
 http://osbprod01.ips.gob.cl:8001/CAN/CertExRegimen/v1_0/Solicitud
 necesito directamente lo que esta entrgando el backend</t>
  </si>
  <si>
    <t>Priscilla Grace Valenzuela Esparza</t>
  </si>
  <si>
    <t>IPS FASE 2 - Definición Adecuación a IPS en Línea</t>
  </si>
  <si>
    <t> Actualmente tenemos un error al obtener los certificados, en el ambiente de PROD. Esto es debido a que obtenemos un mensaje de Error desde el osb.
http://osbprod01.ips.gob.cl:8001/CAN/CertExRegimen/v1_0/Solicitud</t>
  </si>
  <si>
    <t xml:space="preserve">PS_HOME/appl/cambio-forma-pago/config/  </t>
  </si>
  <si>
    <t xml:space="preserve">Reunión Forma de pago /  recuperación de  servicios </t>
  </si>
  <si>
    <t>es suena qué aplicativo utiliza el usuario OSBSYN_SOAINFRA?.  Ya que este aplicativo/querys mantienen la base de datos GENESYSP muy lenta.   Querys que se ejecutan en 3 segundos en desarrollo se demoran 6 minutos en Producción.</t>
  </si>
  <si>
    <t>Atención incidente OHS PDP PRD</t>
  </si>
  <si>
    <t>Reunión con Oracle por  incidente OHS PDP PRD</t>
  </si>
  <si>
    <t>la elegibilidad apunta a un servicio del portal de pagos https://pws.gestordepagos.ips.gob.cl/ConsultaLiquidacionExpressWS/consultarLiquidacionExpress?WSDL</t>
  </si>
  <si>
    <t>saben, quedo un error en asimu luego de lo de la mañana</t>
  </si>
  <si>
    <t xml:space="preserve"> [EXTERNO]IPS-Oracle: Coordinación Levantamiento Middleware</t>
  </si>
  <si>
    <t xml:space="preserve"> Juan Pablo Buzeta Gonzalez</t>
  </si>
  <si>
    <t>Alerta en server PRD-AFPER-OSB - IP 10.200.13.250</t>
  </si>
  <si>
    <t>Sebastian Rodriguez Zuniga</t>
  </si>
  <si>
    <t>Necesito el war del servicio IpsOnlineCore</t>
  </si>
  <si>
    <t>Invitación: Conversación</t>
  </si>
  <si>
    <t>David Andres Cofre Gomez</t>
  </si>
  <si>
    <t>Reportre de paso a prd ASIMU</t>
  </si>
  <si>
    <t>Solicitud corrección fins de ASIMU por destinos del despliegue</t>
  </si>
  <si>
    <t>19:00 - 20:00</t>
  </si>
  <si>
    <t>Christian Jovanny Segura Urzua</t>
  </si>
  <si>
    <t>Solicitud atención incidente reportado por CHA</t>
  </si>
  <si>
    <t>Solicitud revisión de servicios</t>
  </si>
  <si>
    <t>Roderick Rangel Landinez</t>
  </si>
  <si>
    <t>Solicitud revisión de servicios ProducerAsimu</t>
  </si>
  <si>
    <t>Jose Luis Hernandez Correa</t>
  </si>
  <si>
    <t>Solicitud revisión cuenta VPN</t>
  </si>
  <si>
    <t>CARLOS JARA VICENCIO</t>
  </si>
  <si>
    <t>Revisión servicios PFP</t>
  </si>
  <si>
    <t>Solicitud revisión servicios de server QA  http://10.150.226.211:8001</t>
  </si>
  <si>
    <t>Solicitud revisión JDBC: url=jdbc:informix-sqli://10.150.150.60:3020/benefi:informixServer=</t>
  </si>
  <si>
    <t>Revisión servicios http://10.150.226.211:8001/BEN/cm-asimu/auditoria/v1/consulta?wsdl</t>
  </si>
  <si>
    <t>Revisión servicios http://10.150.226.211:8001/BEN/Asimu/COMP/v1_0/Solicitud?wsdl</t>
  </si>
  <si>
    <t>Solicitud revisión de Ticket</t>
  </si>
  <si>
    <t>Revisión servicios BPEL</t>
  </si>
  <si>
    <t>Levantamiento servicios Oracle PDP DEV-SIT-UAT-PRD</t>
  </si>
  <si>
    <t>Solicitud revisión de Informix, se le informa que eso lo ve Jose Luis Hernandez</t>
  </si>
  <si>
    <t>Levantamiento servicios Oracle PRD AFPER</t>
  </si>
  <si>
    <t>Cesa Gonzalez</t>
  </si>
  <si>
    <t>Solicitud de información de server de IPS en linea para migración</t>
  </si>
  <si>
    <t>Revisión de weblogic por problema de Informix</t>
  </si>
  <si>
    <t>Solicitud de logs de producer asimu</t>
  </si>
  <si>
    <r>
      <t xml:space="preserve">información de la aplicación </t>
    </r>
    <r>
      <rPr>
        <b/>
        <sz val="11"/>
        <color rgb="FF000000"/>
        <rFont val="Aptos Narrow"/>
        <family val="2"/>
      </rPr>
      <t>documentos-gestion-interna-web</t>
    </r>
  </si>
  <si>
    <t>Solicitud de logs de app Gestión interna</t>
  </si>
  <si>
    <t xml:space="preserve">IPS FASE 2 - REUNION DAILY </t>
  </si>
  <si>
    <t>Levantamiento servicios Oracle PRD AFPER AWS</t>
  </si>
  <si>
    <t>ristian Rodrigo Vasquez Lucic</t>
  </si>
  <si>
    <t xml:space="preserve">Alerta critica en servidor P PP WLS Consumer IP 10.150.232.55 </t>
  </si>
  <si>
    <t>Carlos Alejandro Salamanca Solis</t>
  </si>
  <si>
    <t>Paso a Producción de ASIMU PDF</t>
  </si>
  <si>
    <t>Soliocitud de aclaración de servicios IPS en linea</t>
  </si>
  <si>
    <t>Cesar Gonzalez Pena</t>
  </si>
  <si>
    <t>Reunión con Cesar por migración  de servicio</t>
  </si>
  <si>
    <t>Solicitud URL de AFPER</t>
  </si>
  <si>
    <t>Revisión Configuración Dinamyc Cluster</t>
  </si>
  <si>
    <t>Solicitud de los por error en sgi-rechazobancario</t>
  </si>
  <si>
    <t>Solicitud revisión servicios sgi-rechazobancario</t>
  </si>
  <si>
    <t>Revisión conexión a las nuevas instancias de SGI</t>
  </si>
  <si>
    <t>Revisión conexión a las nuevas instancias de AFPER</t>
  </si>
  <si>
    <t>Reconfiguraciónde ambiente de AFPER Consulta y Reclamo</t>
  </si>
  <si>
    <t>Limpieza filesystem y compresión de los IPS_HOME de los wls03-04</t>
  </si>
  <si>
    <t>Revisión de accesos a los nuevos servidores para reconfiguración</t>
  </si>
  <si>
    <t>Cesar solicita revisar inicio automatico de managedserver en el puerto 7101</t>
  </si>
  <si>
    <t>Reconfiguración AFPER Reclamo y reconfiguración de Scripts de inicio systemd</t>
  </si>
  <si>
    <t>Reconfiguración AFPER Reclamo y pruebas de Scripts de inicio systemd, dada la configuración habilitada en aws, al bajar el puertto mataba la maquina en la cual estabamos trabajando y habia que recrear toda la configuración, cesar tuvo que desactivar la comprobación de aws.</t>
  </si>
  <si>
    <t>Se solicito validar conexión a la BD de desarrollo, Cesar Indica que falto crear o habilitar regla en AWS</t>
  </si>
  <si>
    <t>Se entrega configuración Okey, falto solo crear la regla para conectar a la BB de desarrollo.</t>
  </si>
  <si>
    <t>Cesar comenta que se murio la instancia configurada y hay que volver a configurar en una nueva maquina.</t>
  </si>
  <si>
    <t>Solicita Apoyo paraencontrar conexión a BD de asimu.</t>
  </si>
  <si>
    <t>Reconfiguración AFPER Reclamo y pruebas de Scripts de inicio systemd</t>
  </si>
  <si>
    <t>Reconfiguración AFPER Reclamo y entrega Formal, confirmación de Cesar recepción OK con presenci de Paola Lillo</t>
  </si>
  <si>
    <t>Reportan problemas de servicios en server OH PDP PRD, se indica a Paola que server esta pegado y no deja conectar por ssh, por lo cual reinicia el server. Procedemos a levantar servicios despues de inicio de servidor por SO.</t>
  </si>
  <si>
    <t>Dado los problemas que genera el ambiente de OSB, se realiza revisión y se encuentran problemas de recursos. Se solicita aumentar memoria al server.</t>
  </si>
  <si>
    <t>Apoyo revisión de logs de ASIMU*</t>
  </si>
  <si>
    <t>Se solicita ainfraestructura agregar mas recursos a servidores de OSB dev dado que tenia asignado el 10% de los que tenia la maquina de origen</t>
  </si>
  <si>
    <t>Se realza revisiónde conectividad, se configura hostnamme, se limpian configuraciones obsoletas, se analiza comportamiento JVM</t>
  </si>
  <si>
    <t>Solicitud de reinicio de aplicativos PFP por reinicio programado de BD.</t>
  </si>
  <si>
    <t>Revisión de diagrama e infraestructura de Facilita opara ver si aun esta en servicios</t>
  </si>
  <si>
    <t>Se solicita a Paola conseguir los usuarios de conexión de BD para ds de desarrollo.</t>
  </si>
  <si>
    <t>Solicitud de revisión de reglas de conxión a BD de desarrollo desde los servidores de OSB</t>
  </si>
  <si>
    <t>Revisión y ajuste de parametros de JVM de los server de OSB-OWSM-SOA</t>
  </si>
  <si>
    <t>Limpieza de carpoetas de logs y de configuraciones antiguas de server de OSB-OWSM-SOA</t>
  </si>
  <si>
    <t>Reunión por ajustes de SGI Paola/Cesar/Oscar/Roderick/Victor Bustos</t>
  </si>
  <si>
    <t>Revisión usaurios de conexión SGI dev OSB/OWSM</t>
  </si>
  <si>
    <t>Revisión de servicios QA 10.150.226.96</t>
  </si>
  <si>
    <t>José Luis Hernandez Correa</t>
  </si>
  <si>
    <t>Solicitud creación de cita para revisión de arquitectura de SGI</t>
  </si>
  <si>
    <t>Denisse Ivonne Cortez Fernandez</t>
  </si>
  <si>
    <t>solicitud de xml. $IPS_HOME/appl/sgi-rechazobancario/config/sgi-rechazobancario.xml</t>
  </si>
  <si>
    <t>Carlos Antonio Jara Vicencio</t>
  </si>
  <si>
    <t>Ayuda con el puerto del nodo 7001 en el PRD-AFPER-OSB que lo tengo alertado, se reinicia servicio admin del weblogic</t>
  </si>
  <si>
    <t>Solicitud revisión por parte del area de monitoreo. servidor srv-sibs IP 10.150.220.82. Se consulto a Paola y habia reiniciado el server</t>
  </si>
  <si>
    <t>Revisión servicios AFPER SIT-QA</t>
  </si>
  <si>
    <t>Reunión revisión servicios SGI</t>
  </si>
  <si>
    <t>reunión Revisión servicios AFPER SIT-QA</t>
  </si>
  <si>
    <t>Solicitud revisión weblogic QA-DEV</t>
  </si>
  <si>
    <t>Solicitud revisión cionectividad de wls con BD</t>
  </si>
  <si>
    <t>Solicitud reinicio de admin weblogic</t>
  </si>
  <si>
    <t>Validación de servicios con Daniel Zamora en ambiente qa-sit Reclamo</t>
  </si>
  <si>
    <t>Solicitud de config de server de prd para modificaciones de desarrollo.</t>
  </si>
  <si>
    <t>Solicitudde copia de xml al server de prd</t>
  </si>
  <si>
    <t>validación de servicios post cambio de xml, ok por parte de desarrollo</t>
  </si>
  <si>
    <t>Jose Miguel Ruiz Iturriaga</t>
  </si>
  <si>
    <t>Reinicio PFP</t>
  </si>
  <si>
    <t>copia de librerias .jard e PDP a solicitud de desarrollo.</t>
  </si>
  <si>
    <t>Revisión de OSBqa para desarrollo de SGI CHA</t>
  </si>
  <si>
    <t>Solicitud de validación de wsdl de qa asimu</t>
  </si>
  <si>
    <t>Solicitud de revisión de servicios de qa dado que no estan operativo los wls.</t>
  </si>
  <si>
    <t>Validacipon de servicios post inicio de los wls ok por parte de desarrollo</t>
  </si>
  <si>
    <t>solicitud de validación de wlsdl de prd homologo en qa</t>
  </si>
  <si>
    <t>Problemas en server owsm en qa, se hace un reinicio eliminando archivos .dat</t>
  </si>
  <si>
    <t>Solicitud reviión DS en ambiente de qa server 10.150.226.95</t>
  </si>
  <si>
    <t>Se solicita a Nicolas escalar con el dba conexiones a server de BD COREQ1</t>
  </si>
  <si>
    <t>Se solicita a Nicolas escalar con el dba conexiones a server de BD CORED1</t>
  </si>
  <si>
    <t>Solicitud de coordinación reunión para el día 23-12-2025</t>
  </si>
  <si>
    <t xml:space="preserve">es posible hacer prueba de conectividad a las url de rechazos bancarios de qa y prod?
https://legacy-proxy.chileatiende.gob.cl/rechazos-bancarios/
https://legacy-proxy.qa.chileatiende.cl/rechazos-bancarios/
 </t>
  </si>
  <si>
    <t>Solicitud de logs para rechazos bancarios</t>
  </si>
  <si>
    <t>Entregan nuevo server clonado para afper, se solicita cambiar hostname y tabla de host para configurar servicios</t>
  </si>
  <si>
    <t>Trabajos sobre reconfiguración de pool de conexiones de SGI landingzone</t>
  </si>
  <si>
    <t>solicitud de validación de servicios nuevo server de afper clonado</t>
  </si>
  <si>
    <t>reconfiguración de inicios automaticos de servicios weblogic en afper</t>
  </si>
  <si>
    <t>Revisión pool de conexión fallida qa</t>
  </si>
  <si>
    <t>solicitud validación url URL gestion-qa-sit.aportefamiliar.cl</t>
  </si>
  <si>
    <t>Solicitud de revision de afper con Sergio Santibañez, Oscar, Daniel y Cesar</t>
  </si>
  <si>
    <t xml:space="preserve">apoyo para generar ticket asociado a una configuración de puertos que necesitamos corregir en los módulos de STJ y Rechazos bancarios. </t>
  </si>
  <si>
    <t>Solicitud de archivos de logs</t>
  </si>
  <si>
    <t>Solicitud de archivos XML</t>
  </si>
  <si>
    <t>respaldo y copia de xml en prd con modificaciones realizadas por area desarrollo.</t>
  </si>
  <si>
    <t>Se realiza deplyment nuevo en el server clonadod e afper, solicitado por Sergio Santibañez</t>
  </si>
  <si>
    <t>Solicitud de logs /documentos-gestion-interna/logs</t>
  </si>
  <si>
    <t>Solicitud de logs de de afper reclamo por falla de timeout</t>
  </si>
  <si>
    <t>Se revisan logs encontrando problemas de conexión a los server de BD, se consulta a Daniel para confirmar el pool de conexión, puerto, instancia</t>
  </si>
  <si>
    <t>Revisión de DS afper reclamo, falla la conexión. Se informa al grupo problema de telnet al puerto de la BD</t>
  </si>
  <si>
    <t>Solicitud revisipon server qa</t>
  </si>
  <si>
    <t>Revisión de DS afper reclamo, falla la conexión. Se descrubre que las maquinas de BD estaban apagadas.</t>
  </si>
  <si>
    <t>Reinicio Server 10.150.226.96</t>
  </si>
  <si>
    <t>Reunión revisión AFPER Landingzone, se queda a la espera de clonación server osb.</t>
  </si>
  <si>
    <t>Revisión pool de conexiones AFPER server osb.</t>
  </si>
  <si>
    <t>Vaidación servcicio listar beneficio prd</t>
  </si>
  <si>
    <t>Paso a producción servicio SGI PASO A PROD : Incorporacion de 2 codigos nuevos de beneficios  por reforma//16987</t>
  </si>
  <si>
    <t>Caso No. 16987 / RF-226852-4-16987</t>
  </si>
  <si>
    <t>Solicitamos su ayuda para poder probar la conectividad desde el servidor 10.150.226.96 a la url https://legacy-proxy.qa.chileatiende.cl/rechazos-bancarios/.</t>
  </si>
  <si>
    <t>Patricio Alberto Ordenes Zunig</t>
  </si>
  <si>
    <t>Solicitud revisión servicios en QA CertExRegimen</t>
  </si>
  <si>
    <t>Solicitamos su ayuda por unos servicios osb de producción pues estamos tratando de hacer funcionar un flujo de documentos de SGI en desarrollo, pero nos hacen falta</t>
  </si>
  <si>
    <t>Solicitud revisión servicio Portal de Pagos consumido desde cha</t>
  </si>
  <si>
    <t>Solicitud de jar y xml de configuración de servicio de producción</t>
  </si>
  <si>
    <t>Caso No. 17001 / RF-226960-4-17001</t>
  </si>
  <si>
    <t>Solicitud de configuración DS en prd CERTEXREGIMEN</t>
  </si>
  <si>
    <t>Se le comparte correo con DS que aun falta que compartan los string de conexión</t>
  </si>
  <si>
    <t>Solicitud de logs afper qa.sit</t>
  </si>
  <si>
    <t>Imprtar jar solicitado de prd. No se puede hacer por diferencia de versiones en el ambiente</t>
  </si>
  <si>
    <t>Caso No. 17005 / RF-227022-4-17005</t>
  </si>
  <si>
    <t>instalación .jar certexregimen en server 10.150.226.211</t>
  </si>
  <si>
    <t>Se solicita a Nicolas mandar correo de solicitud de conexión a BD de qa mas usuario</t>
  </si>
  <si>
    <t>Solicitud de cuenta ADM_CERTEXREGIMEN  creación de filtros para acceso a BD</t>
  </si>
  <si>
    <t>Solicitud de cuenta ADM_CERTEXREGIMEN  para creación DS</t>
  </si>
  <si>
    <t>Nos encontramos presentando Problemas con la WEB - calculo pfp</t>
  </si>
  <si>
    <t>Caso No. 1575 / IM-227283-4-1575</t>
  </si>
  <si>
    <t>Falla de acceso aplicativo cálculo PFP, falla causada por actividad en BD</t>
  </si>
  <si>
    <t>Caso No. 1576 / IM-227284-4-1576</t>
  </si>
  <si>
    <t>Solicitud de revisión desplioegues de afper consulta y reclamo</t>
  </si>
  <si>
    <t>Solicitud de exportación de jar forma de pago</t>
  </si>
  <si>
    <t>Caso No. 17052 / RF-227365-4-17052</t>
  </si>
  <si>
    <t>Por favor, su ayuda para para obtener el servicio exportado desde producción:  http://osbprod01.ips.gob.cl:8001/CAN/FormaPago/v1_0/Institucion</t>
  </si>
  <si>
    <t>Creación de usuario en ambiente de SIT PDP BPM y Consumer</t>
  </si>
  <si>
    <t>Caso No. 17113 / RF-227810-4-17113</t>
  </si>
  <si>
    <t>Creación de usuario en ambiente de QA PDP BPM y Consumer</t>
  </si>
  <si>
    <t>Solicitud reinicio ODI PRD</t>
  </si>
  <si>
    <t>Williams L. Franco Salinas</t>
  </si>
  <si>
    <t>Revisión problemas de acceeso app ASIMU</t>
  </si>
  <si>
    <t>Revisión espacio en Disco OSB QA</t>
  </si>
  <si>
    <t>Revisión Planificación Afper</t>
  </si>
  <si>
    <t>necesito su ayuda para poder obtener los logs del día de hoy entre 8 y 11 am del módulo de SGI producción de Documentos para su revisión</t>
  </si>
  <si>
    <t>por favor su ayuda para revisar el estado y conexión a DB de los siguientes servicios </t>
  </si>
  <si>
    <t>Estimados, por favor, su ayuda para verificar la información de los siguientes RUT 18919410-2,  7066662- 6, 8379143- 8,  5979334- 9 </t>
  </si>
  <si>
    <t>Reunión Seguimiento Grupo Middleware</t>
  </si>
  <si>
    <t>Spring Planning Preview</t>
  </si>
  <si>
    <t>Dante Lorenzo Laplechade Pipon</t>
  </si>
  <si>
    <t>Paso a prd ASIMU SGI ==&gt; Mensaje de error en modulo de auditoria</t>
  </si>
  <si>
    <t>Revisión Reinicios controlados de PDP</t>
  </si>
  <si>
    <t>Revisión Usuarios BD de aplicativo Middleware</t>
  </si>
  <si>
    <t xml:space="preserve">Paso a prd Solicitud de revisión de aplicación SGI - Documentos - Certificado Ex Régimen </t>
  </si>
  <si>
    <t>Caso No. 17295 / RF-229105-4-17295</t>
  </si>
  <si>
    <t>Coordinación Equipo IPS</t>
  </si>
  <si>
    <t>Revisión PDP SIT</t>
  </si>
  <si>
    <t>Tareas administrativas</t>
  </si>
  <si>
    <t xml:space="preserve">Revisión de servicios IPS en linea. </t>
  </si>
  <si>
    <t>Limpieza de filesystem seerver de IPS en linea</t>
  </si>
  <si>
    <t>Limpieza de filesystem seerver de Portal de Pagos</t>
  </si>
  <si>
    <t>Estimados, por favor su ayuda con el servidor osbqa1.ips.gob.cl:8001  (10.150.226.211) que no responde</t>
  </si>
  <si>
    <t>Caso No. 17369 / RF-229621-4-17369</t>
  </si>
  <si>
    <t>Validación de consola de admin osbqqa, la cual se encuentra abajo</t>
  </si>
  <si>
    <t>Conexión ssh al server osbqa1, para reiniciar servición admin</t>
  </si>
  <si>
    <t>Reinicio osb_server1 osbqa1 por consola.</t>
  </si>
  <si>
    <t>Respuesta de validación okey de osbqa1</t>
  </si>
  <si>
    <t>Solicitud versionamiento prd IpsOnlineCore</t>
  </si>
  <si>
    <t>Revisión  aplicativo Middleware</t>
  </si>
  <si>
    <t>Solicitud versionamiento prd SISTEMA DE GESTION INTERNA (SGI) módulo STJ Cotización</t>
  </si>
  <si>
    <t>Solicitud coordinación de paso Paso a prd SISTEMA DE GESTION INTERNA (SGI) módulo STJ Cotización</t>
  </si>
  <si>
    <t>Solicitud revisión FINS Paso a prd SISTEMA DE GESTION INTERNA (SGI) módulo STJ Cotización</t>
  </si>
  <si>
    <t>Copia de war al equipo local desde el origen de desarrollo</t>
  </si>
  <si>
    <t>respaldo de la pieza de app anterior dentro de la ruta de instalación</t>
  </si>
  <si>
    <t>Copia de la nueva pieza a instalar al equipo prd de destino</t>
  </si>
  <si>
    <t>Paso a prd SISTEMA DE GESTION INTERNA (SGI) módulo STJ Cotización</t>
  </si>
  <si>
    <t>Caso No. 17400 / RF-229865-4-17400</t>
  </si>
  <si>
    <t>Validación de pieza instalada por parte del solicitante y confirmación de funcionamiento okey</t>
  </si>
  <si>
    <t>sabado</t>
  </si>
  <si>
    <t>domingo</t>
  </si>
  <si>
    <t>PaolaBustamante</t>
  </si>
  <si>
    <t>Favor gestionar Versionamiento e Instalacion de la FINS adjunta del requerimiento: R1807 Aranda(s) AR_158944 - Mejoras Portal de  Pago</t>
  </si>
  <si>
    <t>Caso No. 17410 / RF-229904-4-17410</t>
  </si>
  <si>
    <t>Validación de fins a instalar de PDP</t>
  </si>
  <si>
    <t>Revisión acceso nuevas maquinas de PDP</t>
  </si>
  <si>
    <t>Reunión coordinación de Bitacora de actividades</t>
  </si>
  <si>
    <t>Se le slicita a Cesar escalar conectividad a BD de PDP nuevo clon</t>
  </si>
  <si>
    <t>Solicitud revisión de conexión de server clomados de PDP por cambios realizados</t>
  </si>
  <si>
    <t>IPS Fase 2 - Reunión Daily</t>
  </si>
  <si>
    <t xml:space="preserve">Revisión de ambiente SIT PDP </t>
  </si>
  <si>
    <t>Reisión de servicios OSB QA por intermitencia</t>
  </si>
  <si>
    <t>Reinicio de osb_server1 por estatus Overload</t>
  </si>
  <si>
    <t>Solicitud de logs de ASIMU</t>
  </si>
  <si>
    <t>Solicitud revisión de instalación realizada el 16-03 en ambiente de QA</t>
  </si>
  <si>
    <t>Solicitud reinicio OHS</t>
  </si>
  <si>
    <t>Consulta de encargado de sistema de Aporte Familiar, se le informa que es de Daniel Zamora</t>
  </si>
  <si>
    <t>Solicitud revisión DS jdbc/AsimuConcesio, test de conexión OK</t>
  </si>
  <si>
    <t>Solicitud revisión DS jdbc/AsimuInformix, test de conexión OK</t>
  </si>
  <si>
    <t>Solicitud revisión DS jdbc/AsimuOracle, test de conexión OK</t>
  </si>
  <si>
    <t>Revisión de ambiente SIT PDP OHS. Se encuentran server OK</t>
  </si>
  <si>
    <t xml:space="preserve">Conexión a los server admin por ssh para revisión de salud </t>
  </si>
  <si>
    <t xml:space="preserve">Conexión a los server administrado por ssh para revisión de salud </t>
  </si>
  <si>
    <t>Revisión por consola de weblogic estado de los servicios</t>
  </si>
  <si>
    <t>Oscar Fernandes</t>
  </si>
  <si>
    <t>Solicita ayuda para pedir monitoreo sobre pdp QA</t>
  </si>
  <si>
    <t>Copia de archivos al equipo local, origen wlsprod03 al equipo local</t>
  </si>
  <si>
    <t>Copia de archivos al equipo local, origen wlsprod04 al equipo local</t>
  </si>
  <si>
    <t>Compresión de archivos de logs</t>
  </si>
  <si>
    <t>Copia de archivos de logs al correo para el solicitante</t>
  </si>
  <si>
    <t>reunión Revisión Clon de PDP, errores de comunicación y permisos</t>
  </si>
  <si>
    <t>Pruebas de conexión a servidores de pdp dev</t>
  </si>
  <si>
    <t>Revisión conexión entre servidores</t>
  </si>
  <si>
    <t>pruebas de conectividad</t>
  </si>
  <si>
    <t>Validación post actualización de cliente</t>
  </si>
  <si>
    <t>Solicitu de verionamiento de app cm-producer-asimu instalada ewn osbprod</t>
  </si>
  <si>
    <t>Conexión a la consola admin para revisar versión de aplicativo</t>
  </si>
  <si>
    <t>Coordinación - Ejecución Adecuación SGI</t>
  </si>
  <si>
    <t>Presentación plataforma APM VZOR</t>
  </si>
  <si>
    <t>Difusión nueva organica departamento</t>
  </si>
  <si>
    <t>Reunión Revisión de bitacora equipo abenis interno</t>
  </si>
  <si>
    <t>Priscila Valenzuela</t>
  </si>
  <si>
    <t xml:space="preserve">revisión de problema en sistema de forma de pago </t>
  </si>
  <si>
    <t>Revisión servicios OSB</t>
  </si>
  <si>
    <t>Revisión de DS 1 a 1, conexión okey</t>
  </si>
  <si>
    <t>Operaciones</t>
  </si>
  <si>
    <t>Gestión y prueba de accesos</t>
  </si>
  <si>
    <t>Reunión sobre caídas del servidor BD</t>
  </si>
  <si>
    <t>DYM</t>
  </si>
  <si>
    <t>Jorge León</t>
  </si>
  <si>
    <t>Revisión de repositorios ODI</t>
  </si>
  <si>
    <t>Planificación migración repositorios</t>
  </si>
  <si>
    <t>Revisión de requisitos para migrar repositorios</t>
  </si>
  <si>
    <t>Revisión con BD del impacto en generar nuevos repositorios</t>
  </si>
  <si>
    <t>Revisión con BD para crear nuevos repositorios</t>
  </si>
  <si>
    <t>Creación repositorio de PLS</t>
  </si>
  <si>
    <t>Import de carpetas al repo pls</t>
  </si>
  <si>
    <t>Pruebas PLS</t>
  </si>
  <si>
    <t>Revisión ambiente de las pruebas PLS</t>
  </si>
  <si>
    <t>Revisión BD para las pruebas PLS</t>
  </si>
  <si>
    <t>Borrado de usuarios antiguos pls (solo repo2)</t>
  </si>
  <si>
    <t>Migración BPH ODI PRD</t>
  </si>
  <si>
    <t>INFRA</t>
  </si>
  <si>
    <t>César González</t>
  </si>
  <si>
    <t>Configuración de Seguridad OHS Ipsenlinea Prd</t>
  </si>
  <si>
    <t>Pruebas BPH</t>
  </si>
  <si>
    <t>Cambios en Prd BPM</t>
  </si>
  <si>
    <t>Eliminación repositorio antiguo</t>
  </si>
  <si>
    <t>Infra</t>
  </si>
  <si>
    <t>Migración BDS ODI PRD</t>
  </si>
  <si>
    <t>PASO A QA PDP</t>
  </si>
  <si>
    <t>Instalación de ELE en nuevos repos</t>
  </si>
  <si>
    <t>Revisión incidencias pdp</t>
  </si>
  <si>
    <t>Interno</t>
  </si>
  <si>
    <t>Revisión conexiones entre ambientes</t>
  </si>
  <si>
    <t>Puesta a punto de ELE en nuevo repo</t>
  </si>
  <si>
    <t>Eliminación repositorio antiguo ELE</t>
  </si>
  <si>
    <t>CHA</t>
  </si>
  <si>
    <t>Revisión de incidencia de gestion interna</t>
  </si>
  <si>
    <t>Revisión incidencia de pdp</t>
  </si>
  <si>
    <t>Revisión de incidencia de APS</t>
  </si>
  <si>
    <t>Resivisión de incidencia APS</t>
  </si>
  <si>
    <t>Revisión scripts para el borrado de logs</t>
  </si>
  <si>
    <t>Incidencia desarrollo falta de conectividad a DWHD</t>
  </si>
  <si>
    <t>Incidencia ambiente de SIT</t>
  </si>
  <si>
    <t>Revisión de errores en ELE</t>
  </si>
  <si>
    <t>Revisión de errores SIDP</t>
  </si>
  <si>
    <t>Reinicio general y borrado de logs ODI PRD</t>
  </si>
  <si>
    <t>Soporte Odi PRD</t>
  </si>
  <si>
    <t>Soporte PDP</t>
  </si>
  <si>
    <t>Soporte afper</t>
  </si>
  <si>
    <t>Soporte ipsenlinea</t>
  </si>
  <si>
    <t>Incidencia de listeners bloqueados</t>
  </si>
  <si>
    <t>Revisión de asimu</t>
  </si>
  <si>
    <t>Incidencia, perdida conectividad correos en ODI</t>
  </si>
  <si>
    <t xml:space="preserve">Jorge León </t>
  </si>
  <si>
    <t>Actualización de arandas</t>
  </si>
  <si>
    <t>Redespliegue por error de escenarios odi</t>
  </si>
  <si>
    <t>Incidencia de servicios CLE (cambio forma de Pago)</t>
  </si>
  <si>
    <t>Revisión de evento en servidor</t>
  </si>
  <si>
    <t>Alerta</t>
  </si>
  <si>
    <t>Alerta sobre servidores de Afper</t>
  </si>
  <si>
    <t>Buscar parche para odi client</t>
  </si>
  <si>
    <t>Error desarrollo de repositorio SIDP Externos</t>
  </si>
  <si>
    <t>Error de interfaz, redespliegue de escenarios con error</t>
  </si>
  <si>
    <t>QA</t>
  </si>
  <si>
    <t>Óscar Fuenzalida</t>
  </si>
  <si>
    <t>Instalación de PFP en ambiente de QA, preparar ambiente</t>
  </si>
  <si>
    <t>Error en SIDP BPH</t>
  </si>
  <si>
    <t>César Neculman</t>
  </si>
  <si>
    <t xml:space="preserve">Incidencia de PDP, ODI no levanta. </t>
  </si>
  <si>
    <t xml:space="preserve">Incidencia en SIDP </t>
  </si>
  <si>
    <t xml:space="preserve">DYM </t>
  </si>
  <si>
    <t>PRISCILLA VALENZUELA</t>
  </si>
  <si>
    <t>REVISIÓN SERVICIOS DE ASIMU</t>
  </si>
  <si>
    <t>JORGE LEÓN</t>
  </si>
  <si>
    <t>REVISIÓN ENCOLADO DE PROCESOS</t>
  </si>
  <si>
    <t>REVISIÓN DE PROCESOS FANTASMAS, REINICIO CONTROLADO</t>
  </si>
  <si>
    <t>REVISIÓN PFP</t>
  </si>
  <si>
    <t>REVISIÓN LENTITUD DE PROCESOS</t>
  </si>
  <si>
    <t>INFRAESTRUCTURA</t>
  </si>
  <si>
    <t>PAOLA LILLO</t>
  </si>
  <si>
    <t>REVISIÓN OHSPROD01</t>
  </si>
  <si>
    <t>REVISIÓN PROCESO ELEGIBILDIAD</t>
  </si>
  <si>
    <t>CHRISTIAN ROJAS</t>
  </si>
  <si>
    <t>REVISIÓN PROCESO DM PAGOS</t>
  </si>
  <si>
    <t>OSCAR FUENZALIDA</t>
  </si>
  <si>
    <t>REVISIÓN DE AMBIENTE PDP</t>
  </si>
  <si>
    <t>Monitoreo y acciones sobre ODI por contingencia</t>
  </si>
  <si>
    <t>Revisión de arquitectura Middleware para cuentas AWS</t>
  </si>
  <si>
    <t>Revisión de arquitectura Middleware para cuentas AWS, revisión incidencia filesystem de odi DM Pagos</t>
  </si>
  <si>
    <t>Revisión ODI, montaje de discos</t>
  </si>
  <si>
    <t>CRISTIAN ROJAS</t>
  </si>
  <si>
    <t>Revisión de incidencia ODI, discos</t>
  </si>
  <si>
    <t>JORGE LEON</t>
  </si>
  <si>
    <t>Revisión incidencia ODI, reinicio de agente</t>
  </si>
  <si>
    <t>Revisión incidencia ODI., revisión de logs</t>
  </si>
  <si>
    <t>SERGIO SANTIBAÑEZ</t>
  </si>
  <si>
    <t>Revisión ambiente qa e incidencia PFP / exadata / contingencia</t>
  </si>
  <si>
    <t>REVISIÓN INCIDENCIA ESCRITURA PRD</t>
  </si>
  <si>
    <t>IMPLEMENTACIÓN AMBIENTE SGI</t>
  </si>
  <si>
    <t>REVISIÓN AMBIENTE PRD, APS</t>
  </si>
  <si>
    <t>LENTITUD SOBRE 1 PROCESO ODI (RESTO NORMAL)</t>
  </si>
  <si>
    <t>LANDING ZONE, CONFIGURACIÓN AMBIENTE DEV</t>
  </si>
  <si>
    <t>INFRAESTREUCTURA</t>
  </si>
  <si>
    <t>INFRAESTRTUCTURA</t>
  </si>
  <si>
    <t>PAOLA BUSTAMANTE</t>
  </si>
  <si>
    <t>APOYO AMBIENTE DEV SSL</t>
  </si>
  <si>
    <t>APÓYO AMBIENTE DEV SSL</t>
  </si>
  <si>
    <t>PROYECTO LANDING ZONE, SGI</t>
  </si>
  <si>
    <t>PROYECTO LANDING ZONE, AFPER</t>
  </si>
  <si>
    <t>INCIDENCIAS ODI ELEGIBILIDAD</t>
  </si>
  <si>
    <t>Se realiza informe respectivo</t>
  </si>
  <si>
    <t>REVISIÓN ODI, STAGING PRODUCCIÓN</t>
  </si>
  <si>
    <t>Es un seguimiento al incidente del día anterior</t>
  </si>
  <si>
    <t>INGENIERIA</t>
  </si>
  <si>
    <t>PATRICIO RAMIREZ</t>
  </si>
  <si>
    <t>MEJORAS SERVIDOR ODI</t>
  </si>
  <si>
    <t>ERROR ODI PRODUCCIÓN, MEMORY HEAP, REINICIO</t>
  </si>
  <si>
    <t>Se realiza informe repectivo</t>
  </si>
  <si>
    <t>MEJORAS EN LOS PARAMETROS DE ODI EN CLIENTES</t>
  </si>
  <si>
    <t>REVISIÓN DE ESTADO DE LAS EJECUCIONES ODI PRODUCCIÓN</t>
  </si>
  <si>
    <t>MONITOREO MODULO APS Y DMPAGOS</t>
  </si>
  <si>
    <t>Se reportaba lentitud, pero no se observó nada</t>
  </si>
  <si>
    <t>ERROR ENVIO DE CORREO MÓDULO DMPAGOS</t>
  </si>
  <si>
    <t xml:space="preserve">Se presenta informe respectivo. </t>
  </si>
  <si>
    <t>MONITOREO ENVÍO DE CORREOS ODI PRD</t>
  </si>
  <si>
    <t xml:space="preserve">Se valida que el cambio realizado no afectó otros módulos. Es un seguimiento al incidente del día anterior. </t>
  </si>
  <si>
    <t>MEJORAS SERVIDOR ODI ONPREMISE</t>
  </si>
  <si>
    <t>Soporte pdp subida de archivos</t>
  </si>
  <si>
    <t>Se valida el funcionamiento y los logs, se detecta que la casilla de correo está full y hay usuarios que no tienen permisos</t>
  </si>
  <si>
    <t>Horas extraordinarias 16:00 a 18:00</t>
  </si>
  <si>
    <t>Horas extraordinarias 15:00 a 18:00</t>
  </si>
  <si>
    <t>Soporte pdp dev, ssl</t>
  </si>
  <si>
    <t>Revisión PDP SIT https</t>
  </si>
  <si>
    <t>Revisión accesos PDP SIT</t>
  </si>
  <si>
    <t>MEJORAS SERVIDOR ODI ON PREMISE</t>
  </si>
  <si>
    <t>MEJORAS SERVIDORE ODI ON PREMISE</t>
  </si>
  <si>
    <t>Revisión preventiva ODI Datos</t>
  </si>
  <si>
    <t>Revisión de ODI DAtos prd, procesos detenidos</t>
  </si>
  <si>
    <t>Se reinicia el dominio, había contención desde bd</t>
  </si>
  <si>
    <t>Revisión de ODI Datos PRD, procesos detenidos</t>
  </si>
  <si>
    <t>Se valida el funcionamiento y los logs</t>
  </si>
  <si>
    <t>Homologación de nodos afper</t>
  </si>
  <si>
    <t>Revisión nodos afper</t>
  </si>
  <si>
    <t>Revisión de DEV PDP (pendiente lo de certificado ssl)</t>
  </si>
  <si>
    <t>Actualización archivo de Feriados</t>
  </si>
  <si>
    <t>Revisión de ambiente desarrollo</t>
  </si>
  <si>
    <t>Revisión de version de kernel de wls java para servidores AWS LZ PDP</t>
  </si>
  <si>
    <t>Revisión de los faltantes del ambiente DEV para lo del SSL</t>
  </si>
  <si>
    <t xml:space="preserve">Paola Lillo </t>
  </si>
  <si>
    <t>Revisión servidores AWS</t>
  </si>
  <si>
    <t xml:space="preserve">Revisión de servidores de AFPER Balanceo, revisión de las máquinas a hacer reinició, metadata y </t>
  </si>
  <si>
    <t>Revisión agente ODI PRD</t>
  </si>
  <si>
    <t>Error agente, saturación de conexiones bd</t>
  </si>
  <si>
    <t>validaciones técnicas de OHS, WLS, OSB, BPM y problemas de configuración incompleta en DEV.</t>
  </si>
  <si>
    <t>Revisión servidores aws lz dev SGI</t>
  </si>
  <si>
    <t>Revisión conectividad y uso de aplicación</t>
  </si>
  <si>
    <t>Revisión servidor de reclamo afper de aws landing zone</t>
  </si>
  <si>
    <t>Revisión servidores Afper productivos</t>
  </si>
  <si>
    <t>Revisión de carga de archivos odi</t>
  </si>
  <si>
    <t>Revisión de logs de servidor WLSPROD03</t>
  </si>
  <si>
    <t>Revisión de espacio y zipeo de logs</t>
  </si>
  <si>
    <t>Revisión de ODI DEV de PDP</t>
  </si>
  <si>
    <t>Se valida el cambio de password del repositorio</t>
  </si>
  <si>
    <t>Revisión plan de reinicio metadata afper y ohs</t>
  </si>
  <si>
    <t xml:space="preserve">Infraestructura </t>
  </si>
  <si>
    <t xml:space="preserve">Revisión servidores de afper producción </t>
  </si>
  <si>
    <t>sacar de balanceador y apagado</t>
  </si>
  <si>
    <t>Caida de server admin de osb afper</t>
  </si>
  <si>
    <t>Se valida que no hay causa en los logs de la caida del admin (ya ha pasado) se aumenta el tamaño de la memoria del admin</t>
  </si>
  <si>
    <t>Revisión de server admin de afper osb</t>
  </si>
  <si>
    <t xml:space="preserve">Se elimina del config los datos de arranque por defecto para evitar </t>
  </si>
  <si>
    <t>Reunión daily aws lz</t>
  </si>
  <si>
    <t>Revisión conectividad de proyecto AWS LZ</t>
  </si>
  <si>
    <t>Revisión de SSL en DEV</t>
  </si>
  <si>
    <t>Persisten los problemas en SSL de DEV, DYM desconoce el estado del proyecto</t>
  </si>
  <si>
    <t>Revisión politicas de respaldo</t>
  </si>
  <si>
    <t>Se revisan las politicas de respaldo de servidores de AWS</t>
  </si>
  <si>
    <t>Reunión de grupo</t>
  </si>
  <si>
    <t>Revisióón de SSL de DEV</t>
  </si>
  <si>
    <t>Se revisa la configuración de SIT y se replica en DEV, solo en OHS, rutinas de validación</t>
  </si>
  <si>
    <t>Uptime y validación de servidores afper</t>
  </si>
  <si>
    <t>Se valida que levantaron correctamente los siguientes servidores: prd-afper-4, prd-afper-5, prd-afper6</t>
  </si>
  <si>
    <t xml:space="preserve">Revisión preventiva ambiente prd de ODI (recepción de archivos). </t>
  </si>
  <si>
    <t>Revisión de SSL de DEV</t>
  </si>
  <si>
    <t>Se mantiene un error de redirect del ohs, se determinan problemas del BPM</t>
  </si>
  <si>
    <t>NO APLICA</t>
  </si>
  <si>
    <t>Reunión abenis</t>
  </si>
  <si>
    <t>Reunión sprint de aws lz</t>
  </si>
  <si>
    <t>Revisión de logs de SSL de DEV</t>
  </si>
  <si>
    <t>Revisión del error para preparar informe</t>
  </si>
  <si>
    <t>CPP</t>
  </si>
  <si>
    <t>Revisión Paso a Producción SGI</t>
  </si>
  <si>
    <t>Reunión de área</t>
  </si>
  <si>
    <t>Reunión alineación SGI DEV de LZ</t>
  </si>
  <si>
    <t>Jesús Chávez</t>
  </si>
  <si>
    <t>Reunión de Presentación APS de VZOR</t>
  </si>
  <si>
    <t>OPERACIONES</t>
  </si>
  <si>
    <t>Reunión nueva organica de IPS</t>
  </si>
  <si>
    <t>N A</t>
  </si>
  <si>
    <t>Revisión de Monitoreo servidores onpremise</t>
  </si>
  <si>
    <t>09:00 - 18:01</t>
  </si>
  <si>
    <t>09:00 - 18:02</t>
  </si>
  <si>
    <t>09:00 - 18:03</t>
  </si>
  <si>
    <t>09:00 - 18:04</t>
  </si>
  <si>
    <t>09:00 - 18:05</t>
  </si>
  <si>
    <t>09:00 - 18:06</t>
  </si>
  <si>
    <t>09:00 - 18:07</t>
  </si>
  <si>
    <t>09:00 - 18:08</t>
  </si>
  <si>
    <t>09:00 - 18:09</t>
  </si>
  <si>
    <t>09:00 - 18:10</t>
  </si>
  <si>
    <t>09:00 - 18:11</t>
  </si>
  <si>
    <t>09:00 - 18:12</t>
  </si>
  <si>
    <t>09:00 - 18:13</t>
  </si>
  <si>
    <t>09:00 - 18:14</t>
  </si>
  <si>
    <t>09:00 - 18:15</t>
  </si>
  <si>
    <t>09:00 - 18:16</t>
  </si>
  <si>
    <t>09:00 - 18:17</t>
  </si>
  <si>
    <t>09:00 - 18:18</t>
  </si>
  <si>
    <t>09:00 - 18:19</t>
  </si>
  <si>
    <t>09:00 - 18:20</t>
  </si>
  <si>
    <t>09:00 - 18:21</t>
  </si>
  <si>
    <t>09:00 - 18:22</t>
  </si>
  <si>
    <t>09:00 - 18:23</t>
  </si>
  <si>
    <t>09:00 - 18:24</t>
  </si>
  <si>
    <t>09:00 - 18:25</t>
  </si>
  <si>
    <t>09:00 - 18:26</t>
  </si>
  <si>
    <t>09:00 - 18:27</t>
  </si>
  <si>
    <t>09:00 - 18:28</t>
  </si>
  <si>
    <t>09:00 - 18:29</t>
  </si>
  <si>
    <t>09:00 - 18:30</t>
  </si>
  <si>
    <t>09:00 - 18:31</t>
  </si>
  <si>
    <t>09:00 - 18:32</t>
  </si>
  <si>
    <t>09:00 - 18:33</t>
  </si>
  <si>
    <t>09:00 - 18:34</t>
  </si>
  <si>
    <t>09:00 - 18:35</t>
  </si>
  <si>
    <t>09:00 - 18:36</t>
  </si>
  <si>
    <t>09:00 - 18:37</t>
  </si>
  <si>
    <t>09:00 - 18:38</t>
  </si>
  <si>
    <t>09:00 - 18:39</t>
  </si>
  <si>
    <t>09:00 - 18:40</t>
  </si>
  <si>
    <t>09:00 - 18:41</t>
  </si>
  <si>
    <t>09:00 - 18:42</t>
  </si>
  <si>
    <t>09:00 - 18:43</t>
  </si>
  <si>
    <t>09:00 - 18:44</t>
  </si>
  <si>
    <t>09:00 - 18:45</t>
  </si>
  <si>
    <t>09:00 - 18:46</t>
  </si>
  <si>
    <t>09:00 - 18:47</t>
  </si>
  <si>
    <t>09:00 - 18:48</t>
  </si>
  <si>
    <t>09:00 - 18:49</t>
  </si>
  <si>
    <t>NOC IPS</t>
  </si>
  <si>
    <t>Revision de respados VeeamBackup</t>
  </si>
  <si>
    <t>Revision del resultado del JOB y tomar acciones si corresponde</t>
  </si>
  <si>
    <t>Revision de alertas VZOR</t>
  </si>
  <si>
    <t>Checheo diario de alertas en herramienta VZOR</t>
  </si>
  <si>
    <t>Revision de Plugins VZOR</t>
  </si>
  <si>
    <t>Ajuste de umbrales y monitoreos / escalamientos con VZOR</t>
  </si>
  <si>
    <t>Revision de servidores</t>
  </si>
  <si>
    <t>Configuracion y ajustes de monitoreo</t>
  </si>
  <si>
    <t>Creacion presentacion NOC IPS</t>
  </si>
  <si>
    <t>Preparacion de documento</t>
  </si>
  <si>
    <t>Reunion de presentacion del documento NOC a IPS</t>
  </si>
  <si>
    <t>Presentacion en Edificio Huerfanos</t>
  </si>
  <si>
    <t>Cambio de Hora</t>
  </si>
  <si>
    <t>Inicio 23:30 Revision de servidores / Validacion de cambio de hora</t>
  </si>
  <si>
    <t>Fin 04:30 Revision de servidores / Validacion de cambio de hora / Generacion de Informe</t>
  </si>
  <si>
    <t>Creacion documento toma de Control</t>
  </si>
  <si>
    <t>Generacion de docuemnto toma de control / estado del arte / continuidad operativa / reporte gobernanza</t>
  </si>
  <si>
    <t>Generacion de docuemnto toma de control / estado del arte / continuidad operativa / reporte gobernanza / Entrega</t>
  </si>
  <si>
    <t>NOS IPS</t>
  </si>
  <si>
    <t>Reunion Paulo Lillo</t>
  </si>
  <si>
    <t>Solicitud de Diagramas y baja de servidores alertados / acceso a NAGIOS</t>
  </si>
  <si>
    <t>Perdida conectividad servidor PISEE</t>
  </si>
  <si>
    <t>Les comento que no obtengo monitoreo de server gateway IP 10.150.220.74</t>
  </si>
  <si>
    <t>Perdida conectividad servidor SGD-Produccion</t>
  </si>
  <si>
    <t>Les comento que no obtengo monitoreo de server gateway IP 10.150.180.15</t>
  </si>
  <si>
    <t>Envio de Informe 7 am</t>
  </si>
  <si>
    <t>Incidente en server 10.151.2.2</t>
  </si>
  <si>
    <t>perdida de monitoreo de server 10.151.2.2 - CLA0806002</t>
  </si>
  <si>
    <t>Caída en puerto 7001 Nodo</t>
  </si>
  <si>
    <t>Alerta BD EXADATA ORACLE 12C 2</t>
  </si>
  <si>
    <t>BD EXADATA ORACLE 12C 2 10.154.154.21</t>
  </si>
  <si>
    <t>Alerta servidor BD 10.154.154.121</t>
  </si>
  <si>
    <t>Perdida de monitoreo servidor</t>
  </si>
  <si>
    <t>Sin conexion a la BD BD prd-db.aportefamiliar.cl Usuario/Password</t>
  </si>
  <si>
    <t>Problemas con el usuario/password invalidos  BD prd-db.aportefamiliar.cl.</t>
  </si>
  <si>
    <t>Problemas FileServer-Prod.ips.gob.cl ip 10.150.150.177</t>
  </si>
  <si>
    <t>No se cargan los Archivos de SAP</t>
  </si>
  <si>
    <t>Problemas con el servidor SFTP 10.150.150.244 - 10.150.227.167 - 10.150.150.177</t>
  </si>
  <si>
    <t>Umbral superado servidor 10.150.228.14</t>
  </si>
  <si>
    <t>Tabla Space superado  espacio tb_adm_pgu_data</t>
  </si>
  <si>
    <t>Problemas con los puertos</t>
  </si>
  <si>
    <t>puertos 6101-6001-9001-7001-5001- 8001 (PP Admin server)</t>
  </si>
  <si>
    <t>Usuario bloqueado 10.150.228.111-113-114-115-116</t>
  </si>
  <si>
    <t>Usuario de VZOR Bloqueado APP_VZOR</t>
  </si>
  <si>
    <t>Envio de estado de Serivicios AM Abenis</t>
  </si>
  <si>
    <t>Se envia el estado del servidio IPS a las 07:30 AM</t>
  </si>
  <si>
    <t>Sonda AWS</t>
  </si>
  <si>
    <t>Probelams con los puertos (Sonda muy pequeña)</t>
  </si>
  <si>
    <t>Umbral superado servidor 10.150.180.113</t>
  </si>
  <si>
    <r>
      <rPr>
        <sz val="11"/>
        <color rgb="FF242424"/>
        <rFont val="Aptos"/>
        <family val="2"/>
      </rPr>
      <t>filesystem del servidor </t>
    </r>
    <r>
      <rPr>
        <sz val="12"/>
        <color rgb="FF000000"/>
        <rFont val="Aptos"/>
        <family val="2"/>
      </rPr>
      <t>10.150.180.113 liberar espacio en MySQL</t>
    </r>
  </si>
  <si>
    <t>server exp01dbadm01 - SYSP1/SYSP.</t>
  </si>
  <si>
    <t>tbs TBS_ADM_PFP_PROD_DAT usage is 90.01%</t>
  </si>
  <si>
    <t>Lista WebServices Criticos Alertado</t>
  </si>
  <si>
    <t>No se ve el sitio http://10.150.180.63/appweb/ConsIF/consuCAP.php </t>
  </si>
  <si>
    <t>Incidente en PBSAPS - 10.151.1.6</t>
  </si>
  <si>
    <t xml:space="preserve">En BD PBSAPS  - 10.151.1.6 problemas con el Backup RMAN </t>
  </si>
  <si>
    <t>Incidente PRD-AFPER-OSB - 10.200.13.250</t>
  </si>
  <si>
    <t>Problema Puerto 7001 en server PRD-AFPER-OSB - 10.200.13.250</t>
  </si>
  <si>
    <t>Revision de Monitoreos Desconocidos y Criticos</t>
  </si>
  <si>
    <t>Respaldo en pbsapsstby - pbsaps/PBSAPS - 10.151.1.6</t>
  </si>
  <si>
    <t>BBDD pbsapsstby - pbsaps/PBSAPS - 10.151.1.6, puesto que presenta problemas en el monitoreo por rman.</t>
  </si>
  <si>
    <t>Server PRD-AFPER-OSB - 10.200.13.250</t>
  </si>
  <si>
    <t>Server PRD-AFPER-OSB - 10.200.13.250 Alertado puerto 7001</t>
  </si>
  <si>
    <t>servidor de QA.ips.gob.cl - IP 10.150.180.110</t>
  </si>
  <si>
    <t>Alerta servidor de QA.ips.gob.cl - IP 10.150.180.110 Apagado</t>
  </si>
  <si>
    <t>AWS - OSBProd01 - 10.150.216.204</t>
  </si>
  <si>
    <t>WARNING en Server AWS - OSBProd01 - 10.150.216.204, por espacio en Disco</t>
  </si>
  <si>
    <t>Server AZS4APPPRD03 - 10.88.0.60</t>
  </si>
  <si>
    <t>WARNING en Server AZS4APPPRD03 - 10.88.0.60, por espacio en Disco</t>
  </si>
  <si>
    <t>bdportalpago - 10.150.228.200</t>
  </si>
  <si>
    <t>WARNING en Server bdportalpago - 10.150.228.200, por espacio en Disco, superando el 90%</t>
  </si>
  <si>
    <t>rrhhprodbd - PROD/PROD - IP 10.150.150.128</t>
  </si>
  <si>
    <t>alertado el server rrhhprodbd - PROD/PROD - IP 10.150.150.128 Destination Host Unreachable</t>
  </si>
  <si>
    <t>concesiostby - Servidor 4 - IP 10.151.1.4</t>
  </si>
  <si>
    <t>alerta en el server de BD concesiostby - Servidor 4 - IP 10.151.1.4 con conexión TCP al listener de Oracle en 10.151.1.4:1521</t>
  </si>
  <si>
    <t>server IP 10.151.1.3,10.151.1.8</t>
  </si>
  <si>
    <t>Se informa alerta en el server de BD:
concesiostby - Servidor 3 - IP 10.151.1.3
concesiostby - Servidor 8 - IP 10.151.1.8
concesiostby - concesio/CONCESIO - IP 10.151.1.8
no se puede realizar la conexión TCP al listener de Oracle puerto 1521</t>
  </si>
  <si>
    <t>Servidor Legadosyn Legados - IP 10.33.1.68</t>
  </si>
  <si>
    <t>alerta en el server de Servidor Legadosyn Legados - IP 10.33.1.68, problemas con el puerto 1526</t>
  </si>
  <si>
    <t>server  rrhhprodbd - PROD/PROD - IP 10.150.150.128</t>
  </si>
  <si>
    <t>rrhhprodbd - PROD/PROD - IP 10.150.150.128 - Uso actual de CPU: 100.0% - 2 Volúmenes con problemas (/respaldo-bd-rrhh-nas y /hrms ) han dado estado Crítico</t>
  </si>
  <si>
    <t>server AZSRVSQLent-No2 - IP 10.88.1.133</t>
  </si>
  <si>
    <t>monitoreo alerto en el server AZSRVSQLent-No2 - IP 10.88.1.133 Volúmenes con problemas de un  total 2.00TB, usada 1.93TB, uso 96.40%</t>
  </si>
  <si>
    <t>bdportalpago - GENESYSP/GENESYSP IP 10.150.228.200</t>
  </si>
  <si>
    <t>alerta en server bdportalpago - GENESYSP/GENESYSP IP 10.150.228.200 no se puede conectar por el puerto 1521</t>
  </si>
  <si>
    <t>base de datos CATACC - CONCESIO - PBSAPS</t>
  </si>
  <si>
    <t>problemas con la ejecución de los respaldos realizados al servicio de base de datos CATACC, CONCESIO y PBSAPS</t>
  </si>
  <si>
    <t>Revision de veeam BKP</t>
  </si>
  <si>
    <t xml:space="preserve">Configuracion y ajustes de respaldos </t>
  </si>
  <si>
    <t>caída en puerto 7001 Nodo, en Servidor  PRD-AFPER-OSB - 10.200.13.250 </t>
  </si>
  <si>
    <t>Alerta Switch piso 3</t>
  </si>
  <si>
    <t>alarmado los switch SW4_IPS_Huerfanos_P3  apagado</t>
  </si>
  <si>
    <t>Alerta Server ﻿dbesitpp01 - PRYSIT - IP 10.150.234.95</t>
  </si>
  <si>
    <t>cannot connect to 10.150.234.95:1521/PRYSIT. timeout alarm.</t>
  </si>
  <si>
    <t>robot de pruebas que esta realizando 4 consultas por minuto</t>
  </si>
  <si>
    <t xml:space="preserve"> webservice https://prod.ips.apim.junar.com/sibs/v1/beneficiarios/53263771/hijos.json/?run=53263771 cada 5 minutos,se aumento la prueba a 10 min.</t>
  </si>
  <si>
    <t>Alerta server exc01dbadm01 - COREC1/COREC y exc02dbadm01 - COREC2/COREC - Cuenta APP_VZOR</t>
  </si>
  <si>
    <t xml:space="preserve"> servidor exc01dbadm01 - COREC1/COREC y exc02dbadm01 - COREC2/COREC la cuenta APP_VZOR se encuentra bloqueada</t>
  </si>
  <si>
    <t>Alerta en server finanzas-2 -IP 10.88.1.144</t>
  </si>
  <si>
    <t>server finanzas-2 -IP 10.88.1.144, falta de espacio y hora difiere de la hora local en más de 120 segundos</t>
  </si>
  <si>
    <t>las alertas RMAN Backup</t>
  </si>
  <si>
    <t>revisar las alertas críticas y desconocidas de RMAN</t>
  </si>
  <si>
    <t>Alerta server concesiostby - concesio/CONCESIO - IP 10.151.1.8</t>
  </si>
  <si>
    <t>Se detectó la siguiente alerta crítica:tbs: TRABAJO,Uso: 95.01%</t>
  </si>
  <si>
    <t>Flujo simple avbmenu</t>
  </si>
  <si>
    <t>Se realiza un diagrama del flujo AVBMenu para Vzor ejecute monitoreo</t>
  </si>
  <si>
    <t>SW_CORE_IPS_Huerfanos_10000436641 - IP 10.235.219.1</t>
  </si>
  <si>
    <t>Network interface XGigabitEthernet0/0/2 (**** DE HUERFANO HACIA ALAMEDA ****) status Down</t>
  </si>
  <si>
    <t>Incidente en Servidor AWS - Wlsprod03 - 10.200.2.25</t>
  </si>
  <si>
    <t>Server AWS - Wlsprod03  - 10.200.2.253, por Disco que supera el umbral</t>
  </si>
  <si>
    <t>WARNING en Disco F en servidor AZSRVSQLent-No2 - 10.88.1.133</t>
  </si>
  <si>
    <t>espacio en disco F en server 10.88.1.133 - AZSRVSQLent-No2</t>
  </si>
  <si>
    <t>Alerta servidor BD dbesitpp01 - PRYSIT- ﻿dbesitpp01 - PPSIT IP 10.150.234.95</t>
  </si>
  <si>
    <t>cannot connect to 10.150.234.95:1521/PPSIT. timeout alarm</t>
  </si>
  <si>
    <t>WARNING servidor BD bdportalpago - GENESYSP/GENESYSP - IP 10.150.228.200</t>
  </si>
  <si>
    <t>servidor BD BD bdportalpago - GENESYSP/GENESYSP - IP 10.150.228.200, cannot connect to 10.150.228.200:1521/GENESYSPconexion</t>
  </si>
  <si>
    <t xml:space="preserve"> NOC IPS                     </t>
  </si>
  <si>
    <t>/var/lib/mysql' Usage Server finanzas-2</t>
  </si>
  <si>
    <t>alertado el server finanzas 2 por exceder el umbral al 97% de espacio en Storage '/var/lib/mysql</t>
  </si>
  <si>
    <t>webservise AF - CUPOS DE SOLICITUD</t>
  </si>
  <si>
    <t>webservice de asignación familiar  AF - CUPOS DE SOLICITUD</t>
  </si>
  <si>
    <t>Área de recuperación - GENESYSP/GENESYSP - IP 10.150.228.20</t>
  </si>
  <si>
    <r>
      <t>GENESYSP/GENESYSP  </t>
    </r>
    <r>
      <rPr>
        <sz val="12"/>
        <color rgb="FF000000"/>
        <rFont val="Aptos"/>
        <family val="2"/>
      </rPr>
      <t>CRITICAL - recovery area (% usado): 97</t>
    </r>
  </si>
  <si>
    <t>SW-CISCO_IPS_Huerfanos_P6_OF_623_CISCO</t>
  </si>
  <si>
    <t>PING Critical</t>
  </si>
  <si>
    <t>Alerta server ﻿dbesitpp01 - PRYSIT - IP 10.150.234.95</t>
  </si>
  <si>
    <t>server dbesitpp01 - PRYSI password expirada. usuario: MVZOR</t>
  </si>
  <si>
    <t>Usuario sin acceso en server servidorBDconcesion - BDD - IP 10.150.180.85</t>
  </si>
  <si>
    <t>corregir el acceso denegado del usuario APP_VZOR en  server servidorBDconcesion - BDD - IP 10.150.180.85</t>
  </si>
  <si>
    <t>Alerta caída de webservice</t>
  </si>
  <si>
    <t>caída masiva de los webservices</t>
  </si>
  <si>
    <t>Alerta con la conexión en el server Prod_ODI02 - IP 10.150.150.109</t>
  </si>
  <si>
    <t>alerta con la desconexión desde Vzor  del  server Prod_ODI02 - IP 10.150.150.109</t>
  </si>
  <si>
    <t>Alerta server  bdfmwaws - FMW/FMW - IP 10.150.216.23</t>
  </si>
  <si>
    <t>alerta con la desconexion en el server bdfmwaws - FMW/FMW - IP 10.150.216.23</t>
  </si>
  <si>
    <t>Alerta con los server de BD ﻿dbesitpp01 - PRYSIT - IP 10.150.234.95 y ﻿dbesitpp01 - PPSIT - IP 10.150.234.95</t>
  </si>
  <si>
    <t>Alerta después de la restauración masiva en VZOR con los siguientes server:
BD ﻿dbesitpp01 - PRYSIT - IP 10.150.234.95
dbesitpp01 - PPSIT - IP 10.150.234.95
CRITICAL - cannot connect to (DESCRIPTION=(ADDRESS=(PROTOCOL=TCP)(HOST=10.150.234.95)(PORT=1521))(CONNECT_DATA=(SID=PRYSIT))). timeout alarm</t>
  </si>
  <si>
    <t xml:space="preserve"> Envio de estado de Serivicios AM Abenis</t>
  </si>
  <si>
    <t xml:space="preserve"> Se envia el estado del servidio IPS a las 07:30 AM</t>
  </si>
  <si>
    <t>Alerta en Sistema de Personas RRHH</t>
  </si>
  <si>
    <t>alerta registrada en el Sistema de Personas RRHH.</t>
  </si>
  <si>
    <t>Alerta en SERVER BD exc02dbadm01 - COREC2/COREC - IP 10.150.227.19</t>
  </si>
  <si>
    <t>Alerta - No se encontraron backups de archivelog en las últimas 4 horas. En el server BD exc02dbadm01 - COREC2/COREC - IP 10.150.227.19 </t>
  </si>
  <si>
    <t>Alerta Modulo PBS</t>
  </si>
  <si>
    <t>alerta en el modulo de reforma reflejada en PBS </t>
  </si>
  <si>
    <t>Perdida de conexión de BD Oracle</t>
  </si>
  <si>
    <t>perdida de conexión de las BD's Oracle exp01dbadm02 - COREP2/COREP</t>
  </si>
  <si>
    <t>Apagado Nodos AFPER</t>
  </si>
  <si>
    <t>informamos que durante el día de hoy los nodos 5 y 6 fueron dejados en estado de trabajo programado en el sistema de monitoreo.</t>
  </si>
  <si>
    <t>El nodo 4 de Afper se pasara a trabajo programado hasta el día martes hasta las 23:59 al igual como el nodo 5 y 6</t>
  </si>
  <si>
    <t>Memoria del server  SAP AZS4HANAPRD01 IP 10.88.1.135</t>
  </si>
  <si>
    <t>Revisar consumo de memoria del servidor SAP AZS4HANAPRD01 IP 10.88.1.135.se envia email a infra</t>
  </si>
  <si>
    <t>Reunion con equipo de Abenis</t>
  </si>
  <si>
    <t>Se aclara que la minuta de actividades deben ser diarias y sus mejoras</t>
  </si>
  <si>
    <t>Reunion con equipo de IPS y VZOR presencial</t>
  </si>
  <si>
    <t>Se trabaja en las mejoras del Dashboard del AFPER, se tocan los ptos de la reunion anterior.</t>
  </si>
  <si>
    <t>Volúmenes con problemas server SYN11-LINUX (CORE AGIL BATCH) - IP 10.157.157.1</t>
  </si>
  <si>
    <t>Detalle: 1 de 3 volúmenes presenta problemas en la ruta /files
Capacidad total: 1.44 TB
Espacio utilizado: 1.38 TB
Uso actual: 96.01%, se envia correo a Mafips, la cual crea un Ticket numero 17442,solucionada la alerta.</t>
  </si>
  <si>
    <t>Alerta con el proceso Lote del server CA03FTP1 - IP 10.157.157.14</t>
  </si>
  <si>
    <t>proceso Lote no encontrado. server CA03FTP1 - IP 10.157.157.14, se envia correo a Mafips, la cual crea un Ticket numero 17433, solucionada la alerta.</t>
  </si>
  <si>
    <t>Alerta server BD AZSRVSQLent-No2 - BDD - IP 10.88.1.133</t>
  </si>
  <si>
    <t>se detallan los casos más relevantes para verificar si los umbrales están correctos:
Bases de datos en estado crítico:
ADM_SAT: 99.37% de uso (11.28 GB libres de 1.76 TB) 
Pentana: 99.89% de uso (126 MB libres)
Repcont: 99.99% de uso (19 MB libres)
dbArchivoDescuento: 99.94% de uso (960 KB libres)
dbSDM: 99.97% de uso (12.5 MB libres)
Bases de datos en estado de alto riesgo:
dbBeneficio_back: 97.47% de uso
dbSHD: 99.09% de uso
msdb: 98.31% de uso
Bases de datos en estado de advertencia:
dbConciliacion: 95.42% de uso
master: 95.31% de uso
dbAporte: 92.52% de uso.
Se envia correo a Mafips, la cual crea un Ticket numero 17449</t>
  </si>
  <si>
    <t>Perdida de monitoreo Server IP 10.150.220.151</t>
  </si>
  <si>
    <t xml:space="preserve">Servidores en crítico y sin conectividad </t>
  </si>
  <si>
    <t xml:space="preserve">Desconexión de Servidores  </t>
  </si>
  <si>
    <t>Desconexión de Servidores  VMC</t>
  </si>
  <si>
    <t>Cada en conexión con VMC</t>
  </si>
  <si>
    <t xml:space="preserve">Perdida de Monitoreo Servidores dds01 </t>
  </si>
  <si>
    <t>Respaldo Servidores en NAS</t>
  </si>
  <si>
    <t>Cada en BBDD CONCESIO2 - IP Server 10.151.1.4</t>
  </si>
  <si>
    <t>Incidente en server 10.157.157.14</t>
  </si>
  <si>
    <t>Incidente en Servidor 10.150.180.96</t>
  </si>
  <si>
    <t>server 10.150.150.103 - OnPremise - Prod_OSB01</t>
  </si>
  <si>
    <t>Incidente en servidor 10.150.150.89</t>
  </si>
  <si>
    <t>Baja de Sonda 10.150.150.54</t>
  </si>
  <si>
    <t>Eliminacion de Veeam para VMC</t>
  </si>
  <si>
    <t>Incidente en Servidor AWS - Wlsprod03  - 10.200.2.253</t>
  </si>
  <si>
    <t>servidor admprodpp01</t>
  </si>
  <si>
    <t>problemas en Asimu - OSB</t>
  </si>
  <si>
    <t>Incidente en puertos PRD-AFPER-OSB - 10.200.13.250</t>
  </si>
  <si>
    <t>Incidente en PBSAPS  - 10.151.1.6</t>
  </si>
  <si>
    <t>Incidente en Base de Contingencia COREC1/COREC - 10.154.154.120</t>
  </si>
  <si>
    <t>Monitoreo en exc02dbadm01 - RECOVE2/RECOVE</t>
  </si>
  <si>
    <t xml:space="preserve">SRIDP- Problema borrado archivos ODI 20250721 </t>
  </si>
  <si>
    <t>Volumenes con problemas en Servidor bdportalpago</t>
  </si>
  <si>
    <t>Incidencia en Servidor Repositorio - 10.150.180.176</t>
  </si>
  <si>
    <t>Alerta Critica Servidor2_jboss_web - 10.150.220.81</t>
  </si>
  <si>
    <t xml:space="preserve">Alerta Critica SRV-SIBS	10.150.220.82	</t>
  </si>
  <si>
    <t>Planilla actualizada con los monitoreos UX</t>
  </si>
  <si>
    <t>Alarmas Criticas BD Connected Users</t>
  </si>
  <si>
    <t>Alarmas por BD Enqueue Contention</t>
  </si>
  <si>
    <t xml:space="preserve">Alerta Critica en server 10.88.1.133 - AZSRVSQLent-No2 </t>
  </si>
  <si>
    <t>Alerta Critica en server 10.150.150.173 - srvinp</t>
  </si>
  <si>
    <t>Alerta Critica en server 10.150.228.107 - SRV-SQL2K8</t>
  </si>
  <si>
    <t>Alerta Critica en Sonda 1 - 10.150.150.20</t>
  </si>
  <si>
    <t>Alerta de disco en SRV-SIBS 10.150.220.82</t>
  </si>
  <si>
    <t>Caida en Calculo PFP</t>
  </si>
  <si>
    <t>Alerta Critica en server rrhhprodappPROD - 10.150.150.127</t>
  </si>
  <si>
    <t xml:space="preserve">Rman - Desconocidos y Críticos </t>
  </si>
  <si>
    <t xml:space="preserve">Trabajo en Cambio de Hora </t>
  </si>
  <si>
    <t xml:space="preserve">Alerta Critica en servidor 10.150.150.128 - rrhhprodbd - PROD/PROD </t>
  </si>
  <si>
    <t>Alerta de Hora en servidor ServerFileSystem - 10.150.180.19</t>
  </si>
  <si>
    <t>Alarma Critica en servidor Costas-Nateada - 10.88.6.8</t>
  </si>
  <si>
    <t>alerta critica en prod01-scan.ips.gob.cl - exp01dbadm02 - COREP2/COREP correspondiente a BD Tablespace Usage con mensaje tbs TBS_ADM_PGU_DATA usage is 97.12%</t>
  </si>
  <si>
    <t>Alerta Critica en Disco P en servidor SRV-SQL2K8 - 10.150.228.107</t>
  </si>
  <si>
    <t>Alerta Critica en Disco F en servidor AZSRVSQLent-No2 - 10.88.1.133</t>
  </si>
  <si>
    <t>Alerta critica en Webservice Codigo 502 - Url monitoreada https://prod.ips.apim.junar.com/</t>
  </si>
  <si>
    <t xml:space="preserve">Alerta critica en Disco para servidor 10.150.150.20 - SONDA IPS 01 </t>
  </si>
  <si>
    <t xml:space="preserve">alarma critica en BBDD exc02dbadm01 - COREC2/COREC - 10.150.227.19 en BD </t>
  </si>
  <si>
    <t>Alerta Critica en Disco /STORAGEGC en servidor Conpago-Pensionado - 10.150.220.202</t>
  </si>
  <si>
    <t>Alerta con el P PP OHS 10.150.232.20</t>
  </si>
  <si>
    <t>Alerta con AWS - OHS Prod01 - 10.150.216.196</t>
  </si>
  <si>
    <t>Alerta con P PP BPM - 10.150.232.74</t>
  </si>
  <si>
    <t>Alerta Critica P PP WLS Consumer - 10.150.232.55</t>
  </si>
  <si>
    <t xml:space="preserve">Alerta critica en Webservice - Rnt - cha ws directo pago retroactivo af </t>
  </si>
  <si>
    <t>Alerta critica BBDD exp01dbadm02 - SYSP2/SYSP - 10.154.154.21</t>
  </si>
  <si>
    <t>Alerta critica BBDD exp01dbadm01 - SYSP1/SYSP - 10.154.154.20</t>
  </si>
  <si>
    <t>Alerta Critica  en Pagina  Calculo PFP - http://sistemacalculopfp.ips.gob.cl:9001/PFP/login.xhtml;JSESSIONID=27034786-55cf-4859-9b33-94c49d2968c6</t>
  </si>
  <si>
    <t>Alerta Critica con Coreagil - http://produccion.heracles.ips.gob.cl/heraclesAgil/login.jsp</t>
  </si>
  <si>
    <t>Alerta Critica en concesiostby - concesio/CONCESIO - BD Tablespace Usage</t>
  </si>
  <si>
    <t xml:space="preserve">Alerta Critica  15 de diciembre en Pagina  Calculo PFP </t>
  </si>
  <si>
    <t xml:space="preserve">Alerta en OnPremise - Prod_OSB02 - 10.150.150.104 </t>
  </si>
  <si>
    <t xml:space="preserve">Alerta Critica  18 de diciembre en Pagina  Calculo PFP </t>
  </si>
  <si>
    <t>alerta en servidor PRD-AFPER-OSB port 7001</t>
  </si>
  <si>
    <t>Alerta critica en servidor AZSRVSQLent-No2</t>
  </si>
  <si>
    <t xml:space="preserve">Alerta critica en exc01dbadm01 - RECOVE1/RECOVE </t>
  </si>
  <si>
    <t>Alerta Critica en bdportalpago - GENESYSP/GENESYSP  - 10.150.228.200</t>
  </si>
  <si>
    <t>Vacaciones</t>
  </si>
  <si>
    <t xml:space="preserve">Caída en Check Load  Server 10.150.232.74 - P PP BPM </t>
  </si>
  <si>
    <t xml:space="preserve">monitoreo de Check Load para el server P PP BPM </t>
  </si>
  <si>
    <t>Caida masiva en WebServices</t>
  </si>
  <si>
    <t>relacionados con el Servicio RNT, JUNAR y SIBS, según nuestra infra monitoreada no presentamos eventos de caída</t>
  </si>
  <si>
    <t xml:space="preserve"> Cristián Vásquez </t>
  </si>
  <si>
    <t xml:space="preserve"> Revision de alertas VZOR          </t>
  </si>
  <si>
    <t xml:space="preserve"> Chequeo diario de alertas en herramienta VZOR                                 </t>
  </si>
  <si>
    <t xml:space="preserve"> Revision de Plugins VZOR          </t>
  </si>
  <si>
    <t xml:space="preserve"> Ajuste de umbrales y monitoreos / escalamientos con VZOR                      </t>
  </si>
  <si>
    <t xml:space="preserve"> Revision de servidores            </t>
  </si>
  <si>
    <t xml:space="preserve"> Configuración y ajustes de monitoreo                                          </t>
  </si>
  <si>
    <t xml:space="preserve"> Revision de respaldos VeeamBackup </t>
  </si>
  <si>
    <t xml:space="preserve"> Revisión del resultado del JOB y tomar acciones si corresponde                </t>
  </si>
  <si>
    <t xml:space="preserve"> Envio de informe estado servicios </t>
  </si>
  <si>
    <t xml:space="preserve"> Se envió el estado del servicio IPS a las 07:30 AM                            </t>
  </si>
  <si>
    <t>Revisión estado servidores y alertas post trabajos programados CoreAgil</t>
  </si>
  <si>
    <t>Domingo a las 23:00 se realiza revisión completa de todos los servidores y aplicaciones CoreAgil post trabajos programados</t>
  </si>
  <si>
    <t>Solicitud desbloqueo cuenta APP_VZOR</t>
  </si>
  <si>
    <t>Se desbloquea cuenta APP_VZOR y se recupera monitoreo de servidores ORACLE que durante trabajos programados quedaron alertados</t>
  </si>
  <si>
    <t>Solicitud de revisión UX para planes RTA alertados</t>
  </si>
  <si>
    <t>VZOR modifica planes según alertas observadas y se recupera monitoreo de aplicaciones RTA</t>
  </si>
  <si>
    <t>Creación Plugin monitoreo RMAN ORACLE</t>
  </si>
  <si>
    <t>Se crea nuevo plugin para monitoreo RMAN en VZOR el cual revisa estado de último estado de cualquier tipo de respaldo y genera alerta en caso de que no se vean respaldos en las últimas 24 horas en servidores críticos</t>
  </si>
  <si>
    <t>Se solicita acceso a BD para cuenta de monitoreo</t>
  </si>
  <si>
    <t>Con acceso obtenido se reparan monitoreos de servidor Finanzas-2</t>
  </si>
  <si>
    <t>Se solicita revisión de WebService caído</t>
  </si>
  <si>
    <t>ALERTA - WebService Calculo PFP</t>
  </si>
  <si>
    <t>Se solicita revisión servidor PRD-AFPER-OSB  caída TCP 7001</t>
  </si>
  <si>
    <t>Se pierde conectividad con puerto de administración, Infra asiste en recuperación de alerta</t>
  </si>
  <si>
    <t>Se solicita revisión por caída de servidores Legados</t>
  </si>
  <si>
    <t>Infra asiste en recuperación de comunicación con servidores Legados</t>
  </si>
  <si>
    <t xml:space="preserve">Se detecta perdida de acceso a Storage lo que hace que respaldo AD falle, se repara acceso y se vuelve a ejecutar respaldo recuperando incidencia </t>
  </si>
  <si>
    <t>Se escala alerta en WebServices SIBS y PGU</t>
  </si>
  <si>
    <t>Proceso Java caído causa alertas, este se recupera y servicio opera correctamente</t>
  </si>
  <si>
    <t>Se escala alerta en Weblogic Portal de Pago</t>
  </si>
  <si>
    <t>Proceso Java caído causa alertas</t>
  </si>
  <si>
    <t>Se escala alerta en servicio SVN</t>
  </si>
  <si>
    <t>Servicio alertado con ERROR: HTTP 403 Forbidden</t>
  </si>
  <si>
    <t>Se configura trabajo programado para fin de semana</t>
  </si>
  <si>
    <t xml:space="preserve">Trabajo programado PBSAPS y CONCESIO                     </t>
  </si>
  <si>
    <t>Generación de informes periodo Septiembre Octubre</t>
  </si>
  <si>
    <t>Se generan informes periodo septiembre, octubre según solicitud.</t>
  </si>
  <si>
    <t xml:space="preserve"> Asistencia remota a reunión seguimiento semanal VZOR</t>
  </si>
  <si>
    <t xml:space="preserve"> Revisión minuta VZOR</t>
  </si>
  <si>
    <t xml:space="preserve"> Se escala alerta APP Garantia Estatal</t>
  </si>
  <si>
    <t>Servicio alertado debido a cambio en paso de navegación</t>
  </si>
  <si>
    <t xml:space="preserve"> Asistencia a reunión precencial IPS</t>
  </si>
  <si>
    <t xml:space="preserve"> Reunión de avances con sistema VZOR en IPS</t>
  </si>
  <si>
    <t xml:space="preserve"> Se repara plan de navegación que generaba falso positivo por cambios en el sitio</t>
  </si>
  <si>
    <t xml:space="preserve"> Se escala alerta BD Tablespace Usage </t>
  </si>
  <si>
    <t xml:space="preserve"> concepbsapqa – CONCESIO |  BD Tablespace Usage | CRITICAL - tbs TBS_SPS usage is 92.84%</t>
  </si>
  <si>
    <t xml:space="preserve"> Se escala alerta BD Tablespace Usage Servidor GENESYSD/GENESYSD</t>
  </si>
  <si>
    <t>CRITICAL - tbs TBS_ADM_AF_DAT usage is 90.02%</t>
  </si>
  <si>
    <t xml:space="preserve"> Se escala alerta por perdida de conectividad hacía servidor CIBERSEGURIDAD</t>
  </si>
  <si>
    <t>CIBERSEGURIDAD IP 10.150.180.226</t>
  </si>
  <si>
    <t xml:space="preserve"> Se escala alerta en servidores exc01dbadm01 - COREC1/COREC y exc02dbadm01 - COREC2/COREC</t>
  </si>
  <si>
    <t>Alertas de I/O y bloqueos generan falsos positivos en no poder obtener data de utilización en TableSpaces</t>
  </si>
  <si>
    <t xml:space="preserve"> Se escala alerta por utilización SWAP servidor qliksense</t>
  </si>
  <si>
    <t>Se solicita asistencia para ver si es comportamiento normal para modificar umbral en servidor</t>
  </si>
  <si>
    <t xml:space="preserve"> Se escala alerta wlsprod04.ips.gob.cl puertos TCP</t>
  </si>
  <si>
    <t>Se solicita asistencia revisión TCP 8001 y 8004 hacía el servidor wlsprod04.ips.gob.cl</t>
  </si>
  <si>
    <t xml:space="preserve"> Se escala alerta disco servidor srv-sibs IP: 10.150.220.82</t>
  </si>
  <si>
    <t>Se solicita asistencia revisión alerta disco servidor srv-sibs IP: 10.150.220.82</t>
  </si>
  <si>
    <t xml:space="preserve"> Se escala utilización de CPU en servidores rrhhprodbd - Servidor y Prod_FirmaE</t>
  </si>
  <si>
    <t>Se solicita asistencia revisión alerta utilización de CPU en servidores rrhhprodbd - Servidor y Prod_FirmaE</t>
  </si>
  <si>
    <t>Envió informes de monitoreo mensuales</t>
  </si>
  <si>
    <t>Informes VZOR</t>
  </si>
  <si>
    <t>Trabajos de recuperación de falso positivos en WebServices conjunto a VZOR</t>
  </si>
  <si>
    <t xml:space="preserve"> Alerta de monitoreo en servidor rrhhprodbd - PROD/PROD</t>
  </si>
  <si>
    <t xml:space="preserve"> Se solicita asistencia revisión alerta de monitoreo en servidor rrhhprodbd - PROD/PROD TNSListener down</t>
  </si>
  <si>
    <t xml:space="preserve"> Asistencia precencial a reunión seguimiento semanal VZOR</t>
  </si>
  <si>
    <t xml:space="preserve"> Alerta perdida de conexión hacía BD rrhhprodbd - Servidor IP: 10.150.150.128</t>
  </si>
  <si>
    <t xml:space="preserve"> Se solicita asistencia revisión alerta de perdida de conexión hacía BD rrhhprodbd - Servidor IP: 10.150.150.128</t>
  </si>
  <si>
    <t xml:space="preserve"> Alerta Servidor P PP OHS" IP: 10.150.232.20 - Java Down</t>
  </si>
  <si>
    <t xml:space="preserve"> Se solicita asistencia revisión alerta Servidor P PP OHS Java down que afecta a caída de otros WebServices dependientes de proceso</t>
  </si>
  <si>
    <t xml:space="preserve"> Generación informe caída servicio OHS viernes 21</t>
  </si>
  <si>
    <t xml:space="preserve"> Se genera informe con asistencia de INFRA y middleware                                 </t>
  </si>
  <si>
    <t xml:space="preserve"> Alerta en TableSpace servidor exc02dbadm01 - REBSALPR2/REBSALPR</t>
  </si>
  <si>
    <t xml:space="preserve"> Se solicita asistencia revisión alerta en TableSpace servidor exc02dbadm01 - REBSALPR2/REBSALPR IP: 10.150.227.19</t>
  </si>
  <si>
    <t xml:space="preserve"> Reunión seguimiento con equipo Abenis</t>
  </si>
  <si>
    <t xml:space="preserve"> Se asiste remotamente a reunión de seguimiento actividades equipo NOC on Miguel Garrido Abenis           </t>
  </si>
  <si>
    <t>Asistencia con falsos positivos en VZOR respescto a WebServices</t>
  </si>
  <si>
    <t>Múltiples WebServices sufren de falsos positivos y recuperan a los 3 minutos, tema es escalado con VZOR para revisión dentro de sondas.</t>
  </si>
  <si>
    <t xml:space="preserve">Caída proceso Java en el servidor srv-sibs IP 10.150.220.82 </t>
  </si>
  <si>
    <t>Múltiples WebServices sufren caída por alerta en proceso Java, se escala vía correo y por canal Teams de Abenis</t>
  </si>
  <si>
    <t xml:space="preserve"> Envío informes mensuales VZOR</t>
  </si>
  <si>
    <t>Se envían informes mensuales monitoreo VZOR</t>
  </si>
  <si>
    <t>Caída servidor OnPremise - Prod_OSB02 IP: 10.150.150.104</t>
  </si>
  <si>
    <t>Múltiples WebServices sufren caída por servidor 10.150.150.104 tema escalado con INFRA los cuales indican que era un trabajo programado de domingo</t>
  </si>
  <si>
    <t xml:space="preserve"> Se escala alerta TableSpace TBS_AF_IDX usage is 90.15%</t>
  </si>
  <si>
    <t xml:space="preserve"> Alerta TableSpace TBS_AF_IDX usage is 90.15%, alerta superada después de trabajos de equipo DBA</t>
  </si>
  <si>
    <t xml:space="preserve"> Proceso httpd.worker down | personal de Global atiende alerta y después de revisión esta se recupera, alerta no genera caída en aplicativos observables</t>
  </si>
  <si>
    <t xml:space="preserve"> Entrega información solicitada en reunión para reparación VZOR</t>
  </si>
  <si>
    <t xml:space="preserve"> Entrega información solicitada en reunión para reparación estados desconocidos VZOR</t>
  </si>
  <si>
    <t xml:space="preserve"> Se envía informe mensual VZOR</t>
  </si>
  <si>
    <t xml:space="preserve"> Se generan informes mensuales monitoreo</t>
  </si>
  <si>
    <t xml:space="preserve"> Se escala alerta con anomalía en sitio https://ips.gob.cl/</t>
  </si>
  <si>
    <t>Alerta es escalada pero se recupera sola después de unos minutos y no se indica intervención de terceros, se marca como advertencia.</t>
  </si>
  <si>
    <t xml:space="preserve"> Asistencia reunión precencial IPS</t>
  </si>
  <si>
    <t xml:space="preserve"> Revisión pendientes VZOR</t>
  </si>
  <si>
    <t xml:space="preserve"> Se escala alerta proceso "Check PEND con Horario" servidor CA03FTP1</t>
  </si>
  <si>
    <t xml:space="preserve"> Proceso "Check PEND con Horario" servidor CA03FTP1 recuperado después de intervención de INFRA</t>
  </si>
  <si>
    <t xml:space="preserve"> Se alerta caída masiva observada en monitoreos VZOR</t>
  </si>
  <si>
    <t xml:space="preserve"> Falso positivo generado por micro corte a nivel de Red, este se recupera en ventana inferior a 10 minutos</t>
  </si>
  <si>
    <t xml:space="preserve"> En conjunto a Juan Pablo se escala incidente masivo producido por problemas de Red (INFORME DE INC JPBUZETA)</t>
  </si>
  <si>
    <t xml:space="preserve"> Anomalía de red genera multiples alertas a nivel de INFRA y WebServices, Global recupera anomalía, se generará informe de incidente</t>
  </si>
  <si>
    <t xml:space="preserve"> Envio informe mensual monitoreo</t>
  </si>
  <si>
    <t xml:space="preserve"> Envio informe mensual monitoreo VZOR con incidentes e inventario</t>
  </si>
  <si>
    <t xml:space="preserve"> Se reporta caída de servidores AWS que fueron apagados</t>
  </si>
  <si>
    <t xml:space="preserve"> Servidores AWS apagados</t>
  </si>
  <si>
    <t xml:space="preserve"> Se alerta en espacio en disco servidor AWS - Wlsprod03 IP 10.200.2.253</t>
  </si>
  <si>
    <t xml:space="preserve"> Alerta recuperada por INFRA</t>
  </si>
  <si>
    <t xml:space="preserve"> Se alerta en utilización memoria servidor AZS4HANAPRD01 IP 10.88.1.135</t>
  </si>
  <si>
    <t xml:space="preserve"> Se experimenta micro corte en multiples servicios monitoreados</t>
  </si>
  <si>
    <t xml:space="preserve"> Alertas se recuperan solas en menos de 5 minutos y no se experimentan incidentes</t>
  </si>
  <si>
    <t xml:space="preserve"> Reunión presencial IPS</t>
  </si>
  <si>
    <t xml:space="preserve"> Revisión avances y mejoras sistemas de monitoreo, se entregan datos para mejoras comportamiento alertas                       </t>
  </si>
  <si>
    <t xml:space="preserve"> Reunión interna equipo Abenis</t>
  </si>
  <si>
    <t xml:space="preserve"> Revisión interna sobre mejoras en bitacoras de información    </t>
  </si>
  <si>
    <t xml:space="preserve"> Se trabaja en mejoras en monitoreo discos  </t>
  </si>
  <si>
    <t xml:space="preserve"> Se ajustan configuraciones para que discos críticos generen notificaciones                                        </t>
  </si>
  <si>
    <t xml:space="preserve"> Reunión NOC</t>
  </si>
  <si>
    <t xml:space="preserve"> Revisión interna sobre mejoras de área</t>
  </si>
  <si>
    <t xml:space="preserve"> Se continuan configuraciones para que discos críticos generen notificaciones                                        </t>
  </si>
  <si>
    <t xml:space="preserve"> Se trabaja en mejoras en monitoreo navegación sintetica LEGADOS - SCEP</t>
  </si>
  <si>
    <t xml:space="preserve"> Se trabaja en reparar monitoreo LEGADOS - SCEP                          </t>
  </si>
  <si>
    <t>Alejandro Ipinza</t>
  </si>
  <si>
    <t>Performance servidor Meta Data</t>
  </si>
  <si>
    <t>EXADATA ORACLE 12C NODO 1 desde el 01 de octubre de 2024 a 31 de marzo de 2025</t>
  </si>
  <si>
    <t>Solicitud via correo</t>
  </si>
  <si>
    <t>Alarmas criticas servicio RNT webservice y app</t>
  </si>
  <si>
    <t>Reporte webservice con problemas</t>
  </si>
  <si>
    <t>Escalamiento monitoreos web services</t>
  </si>
  <si>
    <t>VZOR alarmas</t>
  </si>
  <si>
    <t>alarmas en el sistema de monitoreo VZOR, creamos el ticket MDAVZOR-17177 para su revision</t>
  </si>
  <si>
    <t>Recursos SONDA 2</t>
  </si>
  <si>
    <t>Aumento de recursos para el servidor con IP 10.150.150.54 alojado en VMC el cual opera como SONDA 2 IPS y que actualmente se encuentra sobrecargado en uso de CPU y RAM</t>
  </si>
  <si>
    <t>Reunion Paola Lillo</t>
  </si>
  <si>
    <t>Reporte de incidentes</t>
  </si>
  <si>
    <t>Perdida de conectividad a VMC</t>
  </si>
  <si>
    <t>Pérdida de conectividad</t>
  </si>
  <si>
    <t xml:space="preserve"> PING CRITICAL - Host Unreachable 10.150.150.133</t>
  </si>
  <si>
    <t>Perdida de conexión a dispositivos de comunicaciones</t>
  </si>
  <si>
    <t>Reportamos la perdida de conectividad a distintos dispositivos de red</t>
  </si>
  <si>
    <t>Server down</t>
  </si>
  <si>
    <t>Reportamos la perdida de conexión al servidor Windows llamado HOP 1 con la IP 10.235.195.97</t>
  </si>
  <si>
    <t>Servicios caídos</t>
  </si>
  <si>
    <t>Servicios RNT - caidos en plataforma VZOR</t>
  </si>
  <si>
    <t>Servicios alarmados</t>
  </si>
  <si>
    <t>Servicios AF - caidos en plataforma VZOR</t>
  </si>
  <si>
    <t>Envio de estado de servicos</t>
  </si>
  <si>
    <t>Estado de servicios de IPS / fin de semana PM</t>
  </si>
  <si>
    <t>Monitoreo y alertas de bases de datos</t>
  </si>
  <si>
    <t>Ajuste de umbrales en monitoreo VZOR (Oracle)</t>
  </si>
  <si>
    <t>Caída de servicios</t>
  </si>
  <si>
    <t>IPS.GOB.CL - Video Atencion IPS - Ext.CargasAF </t>
  </si>
  <si>
    <t>Usuario SQL</t>
  </si>
  <si>
    <t>Integracion Zabbix Mssql</t>
  </si>
  <si>
    <t>Envio de Informe 7:30 am</t>
  </si>
  <si>
    <t>Revision de servicios y envio de mail a IPS</t>
  </si>
  <si>
    <t>Solicitud acceso servidor JBOSS QA</t>
  </si>
  <si>
    <t>Integracion a Zabbix</t>
  </si>
  <si>
    <t>Jose Luis entrega acceso a servidor</t>
  </si>
  <si>
    <t>Se envia Correo a Jose Luis con la integracion realizada</t>
  </si>
  <si>
    <t>Plan de Navegación</t>
  </si>
  <si>
    <t>IEL - Asignación por Muerte, este se encuentra alarmado por cambios en la estructura de la pagina</t>
  </si>
  <si>
    <t>Servidor file server, file server QA y Fileserver sec</t>
  </si>
  <si>
    <t xml:space="preserve"> indidente "BD ASM Diskgroup Usage"</t>
  </si>
  <si>
    <t>[Ticket#2025061974000822] Alarmas INSTANCIA exc02dbadm01 - CATACC2/CATACC</t>
  </si>
  <si>
    <t>Ticket VZOR</t>
  </si>
  <si>
    <t>MDAVZOR-17498</t>
  </si>
  <si>
    <t>INFORMATIVO MAFIPS // Actividad en Equipamiento de Ciberseguridad IPS</t>
  </si>
  <si>
    <t>Se realiza una revisión en VZOR de los servicios afectados por los trabajos y estos se encuentran todos restablecidos</t>
  </si>
  <si>
    <t xml:space="preserve">Servicio web Alarmado </t>
  </si>
  <si>
    <t>IPS.GOB.CL - Video Atencion IPS - Ext.CargasAF en el paso 3</t>
  </si>
  <si>
    <t>[EXTERNO]No se puede entregar: Monitoreo web alarmado IPS.GOB.CL - Video Atencion IPS - Ext.CargasAF</t>
  </si>
  <si>
    <t>Este presenta problemas al cargar el paso "Extincion de cargas" en el siguiente Link https://www.chileatiende.gob.cl/sucursalvirtual/13138</t>
  </si>
  <si>
    <t>Alarma en Servidores DB</t>
  </si>
  <si>
    <t>pbsapsstby - pbsaps/PBSAPS / exc02dbadm01 - COREC2/COREC / exc01dbadm01 - COREC1/COREC</t>
  </si>
  <si>
    <t>Alarma FileServer-Prod FileServer-Prod</t>
  </si>
  <si>
    <t>Reportamos archivos no encontrados en servidor FileServer-Prod </t>
  </si>
  <si>
    <t>Alarma rrhhprodbd - PROD/PROD</t>
  </si>
  <si>
    <t>Se cambia el plugin y se repara el monitoreo de discos</t>
  </si>
  <si>
    <t>[EXTERNO]Re: [Ticket#2025072874000741] Alarma pbsapsstby - pbsaps/PBSAPS</t>
  </si>
  <si>
    <t>Reportamos la siguiente alerta en servidor IP: 10.151.1.6 con las siguientes alertas</t>
  </si>
  <si>
    <t>Alarma Monitoreo TCP-Sockets PP ADMIN SERVER 6101</t>
  </si>
  <si>
    <t>connect to address 10.150.232.61 and port 6101: Connection refused </t>
  </si>
  <si>
    <t>[EXTERNO]Re: [Ticket#2025073174001154] Alarma en servidor BDESITPP01 - PRYSIT</t>
  </si>
  <si>
    <t> "CRITICAL - cannot connect to 10.150.234.95:1521/PRYSIT. ORA-12541: TNS:no listener (DBD ERROR: OCIServerAttach)</t>
  </si>
  <si>
    <t>[EXTERNO][Ticket#2025080174000549] RE: RV: Caida de servicios</t>
  </si>
  <si>
    <t>reinicio en un servidor</t>
  </si>
  <si>
    <t>Alarma servidores AWS</t>
  </si>
  <si>
    <t>10.150.234.56, 10.150.234.95, 10.88.2.28, 10.88.0.67, 10.88.0.65, 10.88.0.64</t>
  </si>
  <si>
    <t>Tarea solicitada por personal de IPS Jesus Chavez</t>
  </si>
  <si>
    <t>Configuracion SNMP en servidor 10.154.154.120</t>
  </si>
  <si>
    <t>Favor configurar la comunidad snmp "PRDVZOR" en el servidor 10.154.154.120 para su monitoreo de performance</t>
  </si>
  <si>
    <t>[EXTERNO]RE: Monitoreos en desconocido</t>
  </si>
  <si>
    <t>Reportamos 2 monitoreos en desconocido del servidor 10.33.1.16 / Servidor Admin Legado</t>
  </si>
  <si>
    <t>Configuracion snmp servidor windows</t>
  </si>
  <si>
    <t>configuración snmp en el servidor DC06 / 10.210.3.219</t>
  </si>
  <si>
    <t xml:space="preserve"> Se alerta en utilización memoria FingubBD-Prod IP 10.88.1.138</t>
  </si>
  <si>
    <t xml:space="preserve"> Se alerta ya que servidor empezo a utilizar SWAP</t>
  </si>
  <si>
    <t>Reunión: Rev Pruebas SGI</t>
  </si>
  <si>
    <t xml:space="preserve"> Se alerta Disco en servidor AWS - OSBProd01 IP 10.150.216.204</t>
  </si>
  <si>
    <t>Disco en servidor AWS - OSBProd01 IP 10.150.216.204</t>
  </si>
  <si>
    <t xml:space="preserve"> Se alerta TableSpace en servidor PRD-DB.APORTEFAMILIAR.CL - ORCL/ORCL IP  Ipsprod19.cp20lfpiqu3c.sa-east-1.rds.amazonaws.com</t>
  </si>
  <si>
    <t xml:space="preserve"> TableSpace en servidor PRD-DB.APORTEFAMILIAR.CL - ORCL/ORCL IP  Ipsprod19.cp20lfpiqu3c.sa-east-1.rds.amazonaws.com</t>
  </si>
  <si>
    <t xml:space="preserve"> Se alerta perdida de conectividad a multiples WebServices</t>
  </si>
  <si>
    <t xml:space="preserve"> Estos se recuperan 10 minutos después de ser notificados</t>
  </si>
  <si>
    <t xml:space="preserve"> Se alerta utilización memoria RAM servidor AZS4HANAPRD01 IP  10.88.1.135 </t>
  </si>
  <si>
    <t xml:space="preserve"> Utilización memoria RAM servidor AZS4HANAPRD01 IP  10.88.1.135 </t>
  </si>
  <si>
    <t>Revisar plataforma de DEV de PDP nueva por proyecto nuevo: Admin ODI</t>
  </si>
  <si>
    <t>Correcciones para merge qa --&gt; prod Api Gateway pisee-notificador</t>
  </si>
  <si>
    <t>Solicitud de dominio en AWS Route 53</t>
  </si>
  <si>
    <t>Se crea registro de dominio maestrodgdp-qa.ipsgob.cl para app service maestrodgdp-qa</t>
  </si>
  <si>
    <t>Solicitud para habilitar permisos de FW a VPC SrvTransversales</t>
  </si>
  <si>
    <t>Se habilita permisos desde 10.144.0.0 a LZ VPC SrvTransversales 10.100.8.0/21</t>
  </si>
  <si>
    <t>Se realizan Pruebas de api gateway pisee-notificador en ambiente productivo</t>
  </si>
  <si>
    <t>solicita archivos de configuración, como sgi-cambio-forma-pago.xml</t>
  </si>
  <si>
    <t>Patricio Alberto Zuñiga</t>
  </si>
  <si>
    <t>Reunión definisión de prueba de ambiente SGI New con Patricio Ramirez, Equipo Middleware y equipo desarrollo cha</t>
  </si>
  <si>
    <t>Solicitud revisión conexiones Core test de conexión</t>
  </si>
  <si>
    <t>Pruebas y revisiones de subida de servicios PDP new</t>
  </si>
  <si>
    <t>Se realizan pruebas y se encuentran problemas de conexión entre serviores. Cesar propone reuinión</t>
  </si>
  <si>
    <t>Solicitu de logs ambiente IPS en linea</t>
  </si>
  <si>
    <t>Revisión de servicios y consolas de osb dev. se revisan servicios sin problemas</t>
  </si>
  <si>
    <t xml:space="preserve">Estado 
(en proceso, pendiente, finalizado) </t>
  </si>
  <si>
    <t>Finalizado</t>
  </si>
  <si>
    <t>Se revisa espacio, conexiones y se detecta que están abajo las BD
admdevpp01-pri
odidevpp01
wlpdevpp01
obidevpp01
bpmdevpp01
soadevpp01
osbdevpp01
wlcdevpp01</t>
  </si>
  <si>
    <t xml:space="preserve">Tiempo estimado 
actividad </t>
  </si>
  <si>
    <t>Se revisan temas, tikect y temas de proyecto o pendientes con IPS</t>
  </si>
  <si>
    <t>Se presta ayuda en lo que requierán en pro de buscar el problema</t>
  </si>
  <si>
    <t>Revisión de avances en el proyecto de plataforma AWS</t>
  </si>
  <si>
    <t>Revisión de nuevas etapas del proyecto de plataforma AWS</t>
  </si>
  <si>
    <t>Se revisa la plataforma en busqueda del servicio indicado y se informa al usuario lo descubierto</t>
  </si>
  <si>
    <t>Revisión y coordinación de las pruebas en el proyecto de plataforma AWS</t>
  </si>
  <si>
    <t>Se informa de la nueva estructura que tendrá el área</t>
  </si>
  <si>
    <t>Revisión de actividades de reinicio de servidores PDP</t>
  </si>
  <si>
    <t>Revisión de pendientes SGI DEV de AWS LZ</t>
  </si>
  <si>
    <t>1 hr</t>
  </si>
  <si>
    <t>Validación de cuentas nuevas en IPS</t>
  </si>
  <si>
    <t>Se deriva caso solicitado a nuestra área por espacio a nivel institucional por un nuevo convenio con AFP's</t>
  </si>
  <si>
    <t>Paso a producción de Aranda 144684 - PGU - Nuevo registro elegibilidad</t>
  </si>
  <si>
    <t>En proceso</t>
  </si>
  <si>
    <t>Revisión de usuarios de QA para ODI SIT área de QA</t>
  </si>
  <si>
    <t>Se presta ayuda en lo que requierán y se entrega el archivo solicitado</t>
  </si>
  <si>
    <t>1 hr </t>
  </si>
  <si>
    <t>4 hrs </t>
  </si>
  <si>
    <t>5 hrs </t>
  </si>
  <si>
    <t>2 hrs </t>
  </si>
  <si>
    <t>1 hr </t>
  </si>
  <si>
    <t>N/A</t>
  </si>
  <si>
    <t>Incidencia descarga archivo desde el teams</t>
  </si>
  <si>
    <t>Ticket</t>
  </si>
  <si>
    <t>FINALIZADO</t>
  </si>
  <si>
    <t>Paso a producción SGI</t>
  </si>
  <si>
    <t>Se continúa con la revisión del problema, el BPM tiene tiempo sin funcionar</t>
  </si>
  <si>
    <t>Entrega de usuarios de QA creados en ambiente SIT</t>
  </si>
  <si>
    <t>Revisión de problema de descargas de archivos</t>
  </si>
  <si>
    <t>revision aranda ticket</t>
  </si>
  <si>
    <t xml:space="preserve">se revisa aranda para saver si ahi requeriineto nuevos, y lo antiguos para poder avanzar en ellos. </t>
  </si>
  <si>
    <t>30 min</t>
  </si>
  <si>
    <t>Se trabaja en planilla envida por Daniel Zamora para saber la capacidad de disco de una granja en una granja de server</t>
  </si>
  <si>
    <r>
      <rPr>
        <sz val="10"/>
        <color rgb="FF000000"/>
        <rFont val="Calibri"/>
        <family val="2"/>
      </rPr>
      <t>Se trabaja en maquinas  de aws en el orden de sus .pem y .pub. Anotando en planillas para su facilidad al acceder</t>
    </r>
    <r>
      <rPr>
        <sz val="10"/>
        <color rgb="FF7F7F7F"/>
        <rFont val="Calibri"/>
        <family val="2"/>
      </rPr>
      <t>. </t>
    </r>
    <r>
      <rPr>
        <sz val="10"/>
        <color rgb="FF000000"/>
        <rFont val="Calibri"/>
        <family val="2"/>
      </rPr>
      <t>  </t>
    </r>
  </si>
  <si>
    <t xml:space="preserve">Se trabaja en maquinas  de aws en el orden de sus .pem y .pub. Anotando en planillas para su facilidad al acceder.  / Se mantiene el orden de infraestructura de cada maquina administrada, cpu,discos, ram,etc.  </t>
  </si>
  <si>
    <r>
      <t>Se trabaja en maquinas  de aws en el orden de sus .pem y .pub. Anotando en planillas para su facilidad al acceder</t>
    </r>
    <r>
      <rPr>
        <sz val="10"/>
        <color rgb="FF7F7F7F"/>
        <rFont val="Calibri"/>
        <family val="2"/>
      </rPr>
      <t>. </t>
    </r>
    <r>
      <rPr>
        <sz val="10"/>
        <color rgb="FF000000"/>
        <rFont val="Calibri"/>
        <family val="2"/>
      </rPr>
      <t> / Se mantiene el orden de infraestructura de cada maquina administrada, cpu,discos, ram,etc.  </t>
    </r>
  </si>
  <si>
    <t>Se mantiene el orden de infraestructura de cada maquina administrada, cpu,discos, ram,etc. </t>
  </si>
  <si>
    <t>3h</t>
  </si>
  <si>
    <t>2h</t>
  </si>
  <si>
    <t>Reunión: [IPS AWS LZA] Seguimiento - Configuraciones Ambiente PDP DEV</t>
  </si>
  <si>
    <t>Solicitud de apoye revisión de servicio prd, indica que agregaran traza al servicio.</t>
  </si>
  <si>
    <t>Reunión de revisión de servicios, puertos y conexión server clonados</t>
  </si>
  <si>
    <t>15 min</t>
  </si>
  <si>
    <t>60 min</t>
  </si>
  <si>
    <t>90 min</t>
  </si>
  <si>
    <t>En Proceso</t>
  </si>
  <si>
    <t>Se sigue trabajando en el sistema en la revisión de accesos y subida de sistemas</t>
  </si>
  <si>
    <t xml:space="preserve"> Reunión precencial IPS</t>
  </si>
  <si>
    <t xml:space="preserve"> Reunión seguimiento precencial y cambio de mando</t>
  </si>
  <si>
    <t>Se explica a las nuevas jefaturas la forma de trabajar y las tareas de cada equipo Abenis - VZOR, se tocan los ptos de la reunion anterior.</t>
  </si>
  <si>
    <t xml:space="preserve"> Finalizado</t>
  </si>
  <si>
    <t xml:space="preserve"> En proceso</t>
  </si>
  <si>
    <t>4 hrs</t>
  </si>
  <si>
    <t>3 hrs</t>
  </si>
  <si>
    <t>Ana Maria Briones - IPS</t>
  </si>
  <si>
    <t>Se realiza una nueva compilación de proyecto por falla durante el proceso. Se envia documento para que pueda ser evaluado por el desarrollador a cargo del servicio.</t>
  </si>
  <si>
    <t>Oscar Fernandez Sepulveda</t>
  </si>
  <si>
    <t>Backup y desinstalación del componente instalado</t>
  </si>
  <si>
    <t>Renombre del backup e instalación del componente anterior</t>
  </si>
  <si>
    <t>10 min</t>
  </si>
  <si>
    <t>Se valida el funcionamiento de core con soporte. Al no encontrar evidencia clara de lentitud, se procede a un reinicio controlado manteniendo HA de servicio productivo IPS para liberar las conexiones tomadas de negocio.</t>
  </si>
  <si>
    <t>Pruenbas de conexión a la consola admin de SOA clon dev</t>
  </si>
  <si>
    <t>Solicitud estado salud asimu ips en linea</t>
  </si>
  <si>
    <t>20 min</t>
  </si>
  <si>
    <t>45 min</t>
  </si>
  <si>
    <t xml:space="preserve">Caso No. 17498 / RF-230436-4-17498
</t>
  </si>
  <si>
    <t>Favor su asistencia con alerta uso Disco en servidor AWS - OSBProd01 IP 10.150.216.204</t>
  </si>
  <si>
    <t xml:space="preserve">Caso No. 17479 / RF-230342-4-17479
</t>
  </si>
  <si>
    <t>Escalan alerta de uso de disco en 92 %</t>
  </si>
  <si>
    <t>Conexión ssh para volver atras componente desde el backup</t>
  </si>
  <si>
    <t>Conexión ssh para backup del componente actual</t>
  </si>
  <si>
    <t>Conexión consola admin para parar componente y realizar la actualización de la vuelta atras</t>
  </si>
  <si>
    <t xml:space="preserve"> Solicitud revisión fins vuelta atras de Instalacion de la FINS adjunta del requerimiento: R1807 Aranda(s) AR_158944 - Mejoras Portal de  Pago </t>
  </si>
  <si>
    <t>Vuelta atras componente PDP QA</t>
  </si>
  <si>
    <t>prueba y revisión conexiones Core test de conexión</t>
  </si>
  <si>
    <t>Solicitud reinicio OHS stop / start nodo</t>
  </si>
  <si>
    <t xml:space="preserve">conexión ssh para revisiones del server y estado de salud </t>
  </si>
  <si>
    <t>Reisión de servicios OSB QA por intermitencia stop/start</t>
  </si>
  <si>
    <t>Conexión ssh y limpieza de logs /u01 dominio osb Purga de logs OSBProd01 IP 10.150.216.204 AdminServer/ - osb_server1 - osb_server2 - osb_server3 -  osb_server4</t>
  </si>
  <si>
    <t>Conexión ssh y limpieza de logs /u01 dominio owsm Purga de logs OSBProd01 IP 10.150.216.204 AdminServer/ - owsm_server1/ - owsm_server2/</t>
  </si>
  <si>
    <t>Alerta uso de disco OSBProd01 IP 10.150.216.204 dominio OSB</t>
  </si>
  <si>
    <t>Alerta uso de disco OSBProd01 IP 10.150.216.204 dominio OWSM</t>
  </si>
  <si>
    <t xml:space="preserve">Configuracion y ajustes de monitoreo en App </t>
  </si>
  <si>
    <t>Correccion de Monitoreos UX</t>
  </si>
  <si>
    <t>finalizado</t>
  </si>
  <si>
    <t>Creación de Azure App service</t>
  </si>
  <si>
    <t>Se crea nuevo app service maestrodgdp-prod en plan productivo ASP-Lin001</t>
  </si>
  <si>
    <t>Se hicieron pruebas de conectividad en el ambiente de OHS DEV y ADMIN OHS para validar que el servidor levanta y se conecta</t>
  </si>
  <si>
    <t>Alerta por intentos de inyección SQL a través de tráfico HTTP</t>
  </si>
  <si>
    <t>Los intentos provinieron de las IPs 10.88.7.4 y 10.88.7.8, utilizando distintos puertos de origen hacia IP 10.151.2.35</t>
  </si>
  <si>
    <t>EN PROCESO</t>
  </si>
  <si>
    <t>2 hr</t>
  </si>
  <si>
    <t>Servidores de PDP DEV, pruebas de conectividad y levantado</t>
  </si>
  <si>
    <t>3 hr</t>
  </si>
  <si>
    <t>4 hr</t>
  </si>
  <si>
    <t>INTERNO</t>
  </si>
  <si>
    <t>Saldo diario</t>
  </si>
  <si>
    <t>Temas administrativos de abenis</t>
  </si>
  <si>
    <t>Se revisa servidor 10.150.150.108 para agregar monitores en vzor</t>
  </si>
  <si>
    <t>FECHA AUXILIAR</t>
  </si>
  <si>
    <t>Solo tareas administrativas preventivas, sin requerimientos adicionales</t>
  </si>
  <si>
    <t>No existieron requerimientos adicionales</t>
  </si>
  <si>
    <t>Informa que no ve los cambios de instalación solicitada en QA</t>
  </si>
  <si>
    <t>Se revisan temas, ticket y temas de proyecto o pendientes con Abenis</t>
  </si>
  <si>
    <t>Se revisan correos de instalación y se le informa que solo llegho una vuelta atrás</t>
  </si>
  <si>
    <t xml:space="preserve">Paola Bustamante informa que aun no preparanm el paso a QA. </t>
  </si>
  <si>
    <t>Se revisan temas, ticket y temas de proyecto o pendientes con IPS</t>
  </si>
  <si>
    <t>Revisión de correos sin encontrar pendientes</t>
  </si>
  <si>
    <t>Revisión de ticketd e aranda, sin pendientes</t>
  </si>
  <si>
    <t>Se revisa y había un nodo en warning. Se reinicia y recupera el app.</t>
  </si>
  <si>
    <t>Solicitud de Revisión de maquinas nuevas de afper QA</t>
  </si>
  <si>
    <t>Conexión ssh con asaraviam.srv.pem a 10.105.1.111</t>
  </si>
  <si>
    <t>Conexión ssh con asaraviam.srv.pem a 10.105.1.147</t>
  </si>
  <si>
    <t>Conexión ssh con asaraviam.srv.pem a 10.105.1.157</t>
  </si>
  <si>
    <t>Conexión ssh con oracle.pem a 10.105.1.111</t>
  </si>
  <si>
    <t>Conexión ssh con oracle.pem a 10.105.1.147</t>
  </si>
  <si>
    <t>Conexión ssh con oracle.pem a 10.105.1.157</t>
  </si>
  <si>
    <t>ssh: connect to host 10.105.1.111 port 22: Connection timed out, cesar revoisara permisos</t>
  </si>
  <si>
    <t>5 min</t>
  </si>
  <si>
    <t>Revisión de conexión a las maquinas 1 a 1</t>
  </si>
  <si>
    <t>a la espera</t>
  </si>
  <si>
    <t xml:space="preserve">se ingresa server por seever para saver si tenemos adinistracion para un pocible upgrde de SO. </t>
  </si>
  <si>
    <t>30min</t>
  </si>
  <si>
    <t>en proceso</t>
  </si>
  <si>
    <t xml:space="preserve"> Se alerta utilización puerto AVBMenu</t>
  </si>
  <si>
    <t xml:space="preserve"> Utilización de conexiones supera por mucho umbral y no ha bajado</t>
  </si>
  <si>
    <t>Reunión de área de middleware</t>
  </si>
  <si>
    <t>Modificación de registro de dominio en DNS Externo</t>
  </si>
  <si>
    <t>Se cambia registro route53 al dominio maestrodgdp.ips.gob.cl</t>
  </si>
  <si>
    <t>2hr</t>
  </si>
  <si>
    <t>6h</t>
  </si>
  <si>
    <t>Por favor, su ayuda para obtener los registros de log de la aplicación SGI - Documentos, ubicados en wls_preprod1,2</t>
  </si>
  <si>
    <t>30 m in</t>
  </si>
  <si>
    <t>25 min</t>
  </si>
  <si>
    <t>Revisión PDP SIT conexión ssh y consola</t>
  </si>
  <si>
    <t>Revisión de servicios IPS en linea. conexión ssh y consola</t>
  </si>
  <si>
    <t>40 min</t>
  </si>
  <si>
    <t>Revisión de reporte de actividades/informe de entrega final</t>
  </si>
  <si>
    <t>Se realizaron ajustes a las actividades realizadas</t>
  </si>
  <si>
    <t xml:space="preserve">Revisión de ambiente DEV de PDP </t>
  </si>
  <si>
    <t>Revisión de logs de bpm para determinar problema y soluciones</t>
  </si>
  <si>
    <t>Revisión de lentitud de actividades de ELE de ODI PRD</t>
  </si>
  <si>
    <t>Se revisa el ambiente PRD para detectar problemas de lentitud</t>
  </si>
  <si>
    <t>Revsion de permisos desde App service</t>
  </si>
  <si>
    <t>revisión de servicios y espacios server ips en linea</t>
  </si>
  <si>
    <t>Revisión de servicios y espacio server de Afper</t>
  </si>
  <si>
    <t>Revisión de servicios y espacios de PDP</t>
  </si>
  <si>
    <t>Conexión ssh y consolas para revisión proactiva</t>
  </si>
  <si>
    <t>Operaciones IPS - CHA - Jose Cruces</t>
  </si>
  <si>
    <t>Reunion De Feedback</t>
  </si>
  <si>
    <t>[IPS AWS LZA] Seguimiento - Configuraciones Ambiente PDP DEV</t>
  </si>
  <si>
    <t>[IPS AWS LZA] Updates - Servicios AFPER QA-SIT</t>
  </si>
  <si>
    <t>[IPS AWS LZA] Validación/Status - Proyectos Adecuación En Curso</t>
  </si>
  <si>
    <t>Call para revisar feeback relacionados a temas intenros de servicios cloud entre IPS y CHA</t>
  </si>
  <si>
    <t>Call para revisar configuraciones y servicios correspondeintes al ambiente PDP DEV que se enceuntra en proceso de adecuacion en LZA</t>
  </si>
  <si>
    <t>Continuacion Call realizada el d ia 06/03 para revisar y validar en conjunto con CHA servicios asociados a Nodo Notificador</t>
  </si>
  <si>
    <t>Call para verificar y validar los cambios ya resueltos con respecto a la certificacion del ambiente LZA AFPER QA-SIT</t>
  </si>
  <si>
    <t>Call para revisar temas pendientes y avances asociados a proyectos de adecuacion con AWS</t>
  </si>
  <si>
    <t xml:space="preserve">revicion de accesos a server para upgrade  en SO/ apoyo equipo Mitheware puertos server. </t>
  </si>
  <si>
    <t>Se valida el funcionamiento de core con soporte. Se encuentra que una query de sistema estaba congelada a nivel de DB, al cual, generaba problema de lentitud en los procesos que utilizan dicha query.</t>
  </si>
  <si>
    <t>Cristian Vasquez - Abenis NOC</t>
  </si>
  <si>
    <t>Alerta en elegibilidad reforma</t>
  </si>
  <si>
    <t>Se deriva a infraestructura por falta de conexión a sevidor que mantiene sitio  http://elegibilidadreforma.ips.gob.cl/reporte_elegibilidad.php?run=</t>
  </si>
  <si>
    <t>Solicitud de instalación a QA</t>
  </si>
  <si>
    <t>Revisión de fins de solicitud la cual trae errores, se solicita reunión con los solicitantes</t>
  </si>
  <si>
    <t>Reunión revisión de fins de paso QA PortalPagosWeb</t>
  </si>
  <si>
    <t>Re revisan los puntos solicitados y se les informa que no adjuntan los properties. informan que no va.</t>
  </si>
  <si>
    <t>Descarga de app a instalar al equipo local</t>
  </si>
  <si>
    <t>Conexión a la consola, subida del ear a la consola y se realiza la instalación</t>
  </si>
  <si>
    <t>Instalación de PortalPago.ear</t>
  </si>
  <si>
    <t>se ingreasa al svn para descargar el app a instalar</t>
  </si>
  <si>
    <t xml:space="preserve">Solicitud reinicio ODI PRD </t>
  </si>
  <si>
    <t>coneción a la consola admin</t>
  </si>
  <si>
    <t>reinicio app OdiConsole</t>
  </si>
  <si>
    <t>Reinicio app OdiAgent</t>
  </si>
  <si>
    <t>Stop/Start app</t>
  </si>
  <si>
    <t>Ejecución Plan de Carga de PDP PRD</t>
  </si>
  <si>
    <t>Reunión solicitud de copia de properties a ambiente UAT</t>
  </si>
  <si>
    <t>Caso No. 17512 / RF-230514-4-17512</t>
  </si>
  <si>
    <t>Caso No. 17528 / RF-230589-4-17528</t>
  </si>
  <si>
    <t>Conexión por consola al PDP para ejecución de plan de carga</t>
  </si>
  <si>
    <t xml:space="preserve"> Se alerta web serivce</t>
  </si>
  <si>
    <t xml:space="preserve"> https://prod.ips.apim.junar.com/infosrcei/v1/persona/18933363/informacionpersonal/validacionconyugehijo/18933364.json/?auth_key=Jvotp5G8Rbe8NO6tfUtnf9kzrc3RvP5wO2BQXcPh</t>
  </si>
  <si>
    <t xml:space="preserve"> Utilización memoria RAM servidor AZS4HANAPRD01continua en tendencia de crecimiento</t>
  </si>
  <si>
    <t xml:space="preserve"> Se alerta multiples aplicativos</t>
  </si>
  <si>
    <t xml:space="preserve"> Se detecta incidente en WebServices que causa caída masiva de aplicativos.</t>
  </si>
  <si>
    <t>Descarga de properties</t>
  </si>
  <si>
    <t>Descarga de properties al equipo local</t>
  </si>
  <si>
    <t>Copia de archivo properties al server 10.150.234.235 WLS Producer  UAT</t>
  </si>
  <si>
    <t>Coordinación de copia de properties actualizado a WLS Producer UAT</t>
  </si>
  <si>
    <t>Copia al server  WLS Producer</t>
  </si>
  <si>
    <t>reinicio servicos de wlpppuat01- wlpppuat02</t>
  </si>
  <si>
    <t>ssh: connect to host 10.105.1.147 port 22: Connection timed out, cesar revoisara permisos</t>
  </si>
  <si>
    <t>ssh: connect to host 10.105.1.157 port 22: Connection timed out, cesar revoisara permisos</t>
  </si>
  <si>
    <t>ssh: connect to host 10.105.1.157port 22: Connection timed out, cesar revoisara permisos</t>
  </si>
  <si>
    <t>Pruebas de despliegue dado que reportaron error al levantar la app</t>
  </si>
  <si>
    <t>instalaciones y desinstalaciones de prueba</t>
  </si>
  <si>
    <t>se realiza instalación del componente backup y levanta de forma correcta</t>
  </si>
  <si>
    <t>reunión de reevisión avances y pendientes de proyecto AWS</t>
  </si>
  <si>
    <t>vuelta atras del componente</t>
  </si>
  <si>
    <t>Reunión solicitud de copia de properties a ambiente SIT</t>
  </si>
  <si>
    <t>reinicio servicos de wlpppsit01- wlpppsit02</t>
  </si>
  <si>
    <t>Copia al server  WLS Producer SIT</t>
  </si>
  <si>
    <t>Copia de archivo properties al server 10.150.234.235 WLS Producer  SIT</t>
  </si>
  <si>
    <t>Ana Maria Alvarez Arellano</t>
  </si>
  <si>
    <t>Coordinación de copia de properties actualizado a WLS Producer SIT-QA</t>
  </si>
  <si>
    <t>Reunión por despliegue fallido de QA PortalDePagos</t>
  </si>
  <si>
    <t>Se le informa que se encontraron errores asociados a la instalación del componente,. por lo cual se reviso con la vuelta atras, la cual fue correcta</t>
  </si>
  <si>
    <t>Se cambia registro route53 al dominio maestrodgdp.ips.gob.cl y se vuelva atras dejando valor anterior</t>
  </si>
  <si>
    <t>Se realiza validación de dminio a DNS externo Route53</t>
  </si>
  <si>
    <t>Solicitud para modificar valor en DNS Interno de dominio maestrodgdp.ips.gob.cl</t>
  </si>
  <si>
    <t>Integración de certificado wildcard a dominio maestrodgdp.ips.gob.cl (Azure)</t>
  </si>
  <si>
    <t>Se solicita establecer cominicacion desde web app maestrodgdp-prod hacia ambiente onprem</t>
  </si>
  <si>
    <t>Jonathan Nuñez</t>
  </si>
  <si>
    <t>asaraviam.srv@10.105.1.157: Permission denied (publickey,gssapi-keyex,gssapi-with-mic).</t>
  </si>
  <si>
    <t>asaraviam.srv@10.105.1.118: Permission denied (publickey,gssapi-keyex,gssapi-with-mic).</t>
  </si>
  <si>
    <t>asaraviam.srv@10.105.1.177: Permission denied (publickey,gssapi-keyex,gssapi-with-mic).</t>
  </si>
  <si>
    <t>oracle.pem@10.105.1.118: Permission denied (publickey,gssapi-keyex,gssapi-with-mic).</t>
  </si>
  <si>
    <t>Conexión ssh con oracle.pem a 10.105.1.118</t>
  </si>
  <si>
    <t>Conexión ssh con asaraviam.srv.pem a 10.105.1.118</t>
  </si>
  <si>
    <t>Area Mitheware</t>
  </si>
  <si>
    <t xml:space="preserve">Apoyo equipo Mitheware puertos server. </t>
  </si>
  <si>
    <t xml:space="preserve">Se Desactivan ipv6 por conflictos de puertos en servers. </t>
  </si>
  <si>
    <t>1h</t>
  </si>
  <si>
    <t>CURSO RIESGOS LABORALES</t>
  </si>
  <si>
    <t>Curso de la achs sobre riesgos laborales</t>
  </si>
  <si>
    <t>Bloqueo de ODI PRD Datos</t>
  </si>
  <si>
    <t>El proceso de carga de archivos se inhibió, se revisaron las conexiones y no se determinó el problema, se reinicia servidor</t>
  </si>
  <si>
    <t>Los logs evidenciaban problemas en el ADF, un reinicio pudo solucionar el problema</t>
  </si>
  <si>
    <t>Revisión ambiente sit consumer pdp</t>
  </si>
  <si>
    <t>Alerta WS Pisee</t>
  </si>
  <si>
    <t>Se realiza analisis de consulta de WS asociados a registro civil, se realizan acciones asociadas a mantenimiento y el problema persiste. Se escala a la entidad externa a traves de segpress</t>
  </si>
  <si>
    <t>paso a producción requerimiento Aranda 162016 "Marca trabajador fallecido en titulo ejecutivo"</t>
  </si>
  <si>
    <t>paso a produccion Aranda 162171 - Ingreso especial Exonerados Dipreca Capredena</t>
  </si>
  <si>
    <t>Se realiza reinicio de servicios nodo 3 de reforma agil por solicitud de soporte</t>
  </si>
  <si>
    <t>Se entrega evidencia de envío de archivos solicitados por personal</t>
  </si>
  <si>
    <t>Limpieza de alertas</t>
  </si>
  <si>
    <t>Depuración de alertas repetitivas o irrelevantes en plataforma de monitoreo</t>
  </si>
  <si>
    <t>Análisis de eventos en estado Critical y Unknown, validando conectividad, dependencias y descartando falsos positivos</t>
  </si>
  <si>
    <t>Revisión de respaldos</t>
  </si>
  <si>
    <t>Validación de ejecución de respaldos en Veeam Backup &amp; Replication, identificando fallos y realizando ajustes básicos</t>
  </si>
  <si>
    <t>Monitoreo y análisis de alertas generadas en plataforma VZOR, identificando incidentes relevantes</t>
  </si>
  <si>
    <t>Optimización de plugins en VZOR mediante ajuste de umbrales y reducción de alertas innecesarias</t>
  </si>
  <si>
    <t>Verificación de estado de servidores, recursos y funcionamiento de agentes de monitoreo</t>
  </si>
  <si>
    <t>Ajuste de plugins de monitoreo</t>
  </si>
  <si>
    <t>Auditoría de monitoreo</t>
  </si>
  <si>
    <t>Identificación de servicios sin monitoreo o con configuración incompleta</t>
  </si>
  <si>
    <t xml:space="preserve"> Se valida en conjunto a ChileAtiende en intermitencia de servicios</t>
  </si>
  <si>
    <t>Ver cuentas por migración de FTP Core</t>
  </si>
  <si>
    <t>Se apoya en analizar internamente servidores FTP core para credenciales utilizadas en migración de servidores FTP CORE productivos a realizar por proveedor</t>
  </si>
  <si>
    <t>Conexión Exitosa</t>
  </si>
  <si>
    <t>Solicitud de Revisión de maquinas nuevas de afper QA con llave usuario ec2</t>
  </si>
  <si>
    <t>Conexión a la consola, subida del ear a la consola y se realiza la instalación, fallida</t>
  </si>
  <si>
    <t>Reunión con Gonzalo sepulveda, Paola y desarollo pra revisar falla que se decubre que es de la app.</t>
  </si>
  <si>
    <t>Reunión revisión de error de app</t>
  </si>
  <si>
    <t>Revisión de fins de solicitud la cual trae errores, se solicita reunión con los solicitantes nstalacion de la FINS adjunta del requerimiento: R1826 Consulta Liquidacion y bloqueo de estado - 147269 -  215</t>
  </si>
  <si>
    <t>240 min</t>
  </si>
  <si>
    <t>Iteraciones de revisiones y pruenas de wsdl con problemas de respuesta de BD</t>
  </si>
  <si>
    <t>Revisiones de servicios de Cambio Forma de Pago</t>
  </si>
  <si>
    <t>alerta: CRITICAL: Connection status '10.200.13.250' on port 7001 is failed: error=Connection refused</t>
  </si>
  <si>
    <t>Conexión ssh y reinicio servicio de weblogic</t>
  </si>
  <si>
    <t>Call IPS/CHA DevOps</t>
  </si>
  <si>
    <t>[IPS AWS LZA] Parte 2 - Validación/Status - Proyectos Adecuación En Curso</t>
  </si>
  <si>
    <t>Ticket 17522 - Respaldo BD</t>
  </si>
  <si>
    <t xml:space="preserve">Reunion de Sub Departamento de Infraestructura y Plataforma </t>
  </si>
  <si>
    <t>Call para reaizar las validaciones internas de las areas involuicradas al proceso de DevOps IPS/CHA</t>
  </si>
  <si>
    <t>Continaucion - Call para revisar temas pendientes y avances asociados a proyectos de adecuacion con AWS</t>
  </si>
  <si>
    <t>SE cra ticket desde area de operaciones IPS para realizar backup de servicio BD</t>
  </si>
  <si>
    <t>Continuacion - Call para verificar y validar los cambios ya resueltos con respecto a la certificacion del ambiente LZA AFPER QA-SIT</t>
  </si>
  <si>
    <t>Reunion de Sub Departamento de Infraestructura y Plataforma correspondiente a defirnir los lineamientos y procesos de unificacion de areas</t>
  </si>
  <si>
    <t>Revisión ambiente DEV, BPM</t>
  </si>
  <si>
    <t xml:space="preserve">Revisión ambiente UAT AFPER </t>
  </si>
  <si>
    <t>Indica que el servidor de bpm en dev no sirve, se le dice que tiene tiempo así y que informe que se le hizo para poder operar</t>
  </si>
  <si>
    <t>Primera iteración de pruebas de los servidores afper uat del aws lz</t>
  </si>
  <si>
    <t>Revisión de eventos en estado Critical y Unknown, validando conectividad, correlación entre servicios, dependencias y descarte de falsos positivos.</t>
  </si>
  <si>
    <t>Análisis de monitoreos críticos y desconocidos</t>
  </si>
  <si>
    <t>Gestión de alertas en VZOR</t>
  </si>
  <si>
    <t>Monitoreo continuo y análisis de alertas en plataforma VZOR, priorizando incidentes críticos y evaluación de impacto operativo.</t>
  </si>
  <si>
    <t>Optimización de plugins de monitoreo</t>
  </si>
  <si>
    <t>Ajuste de umbrales, tuning de plugins y reducción de ruido operacional (alert fatigue) en VZOR.</t>
  </si>
  <si>
    <t>Revisión de infraestructura de servidores</t>
  </si>
  <si>
    <t>Auditoría de cobertura de monitoreo</t>
  </si>
  <si>
    <t>Identificación de servicios sin monitoreo, brechas de cobertura y configuraciones incompletas en la plataforma.</t>
  </si>
  <si>
    <t>Validación del estado de servidores, uso de recursos (CPU, RAM, disco) y correcto funcionamiento de agentes de monitoreo.</t>
  </si>
  <si>
    <t>Alerta en WebServices</t>
  </si>
  <si>
    <t>Alerta en WebService con ticket 17552, corresponden a servicios de Junar, Sibs y RNT</t>
  </si>
  <si>
    <t>Despliegue IAC SrvTransversales</t>
  </si>
  <si>
    <t xml:space="preserve">Reunion de presentacion de equipo infraestructura </t>
  </si>
  <si>
    <t>reunión de de presentacion de equipo, proyectos y estrategias de infraestructura.</t>
  </si>
  <si>
    <t>Necesita PortalPagoWeb.properties de SIT</t>
  </si>
  <si>
    <t>Se modela nueva infraestructura desde terraform para api gateway notibatch QA</t>
  </si>
  <si>
    <t>Se modela nueva infraestructura desde terraform para api gateway pisee Laboral QA</t>
  </si>
  <si>
    <t>Despliegue IAC SrvTransversales/Infraestructura</t>
  </si>
  <si>
    <t>Tiempo estimado 
actividad</t>
  </si>
  <si>
    <t>Estado 
(en proceso, pendiente, finalizado)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</si>
</sst>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yyyy"/>
    <numFmt numFmtId="165" formatCode="dd/mm/yy;@"/>
  </numFmts>
  <fonts count="58"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entury Gothic"/>
      <family val="1"/>
    </font>
    <font>
      <sz val="10"/>
      <color theme="1"/>
      <name val="Century Gothic"/>
      <family val="1"/>
    </font>
    <font>
      <sz val="11"/>
      <color theme="1"/>
      <name val="Calibri"/>
      <family val="2"/>
      <scheme val="minor"/>
    </font>
    <font>
      <b/>
      <sz val="12"/>
      <color theme="0"/>
      <name val="Century Gothic"/>
      <family val="1"/>
    </font>
    <font>
      <sz val="10"/>
      <color rgb="FF000000"/>
      <name val="Arial"/>
      <family val="2"/>
    </font>
    <font>
      <sz val="10"/>
      <color rgb="FF000000"/>
      <name val="Century Gothic"/>
      <family val="1"/>
    </font>
    <font>
      <sz val="12"/>
      <color rgb="FF000000"/>
      <name val="Calibri"/>
      <family val="2"/>
    </font>
    <font>
      <b/>
      <sz val="12"/>
      <color rgb="FFFFFFFF"/>
      <name val="Calibri"/>
      <family val="2"/>
    </font>
    <font>
      <b/>
      <sz val="10"/>
      <color rgb="FF000000"/>
      <name val="Century Gothic"/>
      <family val="2"/>
    </font>
    <font>
      <b/>
      <sz val="11"/>
      <color theme="0"/>
      <name val="Century Gothic"/>
      <family val="1"/>
    </font>
    <font>
      <sz val="11"/>
      <color theme="1"/>
      <name val="Century Gothic"/>
      <family val="1"/>
    </font>
    <font>
      <sz val="11"/>
      <color rgb="FF000000"/>
      <name val="Aptos Narrow"/>
      <family val="2"/>
    </font>
    <font>
      <sz val="10"/>
      <color rgb="FF000000"/>
      <name val="Aptos Narrow"/>
      <family val="2"/>
    </font>
    <font>
      <sz val="12"/>
      <color rgb="FF242424"/>
      <name val="Segoe UI"/>
      <family val="2"/>
    </font>
    <font>
      <sz val="12"/>
      <color rgb="FF000000"/>
      <name val="Aptos"/>
      <family val="2"/>
    </font>
    <font>
      <sz val="12"/>
      <color rgb="FF000000"/>
      <name val="Century Gothic"/>
      <family val="1"/>
    </font>
    <font>
      <sz val="11"/>
      <color rgb="FF242424"/>
      <name val="Aptos"/>
      <family val="2"/>
    </font>
    <font>
      <sz val="12"/>
      <color rgb="FF000000"/>
      <name val="Calibri"/>
      <family val="2"/>
      <scheme val="minor"/>
    </font>
    <font>
      <sz val="8"/>
      <name val="Calibri"/>
      <family val="2"/>
      <scheme val="minor"/>
    </font>
    <font>
      <sz val="10"/>
      <color rgb="FF000000"/>
      <name val="Century Gothic"/>
      <family val="2"/>
    </font>
    <font>
      <b/>
      <sz val="12"/>
      <color theme="1"/>
      <name val="Century Gothic"/>
      <family val="1"/>
    </font>
    <font>
      <sz val="11"/>
      <color rgb="FF000000"/>
      <name val="Calibri"/>
      <family val="2"/>
    </font>
    <font>
      <u/>
      <sz val="12"/>
      <color theme="10"/>
      <name val="Calibri"/>
      <family val="2"/>
      <scheme val="minor"/>
    </font>
    <font>
      <b/>
      <sz val="11"/>
      <color rgb="FF000000"/>
      <name val="Aptos Narrow"/>
      <family val="2"/>
    </font>
    <font>
      <b/>
      <sz val="12"/>
      <color rgb="FFFFFFFF"/>
      <name val="Calibri"/>
      <family val="2"/>
      <scheme val="minor"/>
    </font>
    <font>
      <sz val="11"/>
      <color theme="1"/>
      <name val="Calibri"/>
      <family val="2"/>
      <charset val="1"/>
    </font>
    <font>
      <sz val="11"/>
      <color theme="1"/>
      <name val="Calibri"/>
      <family val="2"/>
    </font>
    <font>
      <sz val="11"/>
      <color rgb="FF242424"/>
      <name val="Aptos Narrow"/>
      <family val="2"/>
    </font>
    <font>
      <b/>
      <sz val="14"/>
      <color rgb="FFFFFFFF"/>
      <name val="Calibri"/>
      <family val="2"/>
    </font>
    <font>
      <b/>
      <sz val="14"/>
      <color rgb="FF000000"/>
      <name val="Calibri"/>
      <family val="2"/>
    </font>
    <font>
      <sz val="12"/>
      <color rgb="FF000000"/>
      <name val="Calibri"/>
    </font>
    <font>
      <b/>
      <sz val="12"/>
      <color rgb="FFFFFFFF"/>
      <name val="Calibri"/>
    </font>
    <font>
      <sz val="12"/>
      <color rgb="FF000000"/>
      <name val="Aptos"/>
      <charset val="1"/>
    </font>
    <font>
      <sz val="10"/>
      <color rgb="FF000000"/>
      <name val="Century Gothic"/>
    </font>
    <font>
      <sz val="12"/>
      <color rgb="FF000000"/>
      <name val="Calibri"/>
      <scheme val="minor"/>
    </font>
    <font>
      <sz val="12"/>
      <color theme="1"/>
      <name val="Calibri"/>
      <scheme val="minor"/>
    </font>
    <font>
      <sz val="11"/>
      <color rgb="FF000000"/>
      <name val="Aptos Narrow"/>
    </font>
    <font>
      <sz val="10"/>
      <color rgb="FF000000"/>
      <name val="Aptos Narrow"/>
    </font>
    <font>
      <sz val="10"/>
      <color rgb="FF000000"/>
      <name val="Arial"/>
    </font>
    <font>
      <b/>
      <sz val="12"/>
      <color theme="0"/>
      <name val="Calibri"/>
      <family val="2"/>
      <scheme val="minor"/>
    </font>
    <font>
      <sz val="10"/>
      <color theme="1"/>
      <name val="Calibri"/>
      <scheme val="minor"/>
    </font>
    <font>
      <b/>
      <sz val="12"/>
      <color theme="0"/>
      <name val="Calibri"/>
      <scheme val="minor"/>
    </font>
    <font>
      <b/>
      <sz val="12"/>
      <color rgb="FFFFFFFF"/>
      <name val="Calibri"/>
      <scheme val="minor"/>
    </font>
    <font>
      <sz val="12"/>
      <color rgb="FF000000"/>
      <name val="Calibri"/>
      <charset val="1"/>
    </font>
    <font>
      <sz val="11"/>
      <color rgb="FF000000"/>
      <name val="Calibri"/>
      <charset val="1"/>
    </font>
    <font>
      <sz val="11"/>
      <color rgb="FF000000"/>
      <name val="Calibri"/>
    </font>
    <font>
      <sz val="10"/>
      <color theme="1"/>
      <name val="Aptos Narrow"/>
      <family val="2"/>
    </font>
    <font>
      <b/>
      <sz val="10"/>
      <color theme="0"/>
      <name val="Aptos Narrow"/>
      <family val="2"/>
    </font>
    <font>
      <sz val="12"/>
      <color theme="1"/>
      <name val="Aptos Narrow"/>
      <family val="2"/>
    </font>
    <font>
      <u/>
      <sz val="12"/>
      <color theme="10"/>
      <name val="Aptos Narrow"/>
      <family val="2"/>
    </font>
    <font>
      <sz val="10"/>
      <color rgb="FF7F7F7F"/>
      <name val="Calibri"/>
      <family val="2"/>
    </font>
    <font>
      <sz val="10"/>
      <color rgb="FF000000"/>
      <name val="Calibri"/>
      <family val="2"/>
    </font>
    <font>
      <sz val="10"/>
      <color theme="1"/>
      <name val="Aptos Narrow"/>
    </font>
    <font>
      <sz val="12"/>
      <color theme="1"/>
      <name val="Aptos Narrow"/>
    </font>
    <font>
      <b/>
      <sz val="11"/>
      <color rgb="FFFFFFFF"/>
      <name val="Calibri"/>
    </font>
  </fonts>
  <fills count="23">
    <fill>
      <patternFill patternType="none"/>
    </fill>
    <fill>
      <patternFill patternType="gray125"/>
    </fill>
    <fill>
      <patternFill patternType="solid">
        <fgColor theme="0"/>
        <bgColor indexed="64"/>
      </patternFill>
    </fill>
    <fill>
      <patternFill patternType="solid">
        <fgColor theme="9" tint="-0.499984740745262"/>
        <bgColor indexed="64"/>
      </patternFill>
    </fill>
    <fill>
      <patternFill patternType="solid">
        <fgColor rgb="FFB7E1CD"/>
        <bgColor rgb="FF000000"/>
      </patternFill>
    </fill>
    <fill>
      <patternFill patternType="solid">
        <fgColor rgb="FF92D050"/>
        <bgColor rgb="FF000000"/>
      </patternFill>
    </fill>
    <fill>
      <patternFill patternType="solid">
        <fgColor rgb="FF92D050"/>
        <bgColor indexed="64"/>
      </patternFill>
    </fill>
    <fill>
      <patternFill patternType="solid">
        <fgColor rgb="FFFF0000"/>
        <bgColor rgb="FF000000"/>
      </patternFill>
    </fill>
    <fill>
      <patternFill patternType="solid">
        <fgColor rgb="FFFFFF00"/>
        <bgColor rgb="FF000000"/>
      </patternFill>
    </fill>
    <fill>
      <patternFill patternType="solid">
        <fgColor rgb="FFFF3300"/>
        <bgColor rgb="FF000000"/>
      </patternFill>
    </fill>
    <fill>
      <patternFill patternType="solid">
        <fgColor rgb="FFFFFFFF"/>
        <bgColor rgb="FF000000"/>
      </patternFill>
    </fill>
    <fill>
      <patternFill patternType="solid">
        <fgColor rgb="FFFFFF00"/>
        <bgColor indexed="64"/>
      </patternFill>
    </fill>
    <fill>
      <patternFill patternType="solid">
        <fgColor rgb="FFFF0000"/>
        <bgColor indexed="64"/>
      </patternFill>
    </fill>
    <fill>
      <patternFill patternType="solid">
        <fgColor rgb="FFFF3300"/>
        <bgColor indexed="64"/>
      </patternFill>
    </fill>
    <fill>
      <patternFill patternType="solid">
        <fgColor theme="4"/>
        <bgColor indexed="64"/>
      </patternFill>
    </fill>
    <fill>
      <patternFill patternType="solid">
        <fgColor rgb="FF0070C0"/>
        <bgColor rgb="FF000000"/>
      </patternFill>
    </fill>
    <fill>
      <patternFill patternType="solid">
        <fgColor rgb="FF0070C0"/>
        <bgColor indexed="64"/>
      </patternFill>
    </fill>
    <fill>
      <patternFill patternType="solid">
        <fgColor theme="4" tint="-0.249977111117893"/>
        <bgColor indexed="64"/>
      </patternFill>
    </fill>
    <fill>
      <patternFill patternType="solid">
        <fgColor rgb="FFFFC000"/>
        <bgColor rgb="FF000000"/>
      </patternFill>
    </fill>
    <fill>
      <patternFill patternType="solid">
        <fgColor rgb="FF305496"/>
        <bgColor rgb="FF000000"/>
      </patternFill>
    </fill>
    <fill>
      <patternFill patternType="solid">
        <fgColor rgb="FFFFFFFF"/>
        <bgColor indexed="64"/>
      </patternFill>
    </fill>
    <fill>
      <patternFill patternType="solid">
        <fgColor rgb="FF375623"/>
        <bgColor rgb="FF000000"/>
      </patternFill>
    </fill>
    <fill>
      <patternFill patternType="solid">
        <fgColor theme="9"/>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medium">
        <color rgb="FF000000"/>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rgb="FF000000"/>
      </top>
      <bottom/>
      <diagonal/>
    </border>
    <border>
      <left style="thin">
        <color indexed="64"/>
      </left>
      <right/>
      <top/>
      <bottom/>
      <diagonal/>
    </border>
    <border>
      <left style="thin">
        <color indexed="64"/>
      </left>
      <right/>
      <top/>
      <bottom style="thin">
        <color rgb="FF000000"/>
      </bottom>
      <diagonal/>
    </border>
    <border>
      <left style="thin">
        <color rgb="FF000000"/>
      </left>
      <right/>
      <top/>
      <bottom/>
      <diagonal/>
    </border>
    <border>
      <left style="dotted">
        <color rgb="FF000000"/>
      </left>
      <right style="dotted">
        <color rgb="FF000000"/>
      </right>
      <top style="dotted">
        <color rgb="FF000000"/>
      </top>
      <bottom style="dotted">
        <color rgb="FF000000"/>
      </bottom>
      <diagonal/>
    </border>
    <border>
      <left/>
      <right/>
      <top/>
      <bottom style="thin">
        <color indexed="64"/>
      </bottom>
      <diagonal/>
    </border>
  </borders>
  <cellStyleXfs count="3">
    <xf numFmtId="0" fontId="0" fillId="0" borderId="0"/>
    <xf numFmtId="0" fontId="5" fillId="0" borderId="0"/>
    <xf numFmtId="0" fontId="25" fillId="0" borderId="0" applyNumberFormat="0" applyFill="0" applyBorder="0" applyAlignment="0" applyProtection="0"/>
  </cellStyleXfs>
  <cellXfs count="424">
    <xf numFmtId="0" fontId="0" fillId="0" borderId="0" xfId="0"/>
    <xf numFmtId="0" fontId="3" fillId="2" borderId="0" xfId="0" applyFont="1" applyFill="1" applyAlignment="1">
      <alignment horizontal="left" indent="1"/>
    </xf>
    <xf numFmtId="0" fontId="3" fillId="0" borderId="0" xfId="0" applyFont="1" applyAlignment="1">
      <alignment horizontal="left" indent="1"/>
    </xf>
    <xf numFmtId="0" fontId="4" fillId="2" borderId="0" xfId="0" applyFont="1" applyFill="1" applyAlignment="1">
      <alignment horizontal="left" indent="1"/>
    </xf>
    <xf numFmtId="0" fontId="4" fillId="0" borderId="0" xfId="0" applyFont="1" applyAlignment="1">
      <alignment horizontal="left" indent="1"/>
    </xf>
    <xf numFmtId="0" fontId="0" fillId="0" borderId="1" xfId="0" applyBorder="1"/>
    <xf numFmtId="0" fontId="0" fillId="0" borderId="1" xfId="0" applyBorder="1" applyAlignment="1">
      <alignment horizontal="center" vertical="center"/>
    </xf>
    <xf numFmtId="0" fontId="3" fillId="0" borderId="1" xfId="0" applyFont="1" applyBorder="1" applyAlignment="1">
      <alignment horizontal="left" indent="1"/>
    </xf>
    <xf numFmtId="0" fontId="6" fillId="3" borderId="1" xfId="0" applyFont="1" applyFill="1" applyBorder="1" applyAlignment="1">
      <alignment horizontal="center" vertical="center" wrapText="1"/>
    </xf>
    <xf numFmtId="164" fontId="0" fillId="0" borderId="1" xfId="0" applyNumberFormat="1" applyBorder="1" applyAlignment="1">
      <alignment horizontal="center"/>
    </xf>
    <xf numFmtId="0" fontId="3" fillId="0" borderId="1" xfId="0" applyFont="1" applyBorder="1" applyAlignment="1">
      <alignment horizontal="center"/>
    </xf>
    <xf numFmtId="0" fontId="3" fillId="0" borderId="0" xfId="0" applyFont="1" applyAlignment="1">
      <alignment horizontal="center"/>
    </xf>
    <xf numFmtId="0" fontId="3" fillId="0" borderId="0" xfId="0" applyFont="1" applyAlignment="1">
      <alignment horizontal="left" wrapText="1"/>
    </xf>
    <xf numFmtId="14" fontId="7" fillId="0" borderId="2" xfId="0" applyNumberFormat="1" applyFont="1" applyBorder="1"/>
    <xf numFmtId="0" fontId="7" fillId="0" borderId="2" xfId="0" applyFont="1" applyBorder="1"/>
    <xf numFmtId="0" fontId="3" fillId="0" borderId="3" xfId="0" applyFont="1" applyBorder="1" applyAlignment="1">
      <alignment horizontal="left" indent="1"/>
    </xf>
    <xf numFmtId="0" fontId="0" fillId="0" borderId="0" xfId="0" applyAlignment="1">
      <alignment vertical="top"/>
    </xf>
    <xf numFmtId="14" fontId="0" fillId="0" borderId="1" xfId="0" applyNumberFormat="1" applyBorder="1" applyAlignment="1">
      <alignment horizontal="center" vertical="top"/>
    </xf>
    <xf numFmtId="0" fontId="0" fillId="0" borderId="1" xfId="0" applyBorder="1" applyAlignment="1">
      <alignment vertical="top"/>
    </xf>
    <xf numFmtId="0" fontId="0" fillId="0" borderId="1" xfId="0" applyBorder="1" applyAlignment="1">
      <alignment horizontal="center" vertical="top"/>
    </xf>
    <xf numFmtId="0" fontId="0" fillId="0" borderId="1" xfId="0" applyBorder="1" applyAlignment="1">
      <alignment vertical="top" wrapText="1"/>
    </xf>
    <xf numFmtId="0" fontId="3" fillId="2" borderId="0" xfId="0" applyFont="1" applyFill="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3" fillId="0" borderId="0" xfId="0" applyFont="1" applyAlignment="1">
      <alignment horizontal="left" vertical="top"/>
    </xf>
    <xf numFmtId="14" fontId="9" fillId="0" borderId="1" xfId="0" applyNumberFormat="1" applyFont="1" applyBorder="1"/>
    <xf numFmtId="0" fontId="9" fillId="0" borderId="4" xfId="0" applyFont="1" applyBorder="1"/>
    <xf numFmtId="17" fontId="9" fillId="0" borderId="4" xfId="0" applyNumberFormat="1" applyFont="1" applyBorder="1"/>
    <xf numFmtId="14" fontId="9" fillId="0" borderId="3" xfId="0" applyNumberFormat="1" applyFont="1" applyBorder="1"/>
    <xf numFmtId="0" fontId="9" fillId="0" borderId="6" xfId="0" applyFont="1" applyBorder="1"/>
    <xf numFmtId="17" fontId="9" fillId="0" borderId="6" xfId="0" applyNumberFormat="1" applyFont="1" applyBorder="1"/>
    <xf numFmtId="0" fontId="0" fillId="6" borderId="0" xfId="0" applyFill="1" applyAlignment="1">
      <alignment vertical="top"/>
    </xf>
    <xf numFmtId="0" fontId="3" fillId="6" borderId="0" xfId="0" applyFont="1" applyFill="1" applyAlignment="1">
      <alignment horizontal="left" vertical="top"/>
    </xf>
    <xf numFmtId="0" fontId="9" fillId="0" borderId="0" xfId="0" applyFont="1"/>
    <xf numFmtId="0" fontId="9" fillId="0" borderId="6" xfId="0" applyFont="1" applyBorder="1" applyAlignment="1">
      <alignment wrapText="1"/>
    </xf>
    <xf numFmtId="0" fontId="12" fillId="3" borderId="1" xfId="0" applyFont="1" applyFill="1" applyBorder="1" applyAlignment="1">
      <alignment horizontal="center" vertical="center" wrapText="1"/>
    </xf>
    <xf numFmtId="0" fontId="13" fillId="0" borderId="1" xfId="0" applyFont="1" applyBorder="1" applyAlignment="1">
      <alignment horizontal="left" indent="1"/>
    </xf>
    <xf numFmtId="0" fontId="13" fillId="0" borderId="0" xfId="0" applyFont="1" applyAlignment="1">
      <alignment horizontal="left" indent="1"/>
    </xf>
    <xf numFmtId="0" fontId="0" fillId="0" borderId="17" xfId="0" applyBorder="1"/>
    <xf numFmtId="0" fontId="10" fillId="9" borderId="1" xfId="0" applyFont="1" applyFill="1" applyBorder="1" applyAlignment="1">
      <alignment horizontal="center" vertical="center"/>
    </xf>
    <xf numFmtId="0" fontId="7" fillId="0" borderId="18" xfId="0" applyFont="1" applyBorder="1"/>
    <xf numFmtId="3" fontId="0" fillId="0" borderId="0" xfId="0" applyNumberFormat="1"/>
    <xf numFmtId="0" fontId="3" fillId="11" borderId="0" xfId="0" applyFont="1" applyFill="1" applyAlignment="1">
      <alignment horizontal="left" vertical="top"/>
    </xf>
    <xf numFmtId="14" fontId="3" fillId="0" borderId="1" xfId="0" applyNumberFormat="1" applyFont="1" applyBorder="1" applyAlignment="1">
      <alignment horizontal="center"/>
    </xf>
    <xf numFmtId="14" fontId="9" fillId="0" borderId="3" xfId="0" applyNumberFormat="1" applyFont="1" applyBorder="1" applyAlignment="1">
      <alignment horizontal="center"/>
    </xf>
    <xf numFmtId="17" fontId="9" fillId="0" borderId="6" xfId="0" applyNumberFormat="1" applyFont="1" applyBorder="1" applyAlignment="1">
      <alignment horizontal="center"/>
    </xf>
    <xf numFmtId="14" fontId="0" fillId="0" borderId="1" xfId="0" applyNumberFormat="1" applyBorder="1" applyAlignment="1">
      <alignment horizontal="center"/>
    </xf>
    <xf numFmtId="0" fontId="10" fillId="5" borderId="1" xfId="0" applyFont="1" applyFill="1" applyBorder="1" applyAlignment="1">
      <alignment horizontal="center"/>
    </xf>
    <xf numFmtId="14" fontId="9" fillId="0" borderId="1" xfId="0" applyNumberFormat="1" applyFont="1" applyBorder="1" applyAlignment="1">
      <alignment horizontal="center"/>
    </xf>
    <xf numFmtId="17" fontId="9" fillId="0" borderId="4" xfId="0" applyNumberFormat="1" applyFont="1" applyBorder="1" applyAlignment="1">
      <alignment horizontal="center"/>
    </xf>
    <xf numFmtId="0" fontId="16" fillId="0" borderId="1" xfId="0" applyFont="1" applyBorder="1"/>
    <xf numFmtId="0" fontId="17" fillId="0" borderId="1" xfId="0" applyFont="1" applyBorder="1"/>
    <xf numFmtId="0" fontId="17" fillId="0" borderId="6" xfId="0" applyFont="1" applyBorder="1"/>
    <xf numFmtId="0" fontId="9" fillId="0" borderId="3" xfId="0" applyFont="1" applyBorder="1"/>
    <xf numFmtId="0" fontId="20" fillId="0" borderId="0" xfId="0" applyFont="1"/>
    <xf numFmtId="0" fontId="19" fillId="0" borderId="2" xfId="0" applyFont="1" applyBorder="1"/>
    <xf numFmtId="0" fontId="0" fillId="0" borderId="2" xfId="0" applyBorder="1"/>
    <xf numFmtId="0" fontId="0" fillId="0" borderId="19" xfId="0" applyBorder="1"/>
    <xf numFmtId="0" fontId="0" fillId="0" borderId="5" xfId="0" applyBorder="1"/>
    <xf numFmtId="0" fontId="0" fillId="0" borderId="3" xfId="0" applyBorder="1"/>
    <xf numFmtId="0" fontId="24" fillId="0" borderId="0" xfId="0" applyFont="1"/>
    <xf numFmtId="14" fontId="0" fillId="11" borderId="1" xfId="0" applyNumberFormat="1" applyFill="1" applyBorder="1" applyAlignment="1">
      <alignment horizontal="center" vertical="top"/>
    </xf>
    <xf numFmtId="0" fontId="0" fillId="0" borderId="1" xfId="0" applyBorder="1" applyAlignment="1">
      <alignment wrapText="1"/>
    </xf>
    <xf numFmtId="0" fontId="10" fillId="5" borderId="2" xfId="0" applyFont="1" applyFill="1" applyBorder="1" applyAlignment="1">
      <alignment horizontal="center"/>
    </xf>
    <xf numFmtId="0" fontId="0" fillId="0" borderId="2" xfId="0" applyBorder="1" applyAlignment="1">
      <alignment horizontal="center" vertical="top"/>
    </xf>
    <xf numFmtId="14" fontId="0" fillId="0" borderId="2" xfId="0" applyNumberFormat="1" applyBorder="1" applyAlignment="1">
      <alignment horizontal="center"/>
    </xf>
    <xf numFmtId="0" fontId="3" fillId="0" borderId="4" xfId="0" applyFont="1" applyBorder="1" applyAlignment="1">
      <alignment horizontal="left" indent="1"/>
    </xf>
    <xf numFmtId="0" fontId="24" fillId="0" borderId="1" xfId="0" applyFont="1" applyBorder="1"/>
    <xf numFmtId="0" fontId="24" fillId="0" borderId="4" xfId="0" applyFont="1" applyBorder="1"/>
    <xf numFmtId="0" fontId="24" fillId="0" borderId="3" xfId="0" applyFont="1" applyBorder="1"/>
    <xf numFmtId="0" fontId="24" fillId="0" borderId="6" xfId="0" applyFont="1" applyBorder="1"/>
    <xf numFmtId="17" fontId="9" fillId="0" borderId="2" xfId="0" applyNumberFormat="1" applyFont="1" applyBorder="1" applyAlignment="1">
      <alignment horizontal="center"/>
    </xf>
    <xf numFmtId="17" fontId="9" fillId="0" borderId="6" xfId="0" applyNumberFormat="1" applyFont="1" applyBorder="1" applyAlignment="1">
      <alignment horizontal="center" vertical="top"/>
    </xf>
    <xf numFmtId="0" fontId="9" fillId="0" borderId="6" xfId="0" applyFont="1" applyBorder="1" applyAlignment="1">
      <alignment vertical="top"/>
    </xf>
    <xf numFmtId="14" fontId="9" fillId="0" borderId="2" xfId="0" applyNumberFormat="1" applyFont="1" applyBorder="1" applyAlignment="1">
      <alignment horizontal="center"/>
    </xf>
    <xf numFmtId="0" fontId="9" fillId="0" borderId="2" xfId="0" applyFont="1" applyBorder="1"/>
    <xf numFmtId="0" fontId="16" fillId="0" borderId="0" xfId="0" applyFont="1"/>
    <xf numFmtId="0" fontId="10" fillId="5" borderId="4" xfId="0" applyFont="1" applyFill="1" applyBorder="1"/>
    <xf numFmtId="0" fontId="10" fillId="5" borderId="6" xfId="0" applyFont="1" applyFill="1" applyBorder="1"/>
    <xf numFmtId="0" fontId="10" fillId="7" borderId="1" xfId="0" applyFont="1" applyFill="1" applyBorder="1"/>
    <xf numFmtId="0" fontId="3" fillId="0" borderId="20" xfId="0" applyFont="1" applyBorder="1" applyAlignment="1">
      <alignment horizontal="left" indent="1"/>
    </xf>
    <xf numFmtId="0" fontId="3" fillId="0" borderId="19" xfId="0" applyFont="1" applyBorder="1" applyAlignment="1">
      <alignment horizontal="left" indent="1"/>
    </xf>
    <xf numFmtId="0" fontId="3" fillId="0" borderId="5" xfId="0" applyFont="1" applyBorder="1" applyAlignment="1">
      <alignment horizontal="left" indent="1"/>
    </xf>
    <xf numFmtId="0" fontId="3" fillId="0" borderId="21" xfId="0" applyFont="1" applyBorder="1" applyAlignment="1">
      <alignment horizontal="left" indent="1"/>
    </xf>
    <xf numFmtId="164" fontId="0" fillId="0" borderId="19" xfId="0" applyNumberFormat="1" applyBorder="1" applyAlignment="1">
      <alignment horizontal="center"/>
    </xf>
    <xf numFmtId="0" fontId="0" fillId="0" borderId="4" xfId="0" applyBorder="1"/>
    <xf numFmtId="0" fontId="25" fillId="0" borderId="0" xfId="2"/>
    <xf numFmtId="0" fontId="0" fillId="0" borderId="2" xfId="0" applyBorder="1" applyAlignment="1">
      <alignment wrapText="1"/>
    </xf>
    <xf numFmtId="0" fontId="3" fillId="0" borderId="2" xfId="0" applyFont="1" applyBorder="1" applyAlignment="1">
      <alignment horizontal="left" indent="1"/>
    </xf>
    <xf numFmtId="0" fontId="27" fillId="5" borderId="1" xfId="0" applyFont="1" applyFill="1" applyBorder="1"/>
    <xf numFmtId="0" fontId="3" fillId="14" borderId="0" xfId="0" applyFont="1" applyFill="1" applyAlignment="1">
      <alignment horizontal="left" vertical="top"/>
    </xf>
    <xf numFmtId="14" fontId="0" fillId="14" borderId="1" xfId="0" applyNumberFormat="1" applyFill="1" applyBorder="1" applyAlignment="1">
      <alignment horizontal="center" vertical="top"/>
    </xf>
    <xf numFmtId="0" fontId="0" fillId="14" borderId="1" xfId="0" applyFill="1" applyBorder="1" applyAlignment="1">
      <alignment horizontal="center" vertical="top"/>
    </xf>
    <xf numFmtId="0" fontId="0" fillId="14" borderId="1" xfId="0" applyFill="1" applyBorder="1" applyAlignment="1">
      <alignment horizontal="left" vertical="top"/>
    </xf>
    <xf numFmtId="0" fontId="0" fillId="14" borderId="1" xfId="0" applyFill="1" applyBorder="1" applyAlignment="1">
      <alignment horizontal="left" vertical="top" wrapText="1"/>
    </xf>
    <xf numFmtId="17" fontId="0" fillId="0" borderId="1" xfId="0" applyNumberFormat="1" applyBorder="1" applyAlignment="1">
      <alignment horizontal="center" vertical="top"/>
    </xf>
    <xf numFmtId="0" fontId="28" fillId="0" borderId="0" xfId="0" applyFont="1"/>
    <xf numFmtId="0" fontId="28" fillId="0" borderId="2" xfId="0" applyFont="1" applyBorder="1"/>
    <xf numFmtId="0" fontId="24" fillId="0" borderId="25" xfId="0" applyFont="1" applyBorder="1"/>
    <xf numFmtId="0" fontId="24" fillId="0" borderId="26" xfId="0" applyFont="1" applyBorder="1"/>
    <xf numFmtId="0" fontId="28" fillId="0" borderId="18" xfId="0" applyFont="1" applyBorder="1"/>
    <xf numFmtId="0" fontId="29" fillId="0" borderId="2" xfId="0" applyFont="1" applyBorder="1"/>
    <xf numFmtId="14" fontId="3" fillId="0" borderId="0" xfId="0" applyNumberFormat="1" applyFont="1" applyAlignment="1">
      <alignment horizontal="center"/>
    </xf>
    <xf numFmtId="14" fontId="24" fillId="0" borderId="4" xfId="0" applyNumberFormat="1" applyFont="1" applyBorder="1"/>
    <xf numFmtId="0" fontId="0" fillId="0" borderId="2" xfId="0" applyBorder="1" applyAlignment="1">
      <alignment vertical="top" wrapText="1"/>
    </xf>
    <xf numFmtId="14" fontId="0" fillId="0" borderId="2" xfId="0" applyNumberFormat="1" applyBorder="1" applyAlignment="1">
      <alignment horizontal="center" vertical="top"/>
    </xf>
    <xf numFmtId="0" fontId="0" fillId="0" borderId="2" xfId="0" applyBorder="1" applyAlignment="1">
      <alignment vertical="top"/>
    </xf>
    <xf numFmtId="0" fontId="0" fillId="11" borderId="2" xfId="0" applyFill="1" applyBorder="1" applyAlignment="1">
      <alignment horizontal="center" vertical="top"/>
    </xf>
    <xf numFmtId="0" fontId="0" fillId="0" borderId="19" xfId="0" applyBorder="1" applyAlignment="1">
      <alignment horizontal="center" vertical="center"/>
    </xf>
    <xf numFmtId="0" fontId="31" fillId="15" borderId="8" xfId="0" applyFont="1" applyFill="1" applyBorder="1"/>
    <xf numFmtId="0" fontId="9" fillId="0" borderId="13" xfId="0" applyFont="1" applyBorder="1"/>
    <xf numFmtId="14" fontId="9" fillId="0" borderId="14" xfId="0" applyNumberFormat="1" applyFont="1" applyBorder="1"/>
    <xf numFmtId="0" fontId="9" fillId="0" borderId="10" xfId="0" applyFont="1" applyBorder="1"/>
    <xf numFmtId="14" fontId="9" fillId="0" borderId="11" xfId="0" applyNumberFormat="1" applyFont="1" applyBorder="1"/>
    <xf numFmtId="0" fontId="31" fillId="15" borderId="15" xfId="0" applyFont="1" applyFill="1" applyBorder="1"/>
    <xf numFmtId="14" fontId="24" fillId="0" borderId="2" xfId="0" applyNumberFormat="1" applyFont="1" applyBorder="1"/>
    <xf numFmtId="0" fontId="30" fillId="0" borderId="2" xfId="0" applyFont="1" applyBorder="1"/>
    <xf numFmtId="14" fontId="24" fillId="0" borderId="24" xfId="0" applyNumberFormat="1" applyFont="1" applyBorder="1"/>
    <xf numFmtId="0" fontId="24" fillId="0" borderId="16" xfId="0" applyFont="1" applyBorder="1"/>
    <xf numFmtId="14" fontId="24" fillId="0" borderId="6" xfId="0" applyNumberFormat="1" applyFont="1" applyBorder="1"/>
    <xf numFmtId="0" fontId="3" fillId="11" borderId="0" xfId="0" applyFont="1" applyFill="1" applyAlignment="1">
      <alignment horizontal="left" indent="1"/>
    </xf>
    <xf numFmtId="14" fontId="3" fillId="11" borderId="1" xfId="0" applyNumberFormat="1" applyFont="1" applyFill="1" applyBorder="1" applyAlignment="1">
      <alignment horizontal="center"/>
    </xf>
    <xf numFmtId="0" fontId="3" fillId="11" borderId="1" xfId="0" applyFont="1" applyFill="1" applyBorder="1" applyAlignment="1">
      <alignment horizontal="left" indent="1"/>
    </xf>
    <xf numFmtId="0" fontId="3" fillId="16" borderId="0" xfId="0" applyFont="1" applyFill="1" applyAlignment="1">
      <alignment horizontal="left" vertical="top"/>
    </xf>
    <xf numFmtId="14" fontId="0" fillId="16" borderId="1" xfId="0" applyNumberFormat="1" applyFill="1" applyBorder="1" applyAlignment="1">
      <alignment horizontal="center" vertical="top"/>
    </xf>
    <xf numFmtId="17" fontId="0" fillId="16" borderId="1" xfId="0" applyNumberFormat="1" applyFill="1" applyBorder="1" applyAlignment="1">
      <alignment horizontal="center" vertical="top"/>
    </xf>
    <xf numFmtId="0" fontId="0" fillId="16" borderId="1" xfId="0" applyFill="1" applyBorder="1" applyAlignment="1">
      <alignment horizontal="left" vertical="top"/>
    </xf>
    <xf numFmtId="0" fontId="0" fillId="16" borderId="1" xfId="0" applyFill="1" applyBorder="1" applyAlignment="1">
      <alignment vertical="top"/>
    </xf>
    <xf numFmtId="0" fontId="0" fillId="16" borderId="1" xfId="0" applyFill="1" applyBorder="1" applyAlignment="1">
      <alignment horizontal="left" vertical="top" wrapText="1"/>
    </xf>
    <xf numFmtId="0" fontId="3" fillId="17" borderId="0" xfId="0" applyFont="1" applyFill="1" applyAlignment="1">
      <alignment horizontal="left" vertical="top"/>
    </xf>
    <xf numFmtId="14" fontId="0" fillId="17" borderId="1" xfId="0" applyNumberFormat="1" applyFill="1" applyBorder="1" applyAlignment="1">
      <alignment horizontal="center" vertical="top"/>
    </xf>
    <xf numFmtId="17" fontId="0" fillId="17" borderId="1" xfId="0" applyNumberFormat="1" applyFill="1" applyBorder="1" applyAlignment="1">
      <alignment horizontal="center" vertical="top"/>
    </xf>
    <xf numFmtId="0" fontId="0" fillId="17" borderId="1" xfId="0" applyFill="1" applyBorder="1" applyAlignment="1">
      <alignment horizontal="left" vertical="top"/>
    </xf>
    <xf numFmtId="0" fontId="0" fillId="17" borderId="1" xfId="0" applyFill="1" applyBorder="1" applyAlignment="1">
      <alignment horizontal="left" vertical="top" wrapText="1"/>
    </xf>
    <xf numFmtId="0" fontId="20" fillId="0" borderId="6" xfId="0" applyFont="1" applyBorder="1"/>
    <xf numFmtId="14" fontId="9" fillId="0" borderId="0" xfId="0" applyNumberFormat="1" applyFont="1"/>
    <xf numFmtId="0" fontId="32" fillId="0" borderId="0" xfId="0" applyFont="1"/>
    <xf numFmtId="0" fontId="10" fillId="12" borderId="2" xfId="0" applyFont="1" applyFill="1" applyBorder="1" applyAlignment="1">
      <alignment horizontal="center"/>
    </xf>
    <xf numFmtId="165" fontId="0" fillId="0" borderId="2" xfId="0" applyNumberFormat="1" applyBorder="1" applyAlignment="1">
      <alignment horizontal="center"/>
    </xf>
    <xf numFmtId="14" fontId="24" fillId="0" borderId="1" xfId="0" applyNumberFormat="1" applyFont="1" applyBorder="1"/>
    <xf numFmtId="14" fontId="24" fillId="0" borderId="3" xfId="0" applyNumberFormat="1" applyFont="1" applyBorder="1"/>
    <xf numFmtId="14" fontId="24" fillId="0" borderId="16" xfId="0" applyNumberFormat="1" applyFont="1" applyBorder="1"/>
    <xf numFmtId="0" fontId="31" fillId="15" borderId="9" xfId="0" applyFont="1" applyFill="1" applyBorder="1" applyAlignment="1">
      <alignment horizontal="center"/>
    </xf>
    <xf numFmtId="0" fontId="31" fillId="15" borderId="28" xfId="0" applyFont="1" applyFill="1" applyBorder="1" applyAlignment="1">
      <alignment horizontal="center"/>
    </xf>
    <xf numFmtId="0" fontId="9" fillId="0" borderId="29" xfId="0" applyFont="1" applyBorder="1"/>
    <xf numFmtId="0" fontId="9" fillId="0" borderId="30" xfId="0" applyFont="1" applyBorder="1"/>
    <xf numFmtId="0" fontId="9" fillId="0" borderId="30" xfId="0" applyFont="1" applyBorder="1" applyAlignment="1">
      <alignment wrapText="1"/>
    </xf>
    <xf numFmtId="0" fontId="9" fillId="0" borderId="31" xfId="0" applyFont="1" applyBorder="1"/>
    <xf numFmtId="0" fontId="31" fillId="15" borderId="35" xfId="0" applyFont="1" applyFill="1" applyBorder="1" applyAlignment="1">
      <alignment horizontal="center"/>
    </xf>
    <xf numFmtId="0" fontId="9" fillId="0" borderId="32" xfId="0" applyFont="1" applyBorder="1" applyAlignment="1">
      <alignment horizontal="center" vertical="center"/>
    </xf>
    <xf numFmtId="0" fontId="9" fillId="0" borderId="36" xfId="0" applyFont="1" applyBorder="1" applyAlignment="1">
      <alignment horizontal="center" vertical="center"/>
    </xf>
    <xf numFmtId="0" fontId="9" fillId="0" borderId="32" xfId="0" applyFont="1" applyBorder="1" applyAlignment="1">
      <alignment horizontal="center" vertical="center" wrapText="1"/>
    </xf>
    <xf numFmtId="0" fontId="9" fillId="0" borderId="39"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40" xfId="0" applyFont="1" applyBorder="1" applyAlignment="1">
      <alignment horizontal="center" vertical="center"/>
    </xf>
    <xf numFmtId="0" fontId="9" fillId="0" borderId="37" xfId="0" applyFont="1" applyBorder="1" applyAlignment="1">
      <alignment horizontal="center" vertical="center" wrapText="1"/>
    </xf>
    <xf numFmtId="0" fontId="9" fillId="0" borderId="34" xfId="0" applyFont="1" applyBorder="1" applyAlignment="1">
      <alignment horizontal="center" vertical="center"/>
    </xf>
    <xf numFmtId="0" fontId="9" fillId="0" borderId="38" xfId="0" applyFont="1" applyBorder="1" applyAlignment="1">
      <alignment horizontal="center" vertical="center"/>
    </xf>
    <xf numFmtId="0" fontId="9" fillId="0" borderId="41" xfId="0" applyFont="1" applyBorder="1" applyAlignment="1">
      <alignment horizontal="center" vertical="center"/>
    </xf>
    <xf numFmtId="0" fontId="32" fillId="0" borderId="9" xfId="0" applyFont="1" applyBorder="1" applyAlignment="1">
      <alignment horizontal="center"/>
    </xf>
    <xf numFmtId="0" fontId="32" fillId="0" borderId="12" xfId="0" applyFont="1" applyBorder="1" applyAlignment="1">
      <alignment horizontal="center"/>
    </xf>
    <xf numFmtId="14" fontId="20" fillId="0" borderId="1" xfId="0" applyNumberFormat="1" applyFont="1" applyBorder="1"/>
    <xf numFmtId="0" fontId="20" fillId="0" borderId="4" xfId="0" applyFont="1" applyBorder="1"/>
    <xf numFmtId="14" fontId="20" fillId="0" borderId="3" xfId="0" applyNumberFormat="1" applyFont="1" applyBorder="1"/>
    <xf numFmtId="0" fontId="20" fillId="0" borderId="3" xfId="0" applyFont="1" applyBorder="1"/>
    <xf numFmtId="17" fontId="9" fillId="0" borderId="2" xfId="0" applyNumberFormat="1" applyFont="1" applyBorder="1" applyAlignment="1">
      <alignment horizontal="center" vertical="top"/>
    </xf>
    <xf numFmtId="0" fontId="24" fillId="0" borderId="6" xfId="0" applyFont="1" applyBorder="1" applyAlignment="1">
      <alignment vertical="top"/>
    </xf>
    <xf numFmtId="0" fontId="10" fillId="0" borderId="2" xfId="0" applyFont="1" applyBorder="1" applyAlignment="1">
      <alignment horizontal="center"/>
    </xf>
    <xf numFmtId="0" fontId="10" fillId="5" borderId="18" xfId="0" applyFont="1" applyFill="1" applyBorder="1" applyAlignment="1">
      <alignment horizontal="center"/>
    </xf>
    <xf numFmtId="0" fontId="24" fillId="0" borderId="2" xfId="0" applyFont="1" applyBorder="1"/>
    <xf numFmtId="0" fontId="10" fillId="5" borderId="7" xfId="0" applyFont="1" applyFill="1" applyBorder="1" applyAlignment="1">
      <alignment horizontal="center"/>
    </xf>
    <xf numFmtId="14" fontId="3" fillId="0" borderId="2" xfId="0" applyNumberFormat="1" applyFont="1" applyBorder="1" applyAlignment="1">
      <alignment horizontal="center"/>
    </xf>
    <xf numFmtId="0" fontId="18" fillId="19" borderId="0" xfId="0" applyFont="1" applyFill="1"/>
    <xf numFmtId="0" fontId="33" fillId="19" borderId="1" xfId="0" applyFont="1" applyFill="1" applyBorder="1"/>
    <xf numFmtId="0" fontId="33" fillId="19" borderId="4" xfId="0" applyFont="1" applyFill="1" applyBorder="1"/>
    <xf numFmtId="0" fontId="33" fillId="19" borderId="4" xfId="0" quotePrefix="1" applyFont="1" applyFill="1" applyBorder="1"/>
    <xf numFmtId="0" fontId="33" fillId="19" borderId="4" xfId="0" applyFont="1" applyFill="1" applyBorder="1" applyAlignment="1">
      <alignment wrapText="1"/>
    </xf>
    <xf numFmtId="0" fontId="18" fillId="10" borderId="0" xfId="0" applyFont="1" applyFill="1"/>
    <xf numFmtId="0" fontId="33" fillId="0" borderId="3" xfId="0" applyFont="1" applyBorder="1"/>
    <xf numFmtId="14" fontId="33" fillId="0" borderId="3" xfId="0" applyNumberFormat="1" applyFont="1" applyBorder="1"/>
    <xf numFmtId="0" fontId="33" fillId="0" borderId="6" xfId="0" applyFont="1" applyBorder="1"/>
    <xf numFmtId="17" fontId="33" fillId="0" borderId="6" xfId="0" applyNumberFormat="1" applyFont="1" applyBorder="1"/>
    <xf numFmtId="0" fontId="34" fillId="5" borderId="1" xfId="0" applyFont="1" applyFill="1" applyBorder="1"/>
    <xf numFmtId="0" fontId="33" fillId="0" borderId="6" xfId="0" applyFont="1" applyBorder="1" applyAlignment="1">
      <alignment wrapText="1"/>
    </xf>
    <xf numFmtId="0" fontId="3" fillId="0" borderId="1" xfId="0" applyFont="1" applyBorder="1" applyAlignment="1">
      <alignment horizontal="left" wrapText="1" indent="1"/>
    </xf>
    <xf numFmtId="0" fontId="10" fillId="12" borderId="2" xfId="0" applyFont="1" applyFill="1" applyBorder="1" applyAlignment="1">
      <alignment horizontal="center" vertical="top"/>
    </xf>
    <xf numFmtId="0" fontId="35" fillId="20" borderId="0" xfId="0" applyFont="1" applyFill="1" applyAlignment="1">
      <alignment wrapText="1"/>
    </xf>
    <xf numFmtId="0" fontId="35" fillId="20" borderId="2" xfId="0" applyFont="1" applyFill="1" applyBorder="1" applyAlignment="1">
      <alignment wrapText="1"/>
    </xf>
    <xf numFmtId="0" fontId="0" fillId="0" borderId="22" xfId="0" applyBorder="1"/>
    <xf numFmtId="0" fontId="0" fillId="0" borderId="18" xfId="0" applyBorder="1" applyAlignment="1">
      <alignment vertical="top" wrapText="1"/>
    </xf>
    <xf numFmtId="0" fontId="35" fillId="20" borderId="18" xfId="0" applyFont="1" applyFill="1" applyBorder="1" applyAlignment="1">
      <alignment wrapText="1"/>
    </xf>
    <xf numFmtId="0" fontId="0" fillId="0" borderId="7" xfId="0" applyBorder="1"/>
    <xf numFmtId="0" fontId="10" fillId="5" borderId="2" xfId="0" applyFont="1" applyFill="1" applyBorder="1" applyAlignment="1">
      <alignment horizontal="center" vertical="top"/>
    </xf>
    <xf numFmtId="14" fontId="36" fillId="0" borderId="1" xfId="0" applyNumberFormat="1" applyFont="1" applyBorder="1"/>
    <xf numFmtId="14" fontId="36" fillId="0" borderId="3" xfId="0" applyNumberFormat="1" applyFont="1" applyBorder="1"/>
    <xf numFmtId="0" fontId="36" fillId="0" borderId="1" xfId="0" applyFont="1" applyBorder="1" applyAlignment="1">
      <alignment wrapText="1"/>
    </xf>
    <xf numFmtId="0" fontId="36" fillId="0" borderId="3" xfId="0" applyFont="1" applyBorder="1" applyAlignment="1">
      <alignment wrapText="1"/>
    </xf>
    <xf numFmtId="0" fontId="37" fillId="0" borderId="1" xfId="0" applyFont="1" applyBorder="1" applyAlignment="1">
      <alignment horizontal="left" indent="1"/>
    </xf>
    <xf numFmtId="0" fontId="2" fillId="0" borderId="1" xfId="0" applyFont="1" applyBorder="1"/>
    <xf numFmtId="0" fontId="2" fillId="0" borderId="1" xfId="0" applyFont="1" applyBorder="1" applyAlignment="1">
      <alignment wrapText="1"/>
    </xf>
    <xf numFmtId="14" fontId="38" fillId="0" borderId="1" xfId="0" applyNumberFormat="1" applyFont="1" applyBorder="1" applyAlignment="1">
      <alignment horizontal="right"/>
    </xf>
    <xf numFmtId="14" fontId="33" fillId="0" borderId="1" xfId="0" applyNumberFormat="1" applyFont="1" applyBorder="1"/>
    <xf numFmtId="17" fontId="33" fillId="0" borderId="4" xfId="0" applyNumberFormat="1" applyFont="1" applyBorder="1"/>
    <xf numFmtId="0" fontId="7" fillId="0" borderId="23" xfId="0" applyFont="1" applyBorder="1"/>
    <xf numFmtId="14" fontId="3" fillId="0" borderId="5" xfId="0" applyNumberFormat="1" applyFont="1" applyBorder="1" applyAlignment="1">
      <alignment horizontal="center"/>
    </xf>
    <xf numFmtId="14" fontId="3" fillId="0" borderId="3" xfId="0" applyNumberFormat="1" applyFont="1" applyBorder="1" applyAlignment="1">
      <alignment horizontal="center"/>
    </xf>
    <xf numFmtId="14" fontId="41" fillId="0" borderId="2" xfId="0" applyNumberFormat="1" applyFont="1" applyBorder="1"/>
    <xf numFmtId="164" fontId="0" fillId="0" borderId="4" xfId="0" applyNumberFormat="1" applyBorder="1" applyAlignment="1">
      <alignment horizontal="center" wrapText="1"/>
    </xf>
    <xf numFmtId="14" fontId="20" fillId="0" borderId="2" xfId="0" applyNumberFormat="1" applyFont="1" applyBorder="1"/>
    <xf numFmtId="17" fontId="20" fillId="0" borderId="4" xfId="0" applyNumberFormat="1" applyFont="1" applyBorder="1" applyAlignment="1">
      <alignment wrapText="1"/>
    </xf>
    <xf numFmtId="14" fontId="20" fillId="0" borderId="7" xfId="0" applyNumberFormat="1" applyFont="1" applyBorder="1"/>
    <xf numFmtId="17" fontId="20" fillId="0" borderId="6" xfId="0" applyNumberFormat="1" applyFont="1" applyBorder="1" applyAlignment="1">
      <alignment wrapText="1"/>
    </xf>
    <xf numFmtId="0" fontId="27" fillId="7" borderId="6" xfId="0" applyFont="1" applyFill="1" applyBorder="1"/>
    <xf numFmtId="14" fontId="20" fillId="8" borderId="7" xfId="0" applyNumberFormat="1" applyFont="1" applyFill="1" applyBorder="1"/>
    <xf numFmtId="0" fontId="20" fillId="8" borderId="0" xfId="0" applyFont="1" applyFill="1"/>
    <xf numFmtId="0" fontId="27" fillId="9" borderId="1" xfId="0" applyFont="1" applyFill="1" applyBorder="1"/>
    <xf numFmtId="0" fontId="20" fillId="0" borderId="6" xfId="0" applyFont="1" applyBorder="1" applyAlignment="1">
      <alignment wrapText="1"/>
    </xf>
    <xf numFmtId="0" fontId="0" fillId="2" borderId="0" xfId="0" applyFill="1" applyAlignment="1">
      <alignment horizontal="left" indent="1"/>
    </xf>
    <xf numFmtId="0" fontId="0" fillId="0" borderId="0" xfId="0" applyAlignment="1">
      <alignment horizontal="left" indent="1"/>
    </xf>
    <xf numFmtId="0" fontId="20" fillId="10" borderId="0" xfId="0" applyFont="1" applyFill="1"/>
    <xf numFmtId="15" fontId="27" fillId="9" borderId="1" xfId="0" applyNumberFormat="1" applyFont="1" applyFill="1" applyBorder="1"/>
    <xf numFmtId="0" fontId="20" fillId="0" borderId="4" xfId="0" applyFont="1" applyBorder="1" applyAlignment="1">
      <alignment wrapText="1"/>
    </xf>
    <xf numFmtId="0" fontId="20" fillId="10" borderId="0" xfId="0" applyFont="1" applyFill="1" applyAlignment="1">
      <alignment wrapText="1"/>
    </xf>
    <xf numFmtId="14" fontId="20" fillId="8" borderId="3" xfId="0" applyNumberFormat="1" applyFont="1" applyFill="1" applyBorder="1"/>
    <xf numFmtId="0" fontId="20" fillId="8" borderId="0" xfId="0" applyFont="1" applyFill="1" applyAlignment="1">
      <alignment wrapText="1"/>
    </xf>
    <xf numFmtId="0" fontId="20" fillId="0" borderId="6" xfId="0" quotePrefix="1" applyFont="1" applyBorder="1"/>
    <xf numFmtId="0" fontId="27" fillId="18" borderId="6" xfId="0" applyFont="1" applyFill="1" applyBorder="1"/>
    <xf numFmtId="0" fontId="0" fillId="0" borderId="1" xfId="0" applyBorder="1" applyAlignment="1">
      <alignment horizontal="center"/>
    </xf>
    <xf numFmtId="0" fontId="0" fillId="0" borderId="1" xfId="0" applyBorder="1" applyAlignment="1">
      <alignment horizontal="left" indent="1"/>
    </xf>
    <xf numFmtId="0" fontId="0" fillId="0" borderId="0" xfId="0" applyAlignment="1">
      <alignment horizontal="center"/>
    </xf>
    <xf numFmtId="0" fontId="41" fillId="0" borderId="18" xfId="0" applyFont="1" applyBorder="1"/>
    <xf numFmtId="0" fontId="41" fillId="0" borderId="2" xfId="0" applyFont="1" applyBorder="1"/>
    <xf numFmtId="0" fontId="0" fillId="0" borderId="1" xfId="0" applyBorder="1" applyAlignment="1">
      <alignment horizontal="left"/>
    </xf>
    <xf numFmtId="0" fontId="43" fillId="2" borderId="0" xfId="0" applyFont="1" applyFill="1" applyAlignment="1">
      <alignment horizontal="left" indent="1"/>
    </xf>
    <xf numFmtId="0" fontId="43" fillId="0" borderId="0" xfId="0" applyFont="1" applyAlignment="1">
      <alignment horizontal="left" indent="1"/>
    </xf>
    <xf numFmtId="0" fontId="38" fillId="0" borderId="0" xfId="0" applyFont="1"/>
    <xf numFmtId="0" fontId="37" fillId="0" borderId="4" xfId="0" applyFont="1" applyBorder="1"/>
    <xf numFmtId="0" fontId="45" fillId="5" borderId="1" xfId="0" applyFont="1" applyFill="1" applyBorder="1"/>
    <xf numFmtId="0" fontId="37" fillId="0" borderId="6" xfId="0" applyFont="1" applyBorder="1"/>
    <xf numFmtId="0" fontId="38" fillId="2" borderId="0" xfId="0" applyFont="1" applyFill="1" applyAlignment="1">
      <alignment horizontal="left" indent="1"/>
    </xf>
    <xf numFmtId="0" fontId="38" fillId="0" borderId="0" xfId="0" applyFont="1" applyAlignment="1">
      <alignment horizontal="left" indent="1"/>
    </xf>
    <xf numFmtId="0" fontId="45" fillId="9" borderId="1" xfId="0" applyFont="1" applyFill="1" applyBorder="1"/>
    <xf numFmtId="0" fontId="37" fillId="0" borderId="3" xfId="0" applyFont="1" applyBorder="1" applyAlignment="1">
      <alignment horizontal="right" vertical="center"/>
    </xf>
    <xf numFmtId="0" fontId="37" fillId="0" borderId="0" xfId="0" applyFont="1"/>
    <xf numFmtId="0" fontId="37" fillId="0" borderId="3" xfId="0" applyFont="1" applyBorder="1"/>
    <xf numFmtId="0" fontId="44" fillId="13" borderId="6" xfId="0" applyFont="1" applyFill="1" applyBorder="1"/>
    <xf numFmtId="0" fontId="38" fillId="0" borderId="1" xfId="0" applyFont="1" applyBorder="1" applyAlignment="1">
      <alignment horizontal="left" indent="1"/>
    </xf>
    <xf numFmtId="14" fontId="37" fillId="0" borderId="1" xfId="0" applyNumberFormat="1" applyFont="1" applyBorder="1" applyAlignment="1">
      <alignment horizontal="right"/>
    </xf>
    <xf numFmtId="14" fontId="37" fillId="0" borderId="3" xfId="0" applyNumberFormat="1" applyFont="1" applyBorder="1" applyAlignment="1">
      <alignment horizontal="right"/>
    </xf>
    <xf numFmtId="0" fontId="38" fillId="0" borderId="1" xfId="0" applyFont="1" applyBorder="1" applyAlignment="1">
      <alignment horizontal="right"/>
    </xf>
    <xf numFmtId="0" fontId="38" fillId="0" borderId="0" xfId="0" applyFont="1" applyAlignment="1">
      <alignment horizontal="right"/>
    </xf>
    <xf numFmtId="17" fontId="37" fillId="0" borderId="4" xfId="0" applyNumberFormat="1" applyFont="1" applyBorder="1" applyAlignment="1">
      <alignment horizontal="right"/>
    </xf>
    <xf numFmtId="17" fontId="37" fillId="0" borderId="6" xfId="0" applyNumberFormat="1" applyFont="1" applyBorder="1" applyAlignment="1">
      <alignment horizontal="right"/>
    </xf>
    <xf numFmtId="17" fontId="38" fillId="0" borderId="1" xfId="0" applyNumberFormat="1" applyFont="1" applyBorder="1" applyAlignment="1">
      <alignment horizontal="right"/>
    </xf>
    <xf numFmtId="0" fontId="37" fillId="0" borderId="4" xfId="0" applyFont="1" applyBorder="1" applyAlignment="1">
      <alignment horizontal="left"/>
    </xf>
    <xf numFmtId="0" fontId="37" fillId="0" borderId="6" xfId="0" applyFont="1" applyBorder="1" applyAlignment="1">
      <alignment horizontal="left"/>
    </xf>
    <xf numFmtId="17" fontId="0" fillId="0" borderId="1" xfId="0" applyNumberFormat="1" applyBorder="1" applyAlignment="1">
      <alignment horizontal="right"/>
    </xf>
    <xf numFmtId="0" fontId="46" fillId="0" borderId="0" xfId="0" applyFont="1"/>
    <xf numFmtId="0" fontId="47" fillId="0" borderId="2" xfId="0" applyFont="1" applyBorder="1"/>
    <xf numFmtId="0" fontId="2" fillId="0" borderId="5" xfId="0" applyFont="1" applyBorder="1"/>
    <xf numFmtId="0" fontId="2" fillId="0" borderId="3" xfId="0" applyFont="1" applyBorder="1"/>
    <xf numFmtId="14" fontId="48" fillId="0" borderId="3" xfId="0" applyNumberFormat="1" applyFont="1" applyBorder="1"/>
    <xf numFmtId="14" fontId="48" fillId="0" borderId="4" xfId="0" applyNumberFormat="1" applyFont="1" applyBorder="1"/>
    <xf numFmtId="0" fontId="48" fillId="0" borderId="6" xfId="0" applyFont="1" applyBorder="1"/>
    <xf numFmtId="0" fontId="34" fillId="5" borderId="1" xfId="0" applyFont="1" applyFill="1" applyBorder="1" applyAlignment="1">
      <alignment horizontal="center"/>
    </xf>
    <xf numFmtId="0" fontId="48" fillId="0" borderId="1" xfId="0" applyFont="1" applyBorder="1"/>
    <xf numFmtId="0" fontId="34" fillId="5" borderId="2" xfId="0" applyFont="1" applyFill="1" applyBorder="1" applyAlignment="1">
      <alignment horizontal="center"/>
    </xf>
    <xf numFmtId="0" fontId="48" fillId="0" borderId="4" xfId="0" applyFont="1" applyBorder="1"/>
    <xf numFmtId="0" fontId="48" fillId="0" borderId="3" xfId="0" applyFont="1" applyBorder="1"/>
    <xf numFmtId="0" fontId="48" fillId="0" borderId="25" xfId="0" applyFont="1" applyBorder="1"/>
    <xf numFmtId="0" fontId="0" fillId="11" borderId="22" xfId="0" applyFill="1" applyBorder="1" applyAlignment="1">
      <alignment horizontal="center" vertical="top"/>
    </xf>
    <xf numFmtId="0" fontId="48" fillId="0" borderId="2" xfId="0" applyFont="1" applyBorder="1"/>
    <xf numFmtId="0" fontId="48" fillId="0" borderId="22" xfId="0" applyFont="1" applyBorder="1"/>
    <xf numFmtId="0" fontId="48" fillId="0" borderId="16" xfId="0" applyFont="1" applyBorder="1"/>
    <xf numFmtId="0" fontId="48" fillId="0" borderId="26" xfId="0" applyFont="1" applyBorder="1"/>
    <xf numFmtId="0" fontId="48" fillId="0" borderId="7" xfId="0" applyFont="1" applyBorder="1"/>
    <xf numFmtId="0" fontId="48" fillId="0" borderId="45" xfId="0" applyFont="1" applyBorder="1"/>
    <xf numFmtId="14" fontId="0" fillId="0" borderId="1" xfId="0" applyNumberFormat="1" applyBorder="1" applyAlignment="1">
      <alignment horizontal="right"/>
    </xf>
    <xf numFmtId="0" fontId="20" fillId="0" borderId="6" xfId="0" applyFont="1" applyBorder="1" applyAlignment="1">
      <alignment horizontal="left"/>
    </xf>
    <xf numFmtId="0" fontId="42" fillId="3" borderId="0" xfId="0" applyFont="1" applyFill="1" applyAlignment="1">
      <alignment horizontal="center" vertical="center" wrapText="1"/>
    </xf>
    <xf numFmtId="0" fontId="20" fillId="0" borderId="0" xfId="0" applyFont="1" applyAlignment="1">
      <alignment horizontal="center"/>
    </xf>
    <xf numFmtId="0" fontId="20" fillId="0" borderId="0" xfId="0" applyFont="1" applyAlignment="1">
      <alignment horizontal="center" wrapText="1"/>
    </xf>
    <xf numFmtId="0" fontId="20" fillId="0" borderId="0" xfId="0" quotePrefix="1" applyFont="1" applyAlignment="1">
      <alignment horizontal="center"/>
    </xf>
    <xf numFmtId="0" fontId="20" fillId="0" borderId="1" xfId="0" applyFont="1" applyBorder="1" applyAlignment="1">
      <alignment horizontal="center" wrapText="1"/>
    </xf>
    <xf numFmtId="20" fontId="20" fillId="0" borderId="1" xfId="0" applyNumberFormat="1" applyFont="1" applyBorder="1" applyAlignment="1">
      <alignment horizontal="center" wrapText="1"/>
    </xf>
    <xf numFmtId="0" fontId="49" fillId="2" borderId="46" xfId="0" applyFont="1" applyFill="1" applyBorder="1" applyAlignment="1">
      <alignment horizontal="left" indent="1"/>
    </xf>
    <xf numFmtId="0" fontId="50" fillId="3" borderId="46" xfId="0" applyFont="1" applyFill="1" applyBorder="1" applyAlignment="1">
      <alignment horizontal="center" vertical="center" wrapText="1"/>
    </xf>
    <xf numFmtId="0" fontId="49" fillId="0" borderId="46" xfId="0" applyFont="1" applyBorder="1" applyAlignment="1">
      <alignment horizontal="left" indent="1"/>
    </xf>
    <xf numFmtId="0" fontId="51" fillId="2" borderId="46" xfId="0" applyFont="1" applyFill="1" applyBorder="1" applyAlignment="1">
      <alignment horizontal="left" indent="1"/>
    </xf>
    <xf numFmtId="14" fontId="15" fillId="0" borderId="46" xfId="0" applyNumberFormat="1" applyFont="1" applyBorder="1"/>
    <xf numFmtId="0" fontId="15" fillId="0" borderId="46" xfId="0" applyFont="1" applyBorder="1"/>
    <xf numFmtId="0" fontId="15" fillId="0" borderId="46" xfId="0" applyFont="1" applyBorder="1" applyAlignment="1">
      <alignment wrapText="1"/>
    </xf>
    <xf numFmtId="0" fontId="15" fillId="4" borderId="46" xfId="0" applyFont="1" applyFill="1" applyBorder="1" applyAlignment="1">
      <alignment wrapText="1"/>
    </xf>
    <xf numFmtId="0" fontId="51" fillId="0" borderId="46" xfId="0" applyFont="1" applyBorder="1" applyAlignment="1">
      <alignment horizontal="left" indent="1"/>
    </xf>
    <xf numFmtId="14" fontId="14" fillId="0" borderId="46" xfId="0" applyNumberFormat="1" applyFont="1" applyBorder="1"/>
    <xf numFmtId="0" fontId="14" fillId="0" borderId="46" xfId="0" applyFont="1" applyBorder="1"/>
    <xf numFmtId="0" fontId="14" fillId="0" borderId="46" xfId="0" applyFont="1" applyBorder="1" applyAlignment="1">
      <alignment wrapText="1"/>
    </xf>
    <xf numFmtId="14" fontId="14" fillId="8" borderId="46" xfId="0" applyNumberFormat="1" applyFont="1" applyFill="1" applyBorder="1"/>
    <xf numFmtId="0" fontId="14" fillId="8" borderId="46" xfId="0" applyFont="1" applyFill="1" applyBorder="1"/>
    <xf numFmtId="0" fontId="15" fillId="8" borderId="46" xfId="0" applyFont="1" applyFill="1" applyBorder="1" applyAlignment="1">
      <alignment wrapText="1"/>
    </xf>
    <xf numFmtId="0" fontId="14" fillId="0" borderId="46" xfId="0" applyFont="1" applyBorder="1" applyAlignment="1">
      <alignment vertical="top" wrapText="1"/>
    </xf>
    <xf numFmtId="0" fontId="52" fillId="0" borderId="46" xfId="2" applyFont="1" applyBorder="1" applyAlignment="1">
      <alignment wrapText="1"/>
    </xf>
    <xf numFmtId="0" fontId="51" fillId="0" borderId="46" xfId="0" applyFont="1" applyBorder="1" applyAlignment="1">
      <alignment horizontal="center"/>
    </xf>
    <xf numFmtId="0" fontId="49" fillId="2" borderId="46" xfId="0" applyFont="1" applyFill="1" applyBorder="1" applyAlignment="1">
      <alignment horizontal="center" indent="1"/>
    </xf>
    <xf numFmtId="0" fontId="51" fillId="14" borderId="46" xfId="0" applyFont="1" applyFill="1" applyBorder="1" applyAlignment="1">
      <alignment horizontal="left" indent="1"/>
    </xf>
    <xf numFmtId="14" fontId="14" fillId="14" borderId="46" xfId="0" applyNumberFormat="1" applyFont="1" applyFill="1" applyBorder="1"/>
    <xf numFmtId="0" fontId="14" fillId="14" borderId="46" xfId="0" applyFont="1" applyFill="1" applyBorder="1"/>
    <xf numFmtId="0" fontId="15" fillId="14" borderId="46" xfId="0" applyFont="1" applyFill="1" applyBorder="1" applyAlignment="1">
      <alignment wrapText="1"/>
    </xf>
    <xf numFmtId="0" fontId="49" fillId="14" borderId="46" xfId="0" applyFont="1" applyFill="1" applyBorder="1" applyAlignment="1">
      <alignment horizontal="center" indent="1"/>
    </xf>
    <xf numFmtId="0" fontId="51" fillId="22" borderId="46" xfId="0" applyFont="1" applyFill="1" applyBorder="1" applyAlignment="1">
      <alignment horizontal="left" indent="1"/>
    </xf>
    <xf numFmtId="14" fontId="14" fillId="22" borderId="46" xfId="0" applyNumberFormat="1" applyFont="1" applyFill="1" applyBorder="1"/>
    <xf numFmtId="0" fontId="14" fillId="22" borderId="46" xfId="0" applyFont="1" applyFill="1" applyBorder="1"/>
    <xf numFmtId="0" fontId="3" fillId="2" borderId="2" xfId="0" applyFont="1" applyFill="1" applyBorder="1" applyAlignment="1">
      <alignment horizontal="left" indent="1"/>
    </xf>
    <xf numFmtId="0" fontId="1" fillId="0" borderId="5" xfId="0" applyFont="1" applyBorder="1"/>
    <xf numFmtId="0" fontId="40" fillId="0" borderId="46" xfId="0" applyFont="1" applyBorder="1" applyAlignment="1">
      <alignment wrapText="1"/>
    </xf>
    <xf numFmtId="0" fontId="40" fillId="4" borderId="46" xfId="0" applyFont="1" applyFill="1" applyBorder="1" applyAlignment="1">
      <alignment wrapText="1"/>
    </xf>
    <xf numFmtId="0" fontId="55" fillId="2" borderId="46" xfId="0" applyFont="1" applyFill="1" applyBorder="1" applyAlignment="1">
      <alignment horizontal="center" indent="1"/>
    </xf>
    <xf numFmtId="0" fontId="39" fillId="0" borderId="46" xfId="0" applyFont="1" applyBorder="1"/>
    <xf numFmtId="14" fontId="39" fillId="0" borderId="46" xfId="0" applyNumberFormat="1" applyFont="1" applyBorder="1"/>
    <xf numFmtId="0" fontId="56" fillId="22" borderId="46" xfId="0" applyFont="1" applyFill="1" applyBorder="1" applyAlignment="1">
      <alignment horizontal="left" indent="1"/>
    </xf>
    <xf numFmtId="14" fontId="39" fillId="22" borderId="46" xfId="0" applyNumberFormat="1" applyFont="1" applyFill="1" applyBorder="1"/>
    <xf numFmtId="0" fontId="39" fillId="22" borderId="46" xfId="0" applyFont="1" applyFill="1" applyBorder="1"/>
    <xf numFmtId="0" fontId="56" fillId="2" borderId="46" xfId="0" applyFont="1" applyFill="1" applyBorder="1" applyAlignment="1">
      <alignment horizontal="left" indent="1"/>
    </xf>
    <xf numFmtId="0" fontId="55" fillId="2" borderId="46" xfId="0" applyFont="1" applyFill="1" applyBorder="1" applyAlignment="1">
      <alignment horizontal="left" indent="1"/>
    </xf>
    <xf numFmtId="0" fontId="56" fillId="0" borderId="46" xfId="0" applyFont="1" applyBorder="1" applyAlignment="1">
      <alignment horizontal="left" indent="1"/>
    </xf>
    <xf numFmtId="0" fontId="56" fillId="0" borderId="46" xfId="0" applyFont="1" applyBorder="1" applyAlignment="1">
      <alignment horizontal="center"/>
    </xf>
    <xf numFmtId="0" fontId="56" fillId="14" borderId="46" xfId="0" applyFont="1" applyFill="1" applyBorder="1" applyAlignment="1">
      <alignment horizontal="left" indent="1"/>
    </xf>
    <xf numFmtId="14" fontId="39" fillId="14" borderId="46" xfId="0" applyNumberFormat="1" applyFont="1" applyFill="1" applyBorder="1"/>
    <xf numFmtId="0" fontId="39" fillId="14" borderId="46" xfId="0" applyFont="1" applyFill="1" applyBorder="1"/>
    <xf numFmtId="0" fontId="40" fillId="14" borderId="46" xfId="0" applyFont="1" applyFill="1" applyBorder="1" applyAlignment="1">
      <alignment wrapText="1"/>
    </xf>
    <xf numFmtId="0" fontId="55" fillId="14" borderId="46" xfId="0" applyFont="1" applyFill="1" applyBorder="1" applyAlignment="1">
      <alignment horizontal="center" indent="1"/>
    </xf>
    <xf numFmtId="20" fontId="0" fillId="0" borderId="1" xfId="0" applyNumberFormat="1" applyBorder="1" applyAlignment="1">
      <alignment horizontal="center"/>
    </xf>
    <xf numFmtId="17" fontId="33" fillId="0" borderId="2" xfId="0" applyNumberFormat="1" applyFont="1" applyBorder="1" applyAlignment="1">
      <alignment horizontal="center"/>
    </xf>
    <xf numFmtId="0" fontId="33" fillId="0" borderId="6" xfId="0" applyFont="1" applyBorder="1" applyAlignment="1">
      <alignment vertical="top"/>
    </xf>
    <xf numFmtId="17" fontId="33" fillId="0" borderId="2" xfId="0" applyNumberFormat="1" applyFont="1" applyBorder="1" applyAlignment="1">
      <alignment horizontal="center" vertical="top"/>
    </xf>
    <xf numFmtId="0" fontId="48" fillId="0" borderId="6" xfId="0" applyFont="1" applyBorder="1" applyAlignment="1">
      <alignment vertical="top"/>
    </xf>
    <xf numFmtId="0" fontId="34" fillId="5" borderId="2" xfId="0" applyFont="1" applyFill="1" applyBorder="1" applyAlignment="1">
      <alignment horizontal="center" vertical="top"/>
    </xf>
    <xf numFmtId="14" fontId="48" fillId="0" borderId="16" xfId="0" applyNumberFormat="1" applyFont="1" applyBorder="1"/>
    <xf numFmtId="14" fontId="48" fillId="0" borderId="24" xfId="0" applyNumberFormat="1" applyFont="1" applyBorder="1"/>
    <xf numFmtId="0" fontId="34" fillId="5" borderId="18" xfId="0" applyFont="1" applyFill="1" applyBorder="1" applyAlignment="1">
      <alignment horizontal="center"/>
    </xf>
    <xf numFmtId="14" fontId="48" fillId="0" borderId="2" xfId="0" applyNumberFormat="1" applyFont="1" applyBorder="1"/>
    <xf numFmtId="0" fontId="24" fillId="0" borderId="47" xfId="0" applyFont="1" applyBorder="1"/>
    <xf numFmtId="0" fontId="38" fillId="2" borderId="2" xfId="0" applyFont="1" applyFill="1" applyBorder="1" applyAlignment="1">
      <alignment horizontal="left" indent="1"/>
    </xf>
    <xf numFmtId="0" fontId="48" fillId="0" borderId="2" xfId="0" applyFont="1" applyBorder="1" applyAlignment="1">
      <alignment horizontal="center"/>
    </xf>
    <xf numFmtId="0" fontId="1" fillId="2" borderId="2" xfId="0" applyFont="1" applyFill="1" applyBorder="1" applyAlignment="1">
      <alignment horizontal="center" indent="1"/>
    </xf>
    <xf numFmtId="0" fontId="0" fillId="0" borderId="2" xfId="0" applyBorder="1" applyAlignment="1">
      <alignment horizontal="center"/>
    </xf>
    <xf numFmtId="0" fontId="34" fillId="18" borderId="1" xfId="0" applyFont="1" applyFill="1" applyBorder="1"/>
    <xf numFmtId="0" fontId="34" fillId="5" borderId="6" xfId="0" applyFont="1" applyFill="1" applyBorder="1"/>
    <xf numFmtId="0" fontId="38" fillId="0" borderId="5" xfId="0" applyFont="1" applyBorder="1" applyAlignment="1">
      <alignment horizontal="left" indent="1"/>
    </xf>
    <xf numFmtId="0" fontId="38" fillId="0" borderId="3" xfId="0" applyFont="1" applyBorder="1" applyAlignment="1">
      <alignment horizontal="left" indent="1"/>
    </xf>
    <xf numFmtId="0" fontId="46" fillId="0" borderId="2" xfId="0" applyFont="1" applyBorder="1"/>
    <xf numFmtId="0" fontId="37" fillId="0" borderId="2" xfId="0" applyFont="1" applyBorder="1"/>
    <xf numFmtId="0" fontId="38" fillId="0" borderId="2" xfId="0" applyFont="1" applyBorder="1"/>
    <xf numFmtId="0" fontId="45" fillId="5" borderId="3" xfId="0" applyFont="1" applyFill="1" applyBorder="1"/>
    <xf numFmtId="0" fontId="38" fillId="0" borderId="7" xfId="0" applyFont="1" applyBorder="1"/>
    <xf numFmtId="0" fontId="34" fillId="21" borderId="0" xfId="0" applyFont="1" applyFill="1" applyAlignment="1">
      <alignment wrapText="1"/>
    </xf>
    <xf numFmtId="14" fontId="8" fillId="0" borderId="2" xfId="0" applyNumberFormat="1" applyFont="1" applyBorder="1" applyAlignment="1">
      <alignment wrapText="1"/>
    </xf>
    <xf numFmtId="164" fontId="0" fillId="0" borderId="2" xfId="0" applyNumberFormat="1" applyBorder="1" applyAlignment="1">
      <alignment horizontal="center"/>
    </xf>
    <xf numFmtId="0" fontId="0" fillId="0" borderId="2" xfId="0" applyBorder="1" applyAlignment="1">
      <alignment horizontal="center" vertical="center"/>
    </xf>
    <xf numFmtId="0" fontId="8" fillId="0" borderId="2" xfId="0" applyFont="1" applyBorder="1" applyAlignment="1">
      <alignment wrapText="1"/>
    </xf>
    <xf numFmtId="14" fontId="11" fillId="8" borderId="2" xfId="0" applyNumberFormat="1" applyFont="1" applyFill="1" applyBorder="1" applyAlignment="1">
      <alignment wrapText="1"/>
    </xf>
    <xf numFmtId="0" fontId="18" fillId="0" borderId="2" xfId="0" applyFont="1" applyBorder="1"/>
    <xf numFmtId="14" fontId="22" fillId="0" borderId="2" xfId="0" applyNumberFormat="1" applyFont="1" applyBorder="1" applyAlignment="1">
      <alignment wrapText="1"/>
    </xf>
    <xf numFmtId="0" fontId="22" fillId="0" borderId="2" xfId="0" applyFont="1" applyBorder="1" applyAlignment="1">
      <alignment wrapText="1"/>
    </xf>
    <xf numFmtId="0" fontId="22" fillId="0" borderId="2" xfId="0" applyFont="1" applyBorder="1"/>
    <xf numFmtId="14" fontId="22" fillId="0" borderId="2" xfId="0" applyNumberFormat="1" applyFont="1" applyBorder="1"/>
    <xf numFmtId="0" fontId="3" fillId="0" borderId="2" xfId="0" applyFont="1" applyBorder="1" applyAlignment="1">
      <alignment horizontal="center"/>
    </xf>
    <xf numFmtId="14" fontId="36" fillId="0" borderId="2" xfId="0" applyNumberFormat="1" applyFont="1" applyBorder="1"/>
    <xf numFmtId="0" fontId="36" fillId="0" borderId="2" xfId="0" applyFont="1" applyBorder="1" applyAlignment="1">
      <alignment wrapText="1"/>
    </xf>
    <xf numFmtId="14" fontId="4" fillId="2" borderId="0" xfId="0" applyNumberFormat="1" applyFont="1" applyFill="1" applyAlignment="1">
      <alignment horizontal="left" indent="1"/>
    </xf>
    <xf numFmtId="14" fontId="3" fillId="2" borderId="0" xfId="0" applyNumberFormat="1" applyFont="1" applyFill="1" applyAlignment="1">
      <alignment horizontal="left" indent="1"/>
    </xf>
    <xf numFmtId="14" fontId="3" fillId="11" borderId="0" xfId="0" applyNumberFormat="1" applyFont="1" applyFill="1" applyAlignment="1">
      <alignment horizontal="left" indent="1"/>
    </xf>
    <xf numFmtId="14" fontId="3" fillId="2" borderId="0" xfId="0" applyNumberFormat="1" applyFont="1" applyFill="1" applyAlignment="1">
      <alignment horizontal="left" wrapText="1" indent="1"/>
    </xf>
    <xf numFmtId="1" fontId="4" fillId="2" borderId="0" xfId="0" applyNumberFormat="1" applyFont="1" applyFill="1" applyAlignment="1">
      <alignment horizontal="left" indent="1"/>
    </xf>
    <xf numFmtId="1" fontId="3" fillId="2" borderId="0" xfId="0" applyNumberFormat="1" applyFont="1" applyFill="1" applyAlignment="1">
      <alignment horizontal="left" indent="1"/>
    </xf>
    <xf numFmtId="1" fontId="3" fillId="11" borderId="0" xfId="0" applyNumberFormat="1" applyFont="1" applyFill="1" applyAlignment="1">
      <alignment horizontal="left" indent="1"/>
    </xf>
    <xf numFmtId="1" fontId="3" fillId="2" borderId="0" xfId="0" applyNumberFormat="1" applyFont="1" applyFill="1" applyAlignment="1">
      <alignment horizontal="left" wrapText="1" indent="1"/>
    </xf>
    <xf numFmtId="0" fontId="39" fillId="0" borderId="46" xfId="0" applyFont="1" applyBorder="1" applyAlignment="1">
      <alignment wrapText="1"/>
    </xf>
    <xf numFmtId="1" fontId="34" fillId="21" borderId="0" xfId="0" applyNumberFormat="1" applyFont="1" applyFill="1" applyAlignment="1">
      <alignment wrapText="1"/>
    </xf>
    <xf numFmtId="0" fontId="1" fillId="0" borderId="3" xfId="0" applyFont="1" applyBorder="1"/>
    <xf numFmtId="0" fontId="1" fillId="0" borderId="1" xfId="0" applyFont="1" applyBorder="1"/>
    <xf numFmtId="0" fontId="48" fillId="0" borderId="47" xfId="0" applyFont="1" applyBorder="1"/>
    <xf numFmtId="0" fontId="48" fillId="0" borderId="19" xfId="0" applyFont="1" applyBorder="1"/>
    <xf numFmtId="0" fontId="48" fillId="0" borderId="37" xfId="0" applyFont="1" applyBorder="1"/>
    <xf numFmtId="0" fontId="48" fillId="0" borderId="0" xfId="0" applyFont="1"/>
    <xf numFmtId="0" fontId="27" fillId="5" borderId="19" xfId="0" applyFont="1" applyFill="1" applyBorder="1"/>
    <xf numFmtId="0" fontId="38" fillId="0" borderId="4" xfId="0" applyFont="1" applyBorder="1" applyAlignment="1">
      <alignment horizontal="left" indent="1"/>
    </xf>
    <xf numFmtId="0" fontId="38" fillId="0" borderId="5" xfId="0" applyFont="1" applyBorder="1" applyAlignment="1">
      <alignment indent="1"/>
    </xf>
    <xf numFmtId="14" fontId="3" fillId="0" borderId="1" xfId="0" applyNumberFormat="1" applyFont="1" applyBorder="1" applyAlignment="1">
      <alignment horizontal="center" wrapText="1"/>
    </xf>
    <xf numFmtId="0" fontId="18" fillId="10" borderId="4" xfId="0" applyFont="1" applyFill="1" applyBorder="1"/>
    <xf numFmtId="0" fontId="18" fillId="10" borderId="6" xfId="0" applyFont="1" applyFill="1" applyBorder="1"/>
    <xf numFmtId="0" fontId="48" fillId="0" borderId="2" xfId="0" applyFont="1" applyBorder="1" applyAlignment="1">
      <alignment vertical="center" wrapText="1"/>
    </xf>
    <xf numFmtId="0" fontId="57" fillId="5" borderId="2" xfId="0" applyFont="1" applyFill="1" applyBorder="1" applyAlignment="1">
      <alignment horizontal="center" vertical="center" wrapText="1"/>
    </xf>
    <xf numFmtId="0" fontId="1" fillId="0" borderId="2" xfId="0" applyFont="1" applyBorder="1" applyAlignment="1">
      <alignment vertical="center" wrapText="1"/>
    </xf>
    <xf numFmtId="0" fontId="48" fillId="0" borderId="2" xfId="0" applyFont="1" applyBorder="1" applyAlignment="1">
      <alignment horizontal="center" vertical="center" wrapText="1"/>
    </xf>
    <xf numFmtId="0" fontId="1" fillId="2" borderId="2" xfId="0" applyFont="1" applyFill="1" applyBorder="1" applyAlignment="1">
      <alignment horizontal="center" vertical="center" wrapText="1" indent="1"/>
    </xf>
    <xf numFmtId="165" fontId="0" fillId="0" borderId="2" xfId="0" applyNumberFormat="1" applyBorder="1" applyAlignment="1">
      <alignment horizontal="center" vertical="center"/>
    </xf>
    <xf numFmtId="14" fontId="33" fillId="0" borderId="2" xfId="0" applyNumberFormat="1" applyFont="1" applyBorder="1" applyAlignment="1">
      <alignment horizontal="center" vertical="center"/>
    </xf>
    <xf numFmtId="0" fontId="48" fillId="0" borderId="6" xfId="0" applyFont="1" applyBorder="1" applyAlignment="1">
      <alignment vertical="center"/>
    </xf>
    <xf numFmtId="0" fontId="33" fillId="0" borderId="2" xfId="0" applyFont="1" applyBorder="1" applyAlignment="1">
      <alignment vertical="center"/>
    </xf>
    <xf numFmtId="0" fontId="31" fillId="15" borderId="8" xfId="0" applyFont="1" applyFill="1" applyBorder="1"/>
    <xf numFmtId="0" fontId="31" fillId="15" borderId="27" xfId="0" applyFont="1" applyFill="1" applyBorder="1"/>
    <xf numFmtId="0" fontId="3" fillId="11" borderId="2" xfId="0" applyFont="1" applyFill="1" applyBorder="1" applyAlignment="1">
      <alignment horizontal="center" vertical="center" wrapText="1"/>
    </xf>
    <xf numFmtId="0" fontId="23" fillId="0" borderId="2" xfId="0" applyFont="1" applyBorder="1" applyAlignment="1">
      <alignment horizontal="center" vertical="center" wrapText="1"/>
    </xf>
    <xf numFmtId="164" fontId="0" fillId="0" borderId="2" xfId="0" applyNumberFormat="1" applyBorder="1" applyAlignment="1">
      <alignment horizontal="center" vertical="center"/>
    </xf>
    <xf numFmtId="0" fontId="8" fillId="0" borderId="2" xfId="0" applyFont="1" applyBorder="1" applyAlignment="1">
      <alignment wrapText="1"/>
    </xf>
    <xf numFmtId="17" fontId="3" fillId="0" borderId="2" xfId="0" applyNumberFormat="1" applyFont="1" applyBorder="1" applyAlignment="1">
      <alignment horizontal="center" vertical="center"/>
    </xf>
    <xf numFmtId="0" fontId="23" fillId="0" borderId="2" xfId="0" applyFont="1" applyBorder="1" applyAlignment="1">
      <alignment horizontal="center" vertical="center"/>
    </xf>
    <xf numFmtId="17" fontId="0" fillId="0" borderId="5" xfId="0" applyNumberFormat="1" applyBorder="1" applyAlignment="1">
      <alignment horizontal="center" vertical="center"/>
    </xf>
    <xf numFmtId="17" fontId="0" fillId="0" borderId="16" xfId="0" applyNumberFormat="1" applyBorder="1" applyAlignment="1">
      <alignment horizontal="center" vertical="center"/>
    </xf>
    <xf numFmtId="17" fontId="0" fillId="0" borderId="3" xfId="0" applyNumberFormat="1" applyBorder="1" applyAlignment="1">
      <alignment horizontal="center" vertical="center"/>
    </xf>
    <xf numFmtId="164" fontId="0" fillId="0" borderId="5" xfId="0" applyNumberFormat="1" applyBorder="1" applyAlignment="1">
      <alignment horizontal="center" vertical="center"/>
    </xf>
    <xf numFmtId="164" fontId="0" fillId="0" borderId="16" xfId="0" applyNumberFormat="1" applyBorder="1" applyAlignment="1">
      <alignment horizontal="center" vertical="center"/>
    </xf>
    <xf numFmtId="164" fontId="0" fillId="0" borderId="3" xfId="0" applyNumberFormat="1" applyBorder="1" applyAlignment="1">
      <alignment horizontal="center" vertical="center"/>
    </xf>
    <xf numFmtId="14" fontId="14" fillId="0" borderId="46" xfId="0" applyNumberFormat="1" applyFont="1" applyBorder="1"/>
    <xf numFmtId="0" fontId="14" fillId="0" borderId="46" xfId="0" applyFont="1" applyBorder="1"/>
    <xf numFmtId="0" fontId="15" fillId="0" borderId="46" xfId="0" applyFont="1" applyBorder="1" applyAlignment="1">
      <alignment wrapText="1"/>
    </xf>
    <xf numFmtId="0" fontId="15" fillId="4" borderId="46" xfId="0" applyFont="1" applyFill="1" applyBorder="1" applyAlignment="1">
      <alignment wrapText="1"/>
    </xf>
    <xf numFmtId="0" fontId="10" fillId="12" borderId="42" xfId="0" applyFont="1" applyFill="1" applyBorder="1" applyAlignment="1">
      <alignment horizontal="center" vertical="center"/>
    </xf>
    <xf numFmtId="0" fontId="10" fillId="12" borderId="43" xfId="0" applyFont="1" applyFill="1" applyBorder="1" applyAlignment="1">
      <alignment horizontal="center" vertical="center"/>
    </xf>
    <xf numFmtId="0" fontId="10" fillId="12" borderId="44" xfId="0" applyFont="1" applyFill="1" applyBorder="1" applyAlignment="1">
      <alignment horizontal="center" vertical="center"/>
    </xf>
    <xf numFmtId="0" fontId="3" fillId="2" borderId="0" xfId="0" applyFont="1" applyFill="1" applyAlignment="1">
      <alignment horizontal="center"/>
    </xf>
    <xf numFmtId="0" fontId="1" fillId="2" borderId="2" xfId="0" applyFont="1" applyFill="1" applyBorder="1" applyAlignment="1">
      <alignment horizontal="center"/>
    </xf>
  </cellXfs>
  <cellStyles count="3">
    <cellStyle name="Hipervínculo" xfId="2" builtinId="8"/>
    <cellStyle name="Normal" xfId="0" builtinId="0"/>
    <cellStyle name="Normal 2" xfId="1" xr:uid="{00000000-0005-0000-0000-000001000000}"/>
  </cellStyles>
  <dxfs count="69">
    <dxf>
      <font>
        <b/>
        <i val="0"/>
        <color theme="0"/>
      </font>
      <fill>
        <patternFill>
          <bgColor rgb="FFFF0000"/>
        </patternFill>
      </fill>
    </dxf>
    <dxf>
      <font>
        <b/>
        <i val="0"/>
        <color theme="0"/>
      </font>
      <fill>
        <patternFill>
          <bgColor rgb="FF92D050"/>
        </patternFill>
      </fill>
    </dxf>
    <dxf>
      <font>
        <b/>
        <i val="0"/>
        <color theme="0"/>
      </font>
      <fill>
        <patternFill>
          <bgColor rgb="FFFF0000"/>
        </patternFill>
      </fill>
    </dxf>
    <dxf>
      <font>
        <b/>
        <i val="0"/>
        <color theme="0"/>
      </font>
      <fill>
        <patternFill>
          <bgColor rgb="FF92D050"/>
        </patternFill>
      </fill>
    </dxf>
    <dxf>
      <font>
        <b/>
        <i val="0"/>
        <color theme="0"/>
      </font>
      <fill>
        <patternFill>
          <bgColor rgb="FFFF0000"/>
        </patternFill>
      </fill>
    </dxf>
    <dxf>
      <font>
        <b/>
        <i val="0"/>
        <color theme="0"/>
      </font>
      <fill>
        <patternFill>
          <bgColor rgb="FF92D050"/>
        </patternFill>
      </fill>
    </dxf>
    <dxf>
      <font>
        <b/>
        <i val="0"/>
        <color theme="0"/>
      </font>
      <fill>
        <patternFill>
          <bgColor rgb="FFFF0000"/>
        </patternFill>
      </fill>
    </dxf>
    <dxf>
      <font>
        <b/>
        <i val="0"/>
        <color theme="0"/>
      </font>
      <fill>
        <patternFill>
          <bgColor rgb="FF92D050"/>
        </patternFill>
      </fill>
    </dxf>
    <dxf>
      <font>
        <b/>
        <i val="0"/>
        <color theme="0"/>
      </font>
      <fill>
        <patternFill>
          <bgColor rgb="FFFF0000"/>
        </patternFill>
      </fill>
    </dxf>
    <dxf>
      <font>
        <b/>
        <i val="0"/>
        <color theme="0"/>
      </font>
      <fill>
        <patternFill>
          <bgColor rgb="FF92D050"/>
        </patternFill>
      </fill>
    </dxf>
    <dxf>
      <font>
        <b/>
        <i val="0"/>
        <color theme="0"/>
      </font>
      <fill>
        <patternFill>
          <bgColor rgb="FFFF0000"/>
        </patternFill>
      </fill>
    </dxf>
    <dxf>
      <font>
        <b/>
        <i val="0"/>
        <color theme="0"/>
      </font>
      <fill>
        <patternFill>
          <bgColor rgb="FF92D050"/>
        </patternFill>
      </fill>
    </dxf>
    <dxf>
      <font>
        <b/>
        <i val="0"/>
        <color theme="0"/>
      </font>
      <fill>
        <patternFill>
          <bgColor rgb="FFFF0000"/>
        </patternFill>
      </fill>
    </dxf>
    <dxf>
      <font>
        <b/>
        <i val="0"/>
        <color theme="0"/>
      </font>
      <fill>
        <patternFill>
          <bgColor rgb="FF92D050"/>
        </patternFill>
      </fill>
    </dxf>
    <dxf>
      <font>
        <b/>
        <i val="0"/>
        <color theme="0"/>
      </font>
      <fill>
        <patternFill>
          <bgColor rgb="FFFF0000"/>
        </patternFill>
      </fill>
    </dxf>
    <dxf>
      <font>
        <b/>
        <i val="0"/>
        <color theme="0"/>
      </font>
      <fill>
        <patternFill>
          <bgColor rgb="FF92D050"/>
        </patternFill>
      </fill>
    </dxf>
    <dxf>
      <font>
        <b/>
        <i val="0"/>
        <color theme="0"/>
      </font>
      <fill>
        <patternFill>
          <bgColor rgb="FFFF0000"/>
        </patternFill>
      </fill>
    </dxf>
    <dxf>
      <font>
        <b/>
        <i val="0"/>
        <color theme="0"/>
      </font>
      <fill>
        <patternFill>
          <bgColor rgb="FF92D050"/>
        </patternFill>
      </fill>
    </dxf>
    <dxf>
      <font>
        <color rgb="FF9C0006"/>
      </font>
      <fill>
        <patternFill>
          <bgColor rgb="FFFFC7CE"/>
        </patternFill>
      </fill>
    </dxf>
    <dxf>
      <font>
        <b/>
        <i val="0"/>
        <color theme="0"/>
      </font>
      <fill>
        <patternFill>
          <bgColor rgb="FFFF0000"/>
        </patternFill>
      </fill>
    </dxf>
    <dxf>
      <font>
        <b/>
        <i val="0"/>
        <color theme="0"/>
      </font>
      <fill>
        <patternFill>
          <bgColor rgb="FF92D050"/>
        </patternFill>
      </fill>
    </dxf>
    <dxf>
      <font>
        <b/>
        <i val="0"/>
        <color theme="0"/>
      </font>
      <fill>
        <patternFill>
          <bgColor rgb="FFFFC000"/>
        </patternFill>
      </fill>
    </dxf>
    <dxf>
      <font>
        <b/>
        <i val="0"/>
        <color theme="0"/>
      </font>
      <fill>
        <patternFill>
          <bgColor rgb="FFFF0000"/>
        </patternFill>
      </fill>
    </dxf>
    <dxf>
      <font>
        <b/>
        <i val="0"/>
        <color theme="0"/>
      </font>
      <fill>
        <patternFill>
          <bgColor rgb="FF92D050"/>
        </patternFill>
      </fill>
    </dxf>
    <dxf>
      <font>
        <b/>
        <i val="0"/>
        <color theme="0"/>
      </font>
      <fill>
        <patternFill>
          <bgColor rgb="FFFFC000"/>
        </patternFill>
      </fill>
    </dxf>
    <dxf>
      <font>
        <color auto="1"/>
      </font>
      <fill>
        <patternFill>
          <bgColor rgb="FFFF0000"/>
        </patternFill>
      </fill>
    </dxf>
    <dxf>
      <font>
        <color auto="1"/>
      </font>
      <fill>
        <patternFill>
          <bgColor rgb="FF92D050"/>
        </patternFill>
      </fill>
    </dxf>
    <dxf>
      <font>
        <color auto="1"/>
      </font>
      <fill>
        <patternFill>
          <bgColor rgb="FFFFC000"/>
        </patternFill>
      </fill>
    </dxf>
    <dxf>
      <font>
        <b/>
        <i val="0"/>
        <color theme="0"/>
      </font>
      <fill>
        <patternFill>
          <bgColor rgb="FFFF0000"/>
        </patternFill>
      </fill>
    </dxf>
    <dxf>
      <font>
        <b/>
        <i val="0"/>
        <color theme="0"/>
      </font>
      <fill>
        <patternFill>
          <bgColor rgb="FF92D050"/>
        </patternFill>
      </fill>
    </dxf>
    <dxf>
      <font>
        <b/>
        <i val="0"/>
        <color theme="0"/>
      </font>
      <fill>
        <patternFill>
          <bgColor rgb="FFFFC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
      <font>
        <b/>
        <i val="0"/>
        <color theme="0"/>
      </font>
      <fill>
        <patternFill>
          <bgColor rgb="FFFF0000"/>
        </patternFill>
      </fill>
    </dxf>
    <dxf>
      <font>
        <b/>
        <i val="0"/>
        <color theme="0"/>
      </font>
      <fill>
        <patternFill>
          <bgColor rgb="FF92D050"/>
        </patternFill>
      </fill>
    </dxf>
    <dxf>
      <font>
        <b/>
        <i val="0"/>
        <color theme="0"/>
      </font>
      <fill>
        <patternFill>
          <bgColor rgb="FFFFC000"/>
        </patternFill>
      </fill>
    </dxf>
    <dxf>
      <font>
        <color rgb="FF9C0006"/>
      </font>
      <fill>
        <patternFill>
          <bgColor rgb="FFFF0000"/>
        </patternFill>
      </fill>
    </dxf>
    <dxf>
      <font>
        <color rgb="FF9C0006"/>
      </font>
      <fill>
        <patternFill>
          <bgColor rgb="FF92D050"/>
        </patternFill>
      </fill>
    </dxf>
    <dxf>
      <font>
        <color rgb="FF9C0006"/>
      </font>
      <fill>
        <patternFill>
          <bgColor rgb="FFFFC000"/>
        </patternFill>
      </fill>
    </dxf>
    <dxf>
      <font>
        <b/>
        <i val="0"/>
        <color theme="0"/>
      </font>
      <fill>
        <patternFill>
          <bgColor rgb="FFFF0000"/>
        </patternFill>
      </fill>
    </dxf>
    <dxf>
      <font>
        <b/>
        <i val="0"/>
        <color theme="0"/>
      </font>
      <fill>
        <patternFill>
          <bgColor rgb="FF92D050"/>
        </patternFill>
      </fill>
    </dxf>
    <dxf>
      <font>
        <b/>
        <i val="0"/>
        <color theme="0"/>
      </font>
      <fill>
        <patternFill>
          <bgColor rgb="FFFFC000"/>
        </patternFill>
      </fill>
    </dxf>
    <dxf>
      <fill>
        <patternFill>
          <bgColor rgb="FFFF0000"/>
        </patternFill>
      </fill>
    </dxf>
    <dxf>
      <fill>
        <patternFill>
          <bgColor rgb="FF92D050"/>
        </patternFill>
      </fill>
    </dxf>
    <dxf>
      <fill>
        <patternFill>
          <bgColor rgb="FFFFC000"/>
        </patternFill>
      </fill>
    </dxf>
    <dxf>
      <font>
        <b/>
        <i val="0"/>
        <color theme="0"/>
      </font>
      <numFmt numFmtId="0" formatCode="General"/>
      <fill>
        <patternFill>
          <bgColor rgb="FFFF3300"/>
        </patternFill>
      </fill>
    </dxf>
    <dxf>
      <font>
        <b/>
        <i val="0"/>
        <color theme="0"/>
      </font>
      <fill>
        <patternFill>
          <bgColor rgb="FF92D05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ont>
        <b/>
        <i val="0"/>
        <color theme="0"/>
      </font>
      <fill>
        <patternFill>
          <bgColor rgb="FF92D050"/>
        </patternFill>
      </fill>
    </dxf>
    <dxf>
      <font>
        <b/>
        <i val="0"/>
        <color theme="0"/>
      </font>
      <fill>
        <patternFill>
          <bgColor rgb="FFFFC000"/>
        </patternFill>
      </fill>
    </dxf>
    <dxf>
      <font>
        <color rgb="FF9C0006"/>
      </font>
      <fill>
        <patternFill>
          <bgColor rgb="FFFF0000"/>
        </patternFill>
      </fill>
    </dxf>
    <dxf>
      <font>
        <color theme="1"/>
      </font>
      <fill>
        <patternFill>
          <bgColor rgb="FF92D050"/>
        </patternFill>
      </fill>
    </dxf>
    <dxf>
      <font>
        <color theme="1"/>
      </font>
      <fill>
        <patternFill>
          <bgColor rgb="FFFFC000"/>
        </patternFill>
      </fill>
    </dxf>
    <dxf>
      <font>
        <b/>
        <i val="0"/>
        <color theme="0"/>
      </font>
      <numFmt numFmtId="0" formatCode="General"/>
      <fill>
        <patternFill>
          <bgColor rgb="FFFF3300"/>
        </patternFill>
      </fill>
    </dxf>
    <dxf>
      <font>
        <b/>
        <i val="0"/>
        <color theme="0"/>
      </font>
      <fill>
        <patternFill>
          <bgColor rgb="FF92D050"/>
        </patternFill>
      </fill>
    </dxf>
    <dxf>
      <font>
        <b/>
        <i val="0"/>
        <color theme="0"/>
      </font>
      <numFmt numFmtId="0" formatCode="General"/>
      <fill>
        <patternFill>
          <bgColor rgb="FFFFC000"/>
        </patternFill>
      </fill>
    </dxf>
    <dxf>
      <font>
        <color rgb="FF9C0006"/>
      </font>
      <fill>
        <patternFill>
          <bgColor rgb="FFFFC7CE"/>
        </patternFill>
      </fill>
    </dxf>
    <dxf>
      <font>
        <b/>
        <i val="0"/>
        <color theme="0"/>
      </font>
      <fill>
        <patternFill>
          <bgColor rgb="FFFF0000"/>
        </patternFill>
      </fill>
    </dxf>
    <dxf>
      <font>
        <b/>
        <i val="0"/>
        <color theme="0"/>
      </font>
      <fill>
        <patternFill>
          <bgColor rgb="FF92D050"/>
        </patternFill>
      </fill>
    </dxf>
    <dxf>
      <font>
        <b/>
        <i val="0"/>
        <color theme="0"/>
      </font>
      <fill>
        <patternFill>
          <bgColor rgb="FFFFC000"/>
        </patternFill>
      </fill>
    </dxf>
    <dxf>
      <font>
        <b/>
        <i val="0"/>
        <color theme="0"/>
      </font>
      <numFmt numFmtId="0" formatCode="General"/>
      <fill>
        <patternFill>
          <bgColor rgb="FFFF3300"/>
        </patternFill>
      </fill>
    </dxf>
    <dxf>
      <font>
        <b/>
        <i val="0"/>
        <color theme="0"/>
      </font>
      <fill>
        <patternFill>
          <bgColor rgb="FF92D050"/>
        </patternFill>
      </fill>
    </dxf>
    <dxf>
      <font>
        <b/>
        <i val="0"/>
        <color theme="0"/>
      </font>
      <numFmt numFmtId="0" formatCode="General"/>
      <fill>
        <patternFill>
          <bgColor rgb="FFFFC000"/>
        </patternFill>
      </fill>
    </dxf>
  </dxfs>
  <tableStyles count="0" defaultTableStyle="TableStyleMedium9" defaultPivotStyle="PivotStyleMedium4"/>
  <colors>
    <mruColors>
      <color rgb="FFFF3300"/>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L"/>
              <a:t>Incidentes / Requerimientos / Warnings</a:t>
            </a:r>
          </a:p>
          <a:p>
            <a:pPr>
              <a:defRPr/>
            </a:pPr>
            <a:r>
              <a:rPr lang="es-CL"/>
              <a:t>por Equipos</a:t>
            </a:r>
          </a:p>
        </c:rich>
      </c:tx>
      <c:layout>
        <c:manualLayout>
          <c:xMode val="edge"/>
          <c:yMode val="edge"/>
          <c:x val="0.16515266841644793"/>
          <c:y val="4.16666666666666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'Calculo Informes'!$C$5</c:f>
              <c:strCache>
                <c:ptCount val="1"/>
                <c:pt idx="0">
                  <c:v>INC</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'Calculo Informes'!$B$6:$B$9</c:f>
              <c:strCache>
                <c:ptCount val="4"/>
                <c:pt idx="0">
                  <c:v>Middleware</c:v>
                </c:pt>
                <c:pt idx="1">
                  <c:v>Administración Nube</c:v>
                </c:pt>
                <c:pt idx="2">
                  <c:v>Administración SO, Servidores y Dominios</c:v>
                </c:pt>
                <c:pt idx="3">
                  <c:v>Monitoreo y Respaldo</c:v>
                </c:pt>
              </c:strCache>
            </c:strRef>
          </c:cat>
          <c:val>
            <c:numRef>
              <c:f>'Calculo Informes'!$C$6:$C$9</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00-1FF6-4B69-8B00-ACAC73C4283F}"/>
            </c:ext>
          </c:extLst>
        </c:ser>
        <c:ser>
          <c:idx val="1"/>
          <c:order val="1"/>
          <c:tx>
            <c:strRef>
              <c:f>'Calculo Informes'!$E$5</c:f>
              <c:strCache>
                <c:ptCount val="1"/>
                <c:pt idx="0">
                  <c:v>REQ</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'Calculo Informes'!$B$6:$B$9</c:f>
              <c:strCache>
                <c:ptCount val="4"/>
                <c:pt idx="0">
                  <c:v>Middleware</c:v>
                </c:pt>
                <c:pt idx="1">
                  <c:v>Administración Nube</c:v>
                </c:pt>
                <c:pt idx="2">
                  <c:v>Administración SO, Servidores y Dominios</c:v>
                </c:pt>
                <c:pt idx="3">
                  <c:v>Monitoreo y Respaldo</c:v>
                </c:pt>
              </c:strCache>
            </c:strRef>
          </c:cat>
          <c:val>
            <c:numRef>
              <c:f>'Calculo Informes'!$E$6:$E$9</c:f>
              <c:numCache>
                <c:formatCode>General</c:formatCode>
                <c:ptCount val="4"/>
                <c:pt idx="0">
                  <c:v>215</c:v>
                </c:pt>
                <c:pt idx="1">
                  <c:v>61</c:v>
                </c:pt>
                <c:pt idx="2">
                  <c:v>44</c:v>
                </c:pt>
                <c:pt idx="3">
                  <c:v>224</c:v>
                </c:pt>
              </c:numCache>
            </c:numRef>
          </c:val>
          <c:extLst>
            <c:ext xmlns:c16="http://schemas.microsoft.com/office/drawing/2014/chart" uri="{C3380CC4-5D6E-409C-BE32-E72D297353CC}">
              <c16:uniqueId val="{00000001-1FF6-4B69-8B00-ACAC73C4283F}"/>
            </c:ext>
          </c:extLst>
        </c:ser>
        <c:ser>
          <c:idx val="2"/>
          <c:order val="2"/>
          <c:tx>
            <c:strRef>
              <c:f>'Calculo Informes'!$D$5</c:f>
              <c:strCache>
                <c:ptCount val="1"/>
                <c:pt idx="0">
                  <c:v>Warning</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'Calculo Informes'!$B$6:$B$9</c:f>
              <c:strCache>
                <c:ptCount val="4"/>
                <c:pt idx="0">
                  <c:v>Middleware</c:v>
                </c:pt>
                <c:pt idx="1">
                  <c:v>Administración Nube</c:v>
                </c:pt>
                <c:pt idx="2">
                  <c:v>Administración SO, Servidores y Dominios</c:v>
                </c:pt>
                <c:pt idx="3">
                  <c:v>Monitoreo y Respaldo</c:v>
                </c:pt>
              </c:strCache>
            </c:strRef>
          </c:cat>
          <c:val>
            <c:numRef>
              <c:f>'Calculo Informes'!$D$6:$D$9</c:f>
              <c:numCache>
                <c:formatCode>General</c:formatCode>
                <c:ptCount val="4"/>
                <c:pt idx="0">
                  <c:v>3</c:v>
                </c:pt>
                <c:pt idx="1">
                  <c:v>0</c:v>
                </c:pt>
                <c:pt idx="2">
                  <c:v>8</c:v>
                </c:pt>
                <c:pt idx="3">
                  <c:v>14</c:v>
                </c:pt>
              </c:numCache>
            </c:numRef>
          </c:val>
          <c:extLst>
            <c:ext xmlns:c16="http://schemas.microsoft.com/office/drawing/2014/chart" uri="{C3380CC4-5D6E-409C-BE32-E72D297353CC}">
              <c16:uniqueId val="{00000003-642C-421A-A0DE-3004ADBEEBC0}"/>
            </c:ext>
          </c:extLst>
        </c:ser>
        <c:dLbls>
          <c:showLegendKey val="0"/>
          <c:showVal val="1"/>
          <c:showCatName val="0"/>
          <c:showSerName val="0"/>
          <c:showPercent val="0"/>
          <c:showBubbleSize val="0"/>
        </c:dLbls>
        <c:gapWidth val="150"/>
        <c:shape val="box"/>
        <c:axId val="1545771568"/>
        <c:axId val="1545774448"/>
        <c:axId val="0"/>
      </c:bar3DChart>
      <c:catAx>
        <c:axId val="154577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L"/>
          </a:p>
        </c:txPr>
        <c:crossAx val="1545774448"/>
        <c:crosses val="autoZero"/>
        <c:auto val="1"/>
        <c:lblAlgn val="ctr"/>
        <c:lblOffset val="100"/>
        <c:noMultiLvlLbl val="0"/>
      </c:catAx>
      <c:valAx>
        <c:axId val="15457744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L"/>
          </a:p>
        </c:txPr>
        <c:crossAx val="15457715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s-CL"/>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L" sz="1400"/>
              <a:t>Total de Incidentes / Requerimientos / Warnings</a:t>
            </a:r>
          </a:p>
          <a:p>
            <a:pPr>
              <a:defRPr/>
            </a:pPr>
            <a:r>
              <a:rPr lang="es-CL" sz="1400"/>
              <a:t> del periodo</a:t>
            </a:r>
          </a:p>
        </c:rich>
      </c:tx>
      <c:layout>
        <c:manualLayout>
          <c:xMode val="edge"/>
          <c:yMode val="edge"/>
          <c:x val="0.13973560320667752"/>
          <c:y val="4.603829439352867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'Calculo Informes'!$B$14</c:f>
              <c:strCache>
                <c:ptCount val="1"/>
                <c:pt idx="0">
                  <c:v>Total General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4B7-492D-8ACF-4BD51950094B}"/>
              </c:ext>
            </c:extLst>
          </c:dPt>
          <c:dPt>
            <c:idx val="2"/>
            <c:invertIfNegative val="0"/>
            <c:bubble3D val="0"/>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A43-402D-BDBF-60F29606E275}"/>
              </c:ext>
            </c:extLst>
          </c:dPt>
          <c:cat>
            <c:strRef>
              <c:f>'Calculo Informes'!$B$11:$B$14</c:f>
              <c:strCache>
                <c:ptCount val="4"/>
                <c:pt idx="0">
                  <c:v>Total Incidentes</c:v>
                </c:pt>
                <c:pt idx="1">
                  <c:v>Total Warning</c:v>
                </c:pt>
                <c:pt idx="2">
                  <c:v>Total Requerimientos</c:v>
                </c:pt>
                <c:pt idx="3">
                  <c:v>Total General</c:v>
                </c:pt>
              </c:strCache>
            </c:strRef>
          </c:cat>
          <c:val>
            <c:numRef>
              <c:f>'Calculo Informes'!$C$11:$C$14</c:f>
              <c:numCache>
                <c:formatCode>General</c:formatCode>
                <c:ptCount val="4"/>
                <c:pt idx="0">
                  <c:v>1</c:v>
                </c:pt>
                <c:pt idx="1">
                  <c:v>25</c:v>
                </c:pt>
                <c:pt idx="2">
                  <c:v>544</c:v>
                </c:pt>
                <c:pt idx="3">
                  <c:v>570</c:v>
                </c:pt>
              </c:numCache>
            </c:numRef>
          </c:val>
          <c:extLst>
            <c:ext xmlns:c16="http://schemas.microsoft.com/office/drawing/2014/chart" uri="{C3380CC4-5D6E-409C-BE32-E72D297353CC}">
              <c16:uniqueId val="{00000000-C4B7-492D-8ACF-4BD51950094B}"/>
            </c:ext>
          </c:extLst>
        </c:ser>
        <c:dLbls>
          <c:showLegendKey val="0"/>
          <c:showVal val="0"/>
          <c:showCatName val="0"/>
          <c:showSerName val="0"/>
          <c:showPercent val="0"/>
          <c:showBubbleSize val="0"/>
        </c:dLbls>
        <c:gapWidth val="150"/>
        <c:shape val="box"/>
        <c:axId val="1545771568"/>
        <c:axId val="1545774448"/>
        <c:axId val="0"/>
      </c:bar3DChart>
      <c:catAx>
        <c:axId val="154577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L"/>
          </a:p>
        </c:txPr>
        <c:crossAx val="1545774448"/>
        <c:crosses val="autoZero"/>
        <c:auto val="1"/>
        <c:lblAlgn val="ctr"/>
        <c:lblOffset val="100"/>
        <c:noMultiLvlLbl val="0"/>
      </c:catAx>
      <c:valAx>
        <c:axId val="15457744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L"/>
          </a:p>
        </c:txPr>
        <c:crossAx val="15457715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s-CL"/>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833437</xdr:colOff>
      <xdr:row>0</xdr:row>
      <xdr:rowOff>9524</xdr:rowOff>
    </xdr:from>
    <xdr:to>
      <xdr:col>14</xdr:col>
      <xdr:colOff>123825</xdr:colOff>
      <xdr:row>14</xdr:row>
      <xdr:rowOff>38099</xdr:rowOff>
    </xdr:to>
    <xdr:graphicFrame macro="">
      <xdr:nvGraphicFramePr>
        <xdr:cNvPr id="4" name="Gráfico 1">
          <a:extLst>
            <a:ext uri="{FF2B5EF4-FFF2-40B4-BE49-F238E27FC236}">
              <a16:creationId xmlns:a16="http://schemas.microsoft.com/office/drawing/2014/main" id="{DB6720A9-FB1B-4A82-A654-963ACF838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800099</xdr:colOff>
      <xdr:row>15</xdr:row>
      <xdr:rowOff>0</xdr:rowOff>
    </xdr:from>
    <xdr:to>
      <xdr:col>14</xdr:col>
      <xdr:colOff>142874</xdr:colOff>
      <xdr:row>30</xdr:row>
      <xdr:rowOff>171450</xdr:rowOff>
    </xdr:to>
    <xdr:graphicFrame macro="">
      <xdr:nvGraphicFramePr>
        <xdr:cNvPr id="5" name="Gráfico 2">
          <a:extLst>
            <a:ext uri="{FF2B5EF4-FFF2-40B4-BE49-F238E27FC236}">
              <a16:creationId xmlns:a16="http://schemas.microsoft.com/office/drawing/2014/main" id="{CCA0E55B-951F-4BFC-84E3-3E937703AD13}"/>
            </a:ext>
            <a:ext uri="{147F2762-F138-4A5C-976F-8EAC2B608ADB}">
              <a16:predDERef xmlns:a16="http://schemas.microsoft.com/office/drawing/2014/main" pred="{DB6720A9-FB1B-4A82-A654-963ACF838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10.150.150.212/ASDKV8/Main/Pages/Cases.aspx" TargetMode="External"/><Relationship Id="rId1" Type="http://schemas.openxmlformats.org/officeDocument/2006/relationships/hyperlink" Target="http://10.150.150.212/ASDKV8/Main/Pages/Cases.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pws.gestordepagos.ips.gob.cl/ConsultaLiquidacionExpressWS/consultarLiquidacionExpress?WSD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10.150.180.63/appweb/ConsIF/consuCAP.php"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F9DB4-E388-4BC2-B71B-5FC65635C80E}">
  <sheetPr codeName="Hoja1">
    <tabColor rgb="FFFF0000"/>
  </sheetPr>
  <dimension ref="B1:F14"/>
  <sheetViews>
    <sheetView topLeftCell="A5" workbookViewId="0">
      <selection activeCell="C6" sqref="C6"/>
    </sheetView>
  </sheetViews>
  <sheetFormatPr baseColWidth="10" defaultColWidth="11" defaultRowHeight="15.75" x14ac:dyDescent="0.25"/>
  <cols>
    <col min="1" max="1" width="3.75" customWidth="1"/>
    <col min="2" max="2" width="26.375" customWidth="1"/>
    <col min="3" max="3" width="10.75" customWidth="1"/>
    <col min="4" max="4" width="11.125" customWidth="1"/>
    <col min="5" max="5" width="7.375" customWidth="1"/>
    <col min="6" max="6" width="17.375" bestFit="1" customWidth="1"/>
  </cols>
  <sheetData>
    <row r="1" spans="2:6" ht="18.75" x14ac:dyDescent="0.3">
      <c r="B1" s="401" t="s">
        <v>0</v>
      </c>
      <c r="C1" s="402"/>
      <c r="D1" s="135"/>
      <c r="E1" s="33"/>
      <c r="F1" s="33"/>
    </row>
    <row r="2" spans="2:6" x14ac:dyDescent="0.25">
      <c r="B2" s="110" t="s">
        <v>1</v>
      </c>
      <c r="C2" s="111">
        <v>46091</v>
      </c>
      <c r="D2" s="135"/>
      <c r="E2" s="33"/>
      <c r="F2" s="33"/>
    </row>
    <row r="3" spans="2:6" x14ac:dyDescent="0.25">
      <c r="B3" s="112" t="s">
        <v>2</v>
      </c>
      <c r="C3" s="113">
        <v>46121</v>
      </c>
      <c r="D3" s="135"/>
      <c r="E3" s="33"/>
      <c r="F3" s="33"/>
    </row>
    <row r="4" spans="2:6" ht="16.5" thickBot="1" x14ac:dyDescent="0.3">
      <c r="B4" s="33"/>
      <c r="C4" s="33"/>
      <c r="D4" s="33"/>
      <c r="E4" s="33"/>
      <c r="F4" s="33"/>
    </row>
    <row r="5" spans="2:6" ht="19.5" thickBot="1" x14ac:dyDescent="0.35">
      <c r="B5" s="114" t="s">
        <v>3</v>
      </c>
      <c r="C5" s="142" t="s">
        <v>4</v>
      </c>
      <c r="D5" s="148" t="s">
        <v>5</v>
      </c>
      <c r="E5" s="142" t="s">
        <v>6</v>
      </c>
      <c r="F5" s="143" t="s">
        <v>7</v>
      </c>
    </row>
    <row r="6" spans="2:6" x14ac:dyDescent="0.25">
      <c r="B6" s="144" t="s">
        <v>8</v>
      </c>
      <c r="C6" s="149">
        <f>SUM(COUNTIFS(OscarMora!$B$2:$B$10001,"&gt;="&amp;C2,OscarMora!$B$2:$B$10001,"&lt;="&amp;C3,OscarMora!$F$2:$F$10001,"=INC"),
COUNTIFS(AmericoSaravia!$B$2:$B$10072,"&gt;="&amp;C2,AmericoSaravia!$B$2:$B$10072,"&lt;="&amp;C3,AmericoSaravia!$F$2:$F$10072,"=INC"),
COUNTIFS(GabrielNuñez!$B$2:$B$9983,"&gt;="&amp;C2,GabrielNuñez!$B$2:$B$9983,"&lt;="&amp;C3,GabrielNuñez!$F$2:$F$9983,"=INC"))</f>
        <v>0</v>
      </c>
      <c r="D6" s="150">
        <f>SUM(COUNTIFS(OscarMora!$B$2:$B$10001,"&gt;="&amp;C2,OscarMora!$B$2:$B$10001,"&lt;="&amp;C3,OscarMora!$F$2:$F$10001,"=WARNING"),COUNTIFS(AmericoSaravia!$B$2:$B$10072,"&gt;="&amp;C2,AmericoSaravia!$B$2:$B$10072,"&lt;="&amp;C3,AmericoSaravia!$F$2:$F$10072,"=WARNING"),COUNTIFS(GabrielNuñez!$B$2:$B$9983,"&gt;="&amp;C2,GabrielNuñez!$B$2:$B$9983,"&lt;="&amp;C3,GabrielNuñez!$F$2:$F$9983,"=WARNING"))</f>
        <v>3</v>
      </c>
      <c r="E6" s="151">
        <f>SUM(COUNTIFS(OscarMora!$B$2:$B$10001,"&gt;="&amp;C2,OscarMora!$B$2:$B$10001,"&lt;="&amp;C3,OscarMora!$F$2:$F$10001,"=REQ"),COUNTIFS(AmericoSaravia!$B$2:$B$10072,"&gt;="&amp;C2,AmericoSaravia!$B$2:$B$10072,"&lt;="&amp;C3,AmericoSaravia!$F$2:$F$10072,"=REQ"),COUNTIFS(GabrielNuñez!$B$2:$B$9983,"&gt;="&amp;C2,GabrielNuñez!$B$2:$B$9983,"&lt;="&amp;C3,GabrielNuñez!$F$2:$F$9983,"=REQ"))</f>
        <v>215</v>
      </c>
      <c r="F6" s="152">
        <f>SUM(C6:E6)</f>
        <v>218</v>
      </c>
    </row>
    <row r="7" spans="2:6" x14ac:dyDescent="0.25">
      <c r="B7" s="145" t="s">
        <v>9</v>
      </c>
      <c r="C7" s="153">
        <f>SUM(COUNTIFS(GonzaloRodriguez!$B$2:$B$9988,"&gt;="&amp;C2,GonzaloRodriguez!$B$2:$B$9988,"&lt;="&amp;C3,GonzaloRodriguez!$F$2:$F$9988,"=INC"),COUNTIFS(CesarGonzalez!$B$2:$B$10000,"&gt;="&amp;C2,CesarGonzalez!$B$2:$B$10000,"&lt;="&amp;C3,CesarGonzalez!$F$2:$F$10000,"=INC"))</f>
        <v>0</v>
      </c>
      <c r="D7" s="154">
        <f>SUM(COUNTIFS(GonzaloRodriguez!$B$2:$B$9988,"&gt;="&amp;C2,GonzaloRodriguez!$B$2:$B$9988,"&lt;="&amp;C3,GonzaloRodriguez!$F$2:$F$9988,"=WARNING"),COUNTIFS(CesarGonzalez!$B$2:$B$10000,"&gt;="&amp;C2,CesarGonzalez!$B$2:$B$10000,"&lt;="&amp;C3,CesarGonzalez!$F$2:$F$10000,"=WARNING"))</f>
        <v>0</v>
      </c>
      <c r="E7" s="153">
        <f>SUM(COUNTIFS(GonzaloRodriguez!$B$2:$B$9988,"&gt;="&amp;C2,GonzaloRodriguez!$B$2:$B$9988,"&lt;="&amp;C3,GonzaloRodriguez!$F$2:$F$9988,"=REQ"),COUNTIFS(CesarGonzalez!$B$2:$B$10000,"&gt;="&amp;C2,CesarGonzalez!$B$2:$B$10000,"&lt;="&amp;C3,CesarGonzalez!$F$2:$F$10000,"=REQ"))</f>
        <v>61</v>
      </c>
      <c r="F7" s="155">
        <f t="shared" ref="F7:F9" si="0">SUM(C7:E7)</f>
        <v>61</v>
      </c>
    </row>
    <row r="8" spans="2:6" ht="31.5" x14ac:dyDescent="0.25">
      <c r="B8" s="146" t="s">
        <v>10</v>
      </c>
      <c r="C8" s="153">
        <f>SUM(COUNTIFS(RodrigoLorca!$B$2:$B$10000,"&gt;="&amp;C2,RodrigoLorca!$B$2:$B$10000,"&lt;="&amp;C3,RodrigoLorca!$F$2:$F$10000,"=INC"),COUNTIFS(PabloSalazar!$B$2:$B$10000,"&gt;="&amp;C2,PabloSalazar!$B$2:$B$10000,"&lt;="&amp;C3,PabloSalazar!$F$2:$F$10000,"=INC"))</f>
        <v>0</v>
      </c>
      <c r="D8" s="156">
        <f>SUM(COUNTIFS(RodrigoLorca!$B$2:$B$10000,"&gt;="&amp;C2,RodrigoLorca!$B$2:$B$10000,"&lt;="&amp;C3,RodrigoLorca!$F$2:$F$10000,"=WARNING"),COUNTIFS(PabloSalazar!$B$2:$B$10000,"&gt;="&amp;C2,PabloSalazar!$B$2:$B$10000,"&lt;="&amp;C3,PabloSalazar!$F$2:$F$10000,"=WARNING"))</f>
        <v>8</v>
      </c>
      <c r="E8" s="153">
        <f>SUM(COUNTIFS(RodrigoLorca!$B$2:$B$10000,"&gt;="&amp;C2,RodrigoLorca!$B$2:$B$10000,"&lt;="&amp;C3,RodrigoLorca!$F$2:$F$10000,"=REQ"),COUNTIFS(PabloSalazar!$B$2:$B$10000,"&gt;="&amp;C2,PabloSalazar!$B$2:$B$10000,"&lt;="&amp;C3,PabloSalazar!$F$2:$F$10000,"=REQ"))</f>
        <v>44</v>
      </c>
      <c r="F8" s="155">
        <f t="shared" si="0"/>
        <v>52</v>
      </c>
    </row>
    <row r="9" spans="2:6" ht="16.5" thickBot="1" x14ac:dyDescent="0.3">
      <c r="B9" s="147" t="s">
        <v>11</v>
      </c>
      <c r="C9" s="157">
        <f>SUM(COUNTIFS(CarlosJara!$B$2:$B$10006,"&gt;="&amp;C2,CarlosJara!$B$2:$B$10006,"&lt;="&amp;C3,CarlosJara!$F$2:$F$10006,"=INC"),COUNTIFS(JPBuzeta!$B$2:$B$10010,"&gt;="&amp;C2,JPBuzeta!$B$2:$B$10010,"&lt;="&amp;C3,JPBuzeta!$F$2:$F$10010,"=INC"),COUNTIFS(CristiánVásquez!$B$2:$B$9992,"&gt;="&amp;C2,CristiánVásquez!$B$2:$B$9992,"&lt;="&amp;C3,CristiánVásquez!$F$2:$F$9992,"=INC"),COUNTIFS(AlejandroIpinza!$B$2:$B$10000,"&gt;="&amp;C2,AlejandroIpinza!$B$2:$B$10000,"&lt;="&amp;C3,AlejandroIpinza!$F$2:$F$10000,"=INC"))</f>
        <v>1</v>
      </c>
      <c r="D9" s="158">
        <f>SUM(COUNTIFS(CarlosJara!$B$2:$B$10006,"&gt;="&amp;C2,CarlosJara!$B$2:$B$10006,"&lt;="&amp;C3,CarlosJara!$F$2:$F$10006,"=WARNING"),COUNTIFS(JPBuzeta!$B$2:$B$10010,"&gt;="&amp;C2,JPBuzeta!$B$2:$B$10010,"&lt;="&amp;C3,JPBuzeta!$F$2:$F$10010,"=WARNING"),COUNTIFS(CristiánVásquez!$B$2:$B$9992,"&gt;="&amp;C2,CristiánVásquez!$B$2:$B$9992,"&lt;="&amp;C3,CristiánVásquez!$F$2:$F$9992,"=WARNING"),
COUNTIFS(AlejandroIpinza!$B$2:$B$10000,"&gt;="&amp;C2,AlejandroIpinza!$B$2:$B$10000,"&lt;="&amp;C3,AlejandroIpinza!$F$2:$F$10000,"=WARNING"))</f>
        <v>14</v>
      </c>
      <c r="E9" s="157">
        <f>SUM(COUNTIFS(CarlosJara!$B$2:$B$10006,"&gt;="&amp;C2,CarlosJara!$B$2:$B$10006,"&lt;="&amp;C3,CarlosJara!$F$2:$F$10006,"=REQ"),COUNTIFS(JPBuzeta!$B$2:$B$10010,"&gt;="&amp;C2,JPBuzeta!$B$2:$B$10010,"&lt;="&amp;C3,JPBuzeta!$F$2:$F$10010,"=REQ"),COUNTIFS(CristiánVásquez!$B$2:$B$9992,"&gt;="&amp;C2,CristiánVásquez!$B$2:$B$9992,"&lt;="&amp;C3,CristiánVásquez!$F$2:$F$9992,"=REQ"),COUNTIFS(AlejandroIpinza!$B$2:$B$10000,"&gt;="&amp;C2,AlejandroIpinza!$B$2:$B$10000,"&lt;="&amp;C3,AlejandroIpinza!$F$2:$F$10000,"=REQ"))</f>
        <v>224</v>
      </c>
      <c r="F9" s="159">
        <f t="shared" si="0"/>
        <v>239</v>
      </c>
    </row>
    <row r="10" spans="2:6" ht="16.5" thickBot="1" x14ac:dyDescent="0.3">
      <c r="B10" s="33"/>
      <c r="C10" s="33"/>
      <c r="D10" s="33"/>
      <c r="E10" s="33"/>
      <c r="F10" s="33"/>
    </row>
    <row r="11" spans="2:6" ht="19.5" thickBot="1" x14ac:dyDescent="0.35">
      <c r="B11" s="114" t="s">
        <v>12</v>
      </c>
      <c r="C11" s="160">
        <f>SUM(C6:C9)</f>
        <v>1</v>
      </c>
      <c r="D11" s="136"/>
      <c r="E11" s="33"/>
      <c r="F11" s="33"/>
    </row>
    <row r="12" spans="2:6" ht="19.5" thickBot="1" x14ac:dyDescent="0.35">
      <c r="B12" s="114" t="s">
        <v>13</v>
      </c>
      <c r="C12" s="160">
        <f>SUM(D6:D9)</f>
        <v>25</v>
      </c>
      <c r="D12" s="136"/>
      <c r="E12" s="33"/>
      <c r="F12" s="33"/>
    </row>
    <row r="13" spans="2:6" ht="19.5" thickBot="1" x14ac:dyDescent="0.35">
      <c r="B13" s="114" t="s">
        <v>14</v>
      </c>
      <c r="C13" s="160">
        <f>SUM(E6:E9)</f>
        <v>544</v>
      </c>
      <c r="D13" s="136"/>
      <c r="E13" s="33"/>
      <c r="F13" s="33"/>
    </row>
    <row r="14" spans="2:6" ht="19.5" thickBot="1" x14ac:dyDescent="0.35">
      <c r="B14" s="109" t="s">
        <v>15</v>
      </c>
      <c r="C14" s="161">
        <f>SUM(C11:C13)</f>
        <v>570</v>
      </c>
      <c r="D14" s="136"/>
      <c r="E14" s="33"/>
      <c r="F14" s="33"/>
    </row>
  </sheetData>
  <mergeCells count="1">
    <mergeCell ref="B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CF43-5450-45E1-AFB5-80930729DD8A}">
  <sheetPr codeName="Hoja5">
    <tabColor rgb="FF92D050"/>
    <pageSetUpPr fitToPage="1"/>
  </sheetPr>
  <dimension ref="A1:M479"/>
  <sheetViews>
    <sheetView showGridLines="0" zoomScale="90" zoomScaleNormal="90" workbookViewId="0">
      <pane ySplit="1" topLeftCell="A471" activePane="bottomLeft" state="frozen"/>
      <selection pane="bottomLeft" activeCell="G479" sqref="A478:G479"/>
    </sheetView>
  </sheetViews>
  <sheetFormatPr baseColWidth="10" defaultColWidth="11" defaultRowHeight="17.25" x14ac:dyDescent="0.3"/>
  <cols>
    <col min="1" max="1" width="3.375" style="1" customWidth="1"/>
    <col min="2" max="2" width="13.375" style="11" customWidth="1"/>
    <col min="3" max="3" width="16.875" style="11" customWidth="1"/>
    <col min="4" max="4" width="33.75" style="2" customWidth="1"/>
    <col min="5" max="5" width="20.875" style="2" customWidth="1"/>
    <col min="6" max="6" width="12.25" style="2" bestFit="1" customWidth="1"/>
    <col min="7" max="7" width="86.5" style="2" bestFit="1" customWidth="1"/>
    <col min="8" max="8" width="102.5" style="2" customWidth="1"/>
    <col min="9" max="9" width="12.375" style="1" customWidth="1"/>
    <col min="10" max="10" width="12.125" style="1" customWidth="1"/>
    <col min="11" max="13" width="11" style="1" customWidth="1"/>
    <col min="14" max="14" width="11" style="2" customWidth="1"/>
    <col min="15" max="16384" width="11" style="2"/>
  </cols>
  <sheetData>
    <row r="1" spans="1:13" s="4" customFormat="1" ht="62.25" customHeight="1" x14ac:dyDescent="0.25">
      <c r="A1" s="3"/>
      <c r="B1" s="8" t="s">
        <v>16</v>
      </c>
      <c r="C1" s="8" t="s">
        <v>17</v>
      </c>
      <c r="D1" s="8" t="s">
        <v>18</v>
      </c>
      <c r="E1" s="8" t="s">
        <v>19</v>
      </c>
      <c r="F1" s="8" t="s">
        <v>20</v>
      </c>
      <c r="G1" s="8" t="s">
        <v>21</v>
      </c>
      <c r="H1" s="8" t="s">
        <v>22</v>
      </c>
      <c r="I1" s="280" t="s">
        <v>3564</v>
      </c>
      <c r="J1" s="280" t="s">
        <v>3563</v>
      </c>
      <c r="K1" s="3"/>
      <c r="L1" s="3"/>
      <c r="M1" s="3"/>
    </row>
    <row r="2" spans="1:13" customFormat="1" ht="27" x14ac:dyDescent="0.25">
      <c r="B2" s="357">
        <v>45737</v>
      </c>
      <c r="C2" s="358">
        <v>45723</v>
      </c>
      <c r="D2" s="56" t="s">
        <v>692</v>
      </c>
      <c r="E2" s="56" t="s">
        <v>410</v>
      </c>
      <c r="F2" s="359" t="s">
        <v>6</v>
      </c>
      <c r="G2" s="360" t="s">
        <v>1039</v>
      </c>
      <c r="H2" s="360" t="s">
        <v>1040</v>
      </c>
      <c r="I2" s="56"/>
      <c r="J2" s="56"/>
    </row>
    <row r="3" spans="1:13" customFormat="1" ht="27" x14ac:dyDescent="0.25">
      <c r="B3" s="357">
        <v>45741</v>
      </c>
      <c r="C3" s="358">
        <v>45724</v>
      </c>
      <c r="D3" s="56" t="s">
        <v>692</v>
      </c>
      <c r="E3" s="56" t="s">
        <v>410</v>
      </c>
      <c r="F3" s="359" t="s">
        <v>6</v>
      </c>
      <c r="G3" s="360" t="s">
        <v>1041</v>
      </c>
      <c r="H3" s="360" t="s">
        <v>1042</v>
      </c>
      <c r="I3" s="56"/>
      <c r="J3" s="56"/>
    </row>
    <row r="4" spans="1:13" customFormat="1" ht="27" x14ac:dyDescent="0.25">
      <c r="B4" s="357">
        <v>45741</v>
      </c>
      <c r="C4" s="358">
        <v>45725</v>
      </c>
      <c r="D4" s="56" t="s">
        <v>1043</v>
      </c>
      <c r="E4" s="56" t="s">
        <v>410</v>
      </c>
      <c r="F4" s="359" t="s">
        <v>6</v>
      </c>
      <c r="G4" s="360" t="s">
        <v>1044</v>
      </c>
      <c r="H4" s="360" t="s">
        <v>1045</v>
      </c>
      <c r="I4" s="56"/>
      <c r="J4" s="56"/>
    </row>
    <row r="5" spans="1:13" customFormat="1" ht="27" x14ac:dyDescent="0.25">
      <c r="B5" s="357">
        <v>45742</v>
      </c>
      <c r="C5" s="358">
        <v>45726</v>
      </c>
      <c r="D5" s="56" t="s">
        <v>1046</v>
      </c>
      <c r="E5" s="56" t="s">
        <v>410</v>
      </c>
      <c r="F5" s="359" t="s">
        <v>6</v>
      </c>
      <c r="G5" s="360" t="s">
        <v>1047</v>
      </c>
      <c r="H5" s="360" t="s">
        <v>1048</v>
      </c>
      <c r="I5" s="56"/>
      <c r="J5" s="56"/>
    </row>
    <row r="6" spans="1:13" customFormat="1" ht="15.75" x14ac:dyDescent="0.25">
      <c r="B6" s="357">
        <v>45742</v>
      </c>
      <c r="C6" s="358">
        <v>45727</v>
      </c>
      <c r="D6" s="56" t="s">
        <v>1043</v>
      </c>
      <c r="E6" s="56" t="s">
        <v>410</v>
      </c>
      <c r="F6" s="359" t="s">
        <v>6</v>
      </c>
      <c r="G6" s="360" t="s">
        <v>1049</v>
      </c>
      <c r="H6" s="360" t="s">
        <v>1050</v>
      </c>
      <c r="I6" s="56"/>
      <c r="J6" s="56"/>
    </row>
    <row r="7" spans="1:13" customFormat="1" ht="15.75" x14ac:dyDescent="0.25">
      <c r="B7" s="357">
        <v>45743</v>
      </c>
      <c r="C7" s="358">
        <v>45728</v>
      </c>
      <c r="D7" s="56" t="s">
        <v>1051</v>
      </c>
      <c r="E7" s="56" t="s">
        <v>410</v>
      </c>
      <c r="F7" s="359" t="s">
        <v>6</v>
      </c>
      <c r="G7" s="360" t="s">
        <v>1052</v>
      </c>
      <c r="H7" s="360" t="s">
        <v>1053</v>
      </c>
      <c r="I7" s="56"/>
      <c r="J7" s="56"/>
    </row>
    <row r="8" spans="1:13" customFormat="1" ht="15.75" x14ac:dyDescent="0.25">
      <c r="B8" s="357">
        <v>45743</v>
      </c>
      <c r="C8" s="358">
        <v>45729</v>
      </c>
      <c r="D8" s="56" t="s">
        <v>1054</v>
      </c>
      <c r="E8" s="56" t="s">
        <v>410</v>
      </c>
      <c r="F8" s="359" t="s">
        <v>6</v>
      </c>
      <c r="G8" s="360" t="s">
        <v>1055</v>
      </c>
      <c r="H8" s="360" t="s">
        <v>1056</v>
      </c>
      <c r="I8" s="56"/>
      <c r="J8" s="56"/>
    </row>
    <row r="9" spans="1:13" customFormat="1" ht="15.75" x14ac:dyDescent="0.25">
      <c r="B9" s="357">
        <v>45743</v>
      </c>
      <c r="C9" s="358">
        <v>45730</v>
      </c>
      <c r="D9" s="56" t="s">
        <v>1046</v>
      </c>
      <c r="E9" s="56" t="s">
        <v>410</v>
      </c>
      <c r="F9" s="359" t="s">
        <v>6</v>
      </c>
      <c r="G9" s="360" t="s">
        <v>1057</v>
      </c>
      <c r="H9" s="360" t="s">
        <v>1058</v>
      </c>
      <c r="I9" s="56"/>
      <c r="J9" s="56"/>
    </row>
    <row r="10" spans="1:13" customFormat="1" ht="27" x14ac:dyDescent="0.25">
      <c r="B10" s="357">
        <v>45744</v>
      </c>
      <c r="C10" s="358">
        <v>45731</v>
      </c>
      <c r="D10" s="56" t="s">
        <v>1059</v>
      </c>
      <c r="E10" s="56" t="s">
        <v>410</v>
      </c>
      <c r="F10" s="359" t="s">
        <v>6</v>
      </c>
      <c r="G10" s="360" t="s">
        <v>1060</v>
      </c>
      <c r="H10" s="360" t="s">
        <v>1061</v>
      </c>
      <c r="I10" s="56"/>
      <c r="J10" s="56"/>
    </row>
    <row r="11" spans="1:13" customFormat="1" ht="27" x14ac:dyDescent="0.25">
      <c r="B11" s="357">
        <v>45744</v>
      </c>
      <c r="C11" s="358">
        <v>45732</v>
      </c>
      <c r="D11" s="56" t="s">
        <v>1062</v>
      </c>
      <c r="E11" s="56" t="s">
        <v>410</v>
      </c>
      <c r="F11" s="359" t="s">
        <v>6</v>
      </c>
      <c r="G11" s="360" t="s">
        <v>1063</v>
      </c>
      <c r="H11" s="360" t="s">
        <v>1064</v>
      </c>
      <c r="I11" s="56"/>
      <c r="J11" s="56"/>
    </row>
    <row r="12" spans="1:13" ht="27.75" x14ac:dyDescent="0.3">
      <c r="B12" s="357">
        <v>45747</v>
      </c>
      <c r="C12" s="358">
        <v>45733</v>
      </c>
      <c r="D12" s="56" t="s">
        <v>1065</v>
      </c>
      <c r="E12" s="56" t="s">
        <v>410</v>
      </c>
      <c r="F12" s="359" t="s">
        <v>6</v>
      </c>
      <c r="G12" s="360" t="s">
        <v>1066</v>
      </c>
      <c r="H12" s="360" t="s">
        <v>1067</v>
      </c>
      <c r="I12" s="313"/>
      <c r="J12" s="313"/>
    </row>
    <row r="13" spans="1:13" ht="27.75" x14ac:dyDescent="0.3">
      <c r="B13" s="357">
        <v>45748</v>
      </c>
      <c r="C13" s="405">
        <v>45748</v>
      </c>
      <c r="D13" s="360" t="s">
        <v>1046</v>
      </c>
      <c r="E13" s="56" t="s">
        <v>410</v>
      </c>
      <c r="F13" s="359" t="s">
        <v>6</v>
      </c>
      <c r="G13" s="360" t="s">
        <v>1068</v>
      </c>
      <c r="H13" s="360" t="s">
        <v>1069</v>
      </c>
      <c r="I13" s="313"/>
      <c r="J13" s="313"/>
    </row>
    <row r="14" spans="1:13" ht="27.75" x14ac:dyDescent="0.3">
      <c r="B14" s="357">
        <v>45748</v>
      </c>
      <c r="C14" s="405"/>
      <c r="D14" s="360" t="s">
        <v>1070</v>
      </c>
      <c r="E14" s="56" t="s">
        <v>410</v>
      </c>
      <c r="F14" s="359" t="s">
        <v>6</v>
      </c>
      <c r="G14" s="360" t="s">
        <v>1071</v>
      </c>
      <c r="H14" s="360" t="s">
        <v>1072</v>
      </c>
      <c r="I14" s="313"/>
      <c r="J14" s="313"/>
    </row>
    <row r="15" spans="1:13" ht="27.75" x14ac:dyDescent="0.3">
      <c r="B15" s="357">
        <v>45748</v>
      </c>
      <c r="C15" s="405"/>
      <c r="D15" s="360" t="s">
        <v>1073</v>
      </c>
      <c r="E15" s="56" t="s">
        <v>410</v>
      </c>
      <c r="F15" s="359" t="s">
        <v>6</v>
      </c>
      <c r="G15" s="360" t="s">
        <v>1074</v>
      </c>
      <c r="H15" s="360" t="s">
        <v>1075</v>
      </c>
      <c r="I15" s="313"/>
      <c r="J15" s="313"/>
    </row>
    <row r="16" spans="1:13" ht="27.75" x14ac:dyDescent="0.3">
      <c r="B16" s="357">
        <v>45749</v>
      </c>
      <c r="C16" s="405"/>
      <c r="D16" s="360" t="s">
        <v>1076</v>
      </c>
      <c r="E16" s="56" t="s">
        <v>410</v>
      </c>
      <c r="F16" s="359" t="s">
        <v>6</v>
      </c>
      <c r="G16" s="360" t="s">
        <v>1077</v>
      </c>
      <c r="H16" s="360" t="s">
        <v>1078</v>
      </c>
      <c r="I16" s="313"/>
      <c r="J16" s="313"/>
    </row>
    <row r="17" spans="2:10" ht="27.75" x14ac:dyDescent="0.3">
      <c r="B17" s="357">
        <v>45750</v>
      </c>
      <c r="C17" s="405"/>
      <c r="D17" s="360" t="s">
        <v>1079</v>
      </c>
      <c r="E17" s="56" t="s">
        <v>410</v>
      </c>
      <c r="F17" s="359" t="s">
        <v>6</v>
      </c>
      <c r="G17" s="360" t="s">
        <v>1080</v>
      </c>
      <c r="H17" s="360" t="s">
        <v>1081</v>
      </c>
      <c r="I17" s="313"/>
      <c r="J17" s="313"/>
    </row>
    <row r="18" spans="2:10" ht="41.25" x14ac:dyDescent="0.3">
      <c r="B18" s="357">
        <v>45750</v>
      </c>
      <c r="C18" s="405"/>
      <c r="D18" s="360" t="s">
        <v>1043</v>
      </c>
      <c r="E18" s="56" t="s">
        <v>410</v>
      </c>
      <c r="F18" s="359" t="s">
        <v>6</v>
      </c>
      <c r="G18" s="360" t="s">
        <v>1082</v>
      </c>
      <c r="H18" s="360" t="s">
        <v>1083</v>
      </c>
      <c r="I18" s="313"/>
      <c r="J18" s="313"/>
    </row>
    <row r="19" spans="2:10" ht="27.75" x14ac:dyDescent="0.3">
      <c r="B19" s="357">
        <v>45750</v>
      </c>
      <c r="C19" s="405"/>
      <c r="D19" s="360" t="s">
        <v>1043</v>
      </c>
      <c r="E19" s="56" t="s">
        <v>410</v>
      </c>
      <c r="F19" s="359" t="s">
        <v>6</v>
      </c>
      <c r="G19" s="360" t="s">
        <v>1084</v>
      </c>
      <c r="H19" s="360" t="s">
        <v>1085</v>
      </c>
      <c r="I19" s="313"/>
      <c r="J19" s="313"/>
    </row>
    <row r="20" spans="2:10" ht="27.75" x14ac:dyDescent="0.3">
      <c r="B20" s="357">
        <v>45750</v>
      </c>
      <c r="C20" s="405"/>
      <c r="D20" s="360" t="s">
        <v>1065</v>
      </c>
      <c r="E20" s="56" t="s">
        <v>410</v>
      </c>
      <c r="F20" s="359" t="s">
        <v>6</v>
      </c>
      <c r="G20" s="360" t="s">
        <v>1086</v>
      </c>
      <c r="H20" s="360" t="s">
        <v>1087</v>
      </c>
      <c r="I20" s="313"/>
      <c r="J20" s="313"/>
    </row>
    <row r="21" spans="2:10" x14ac:dyDescent="0.3">
      <c r="B21" s="357">
        <v>45751</v>
      </c>
      <c r="C21" s="405"/>
      <c r="D21" s="360" t="s">
        <v>1088</v>
      </c>
      <c r="E21" s="56" t="s">
        <v>410</v>
      </c>
      <c r="F21" s="359" t="s">
        <v>6</v>
      </c>
      <c r="G21" s="360" t="s">
        <v>1089</v>
      </c>
      <c r="H21" s="360" t="s">
        <v>1090</v>
      </c>
      <c r="I21" s="313"/>
      <c r="J21" s="313"/>
    </row>
    <row r="22" spans="2:10" ht="41.25" x14ac:dyDescent="0.3">
      <c r="B22" s="357">
        <v>45751</v>
      </c>
      <c r="C22" s="405"/>
      <c r="D22" s="360" t="s">
        <v>1043</v>
      </c>
      <c r="E22" s="56" t="s">
        <v>410</v>
      </c>
      <c r="F22" s="359" t="s">
        <v>6</v>
      </c>
      <c r="G22" s="360" t="s">
        <v>1091</v>
      </c>
      <c r="H22" s="360" t="s">
        <v>1092</v>
      </c>
      <c r="I22" s="313"/>
      <c r="J22" s="313"/>
    </row>
    <row r="23" spans="2:10" ht="27.75" x14ac:dyDescent="0.3">
      <c r="B23" s="357">
        <v>45754</v>
      </c>
      <c r="C23" s="405"/>
      <c r="D23" s="360" t="s">
        <v>1093</v>
      </c>
      <c r="E23" s="56" t="s">
        <v>410</v>
      </c>
      <c r="F23" s="359" t="s">
        <v>6</v>
      </c>
      <c r="G23" s="360" t="s">
        <v>1094</v>
      </c>
      <c r="H23" s="360" t="s">
        <v>1081</v>
      </c>
      <c r="I23" s="313"/>
      <c r="J23" s="313"/>
    </row>
    <row r="24" spans="2:10" ht="27.75" x14ac:dyDescent="0.3">
      <c r="B24" s="357">
        <v>45755</v>
      </c>
      <c r="C24" s="405"/>
      <c r="D24" s="360" t="s">
        <v>1043</v>
      </c>
      <c r="E24" s="56" t="s">
        <v>410</v>
      </c>
      <c r="F24" s="359" t="s">
        <v>6</v>
      </c>
      <c r="G24" s="360" t="s">
        <v>1082</v>
      </c>
      <c r="H24" s="360" t="s">
        <v>1095</v>
      </c>
      <c r="I24" s="313"/>
      <c r="J24" s="313"/>
    </row>
    <row r="25" spans="2:10" ht="41.25" x14ac:dyDescent="0.3">
      <c r="B25" s="357">
        <v>45756</v>
      </c>
      <c r="C25" s="405"/>
      <c r="D25" s="360" t="s">
        <v>1043</v>
      </c>
      <c r="E25" s="56" t="s">
        <v>410</v>
      </c>
      <c r="F25" s="359" t="s">
        <v>6</v>
      </c>
      <c r="G25" s="360" t="s">
        <v>1096</v>
      </c>
      <c r="H25" s="360" t="s">
        <v>1097</v>
      </c>
      <c r="I25" s="313"/>
      <c r="J25" s="313"/>
    </row>
    <row r="26" spans="2:10" ht="27.75" x14ac:dyDescent="0.3">
      <c r="B26" s="357">
        <v>45757</v>
      </c>
      <c r="C26" s="405"/>
      <c r="D26" s="360" t="s">
        <v>1098</v>
      </c>
      <c r="E26" s="56" t="s">
        <v>410</v>
      </c>
      <c r="F26" s="359" t="s">
        <v>6</v>
      </c>
      <c r="G26" s="360" t="s">
        <v>1099</v>
      </c>
      <c r="H26" s="360" t="s">
        <v>1100</v>
      </c>
      <c r="I26" s="313"/>
      <c r="J26" s="313"/>
    </row>
    <row r="27" spans="2:10" ht="68.25" x14ac:dyDescent="0.3">
      <c r="B27" s="357">
        <v>45757</v>
      </c>
      <c r="C27" s="405"/>
      <c r="D27" s="360" t="s">
        <v>1043</v>
      </c>
      <c r="E27" s="56" t="s">
        <v>410</v>
      </c>
      <c r="F27" s="359" t="s">
        <v>6</v>
      </c>
      <c r="G27" s="360" t="s">
        <v>1101</v>
      </c>
      <c r="H27" s="360" t="s">
        <v>1102</v>
      </c>
      <c r="I27" s="313"/>
      <c r="J27" s="313"/>
    </row>
    <row r="28" spans="2:10" x14ac:dyDescent="0.3">
      <c r="B28" s="357">
        <v>45757</v>
      </c>
      <c r="C28" s="405"/>
      <c r="D28" s="360" t="s">
        <v>1103</v>
      </c>
      <c r="E28" s="56" t="s">
        <v>410</v>
      </c>
      <c r="F28" s="359" t="s">
        <v>6</v>
      </c>
      <c r="G28" s="360" t="s">
        <v>1104</v>
      </c>
      <c r="H28" s="360" t="s">
        <v>1105</v>
      </c>
      <c r="I28" s="313"/>
      <c r="J28" s="313"/>
    </row>
    <row r="29" spans="2:10" ht="27.75" x14ac:dyDescent="0.3">
      <c r="B29" s="357">
        <v>45757</v>
      </c>
      <c r="C29" s="405"/>
      <c r="D29" s="360" t="s">
        <v>1106</v>
      </c>
      <c r="E29" s="56" t="s">
        <v>410</v>
      </c>
      <c r="F29" s="359" t="s">
        <v>6</v>
      </c>
      <c r="G29" s="360" t="s">
        <v>1107</v>
      </c>
      <c r="H29" s="360" t="s">
        <v>1108</v>
      </c>
      <c r="I29" s="313"/>
      <c r="J29" s="313"/>
    </row>
    <row r="30" spans="2:10" ht="27.75" x14ac:dyDescent="0.3">
      <c r="B30" s="357">
        <v>45758</v>
      </c>
      <c r="C30" s="405"/>
      <c r="D30" s="360" t="s">
        <v>1043</v>
      </c>
      <c r="E30" s="56" t="s">
        <v>410</v>
      </c>
      <c r="F30" s="359" t="s">
        <v>6</v>
      </c>
      <c r="G30" s="360" t="s">
        <v>1109</v>
      </c>
      <c r="H30" s="360" t="s">
        <v>1110</v>
      </c>
      <c r="I30" s="313"/>
      <c r="J30" s="313"/>
    </row>
    <row r="31" spans="2:10" ht="54.75" x14ac:dyDescent="0.3">
      <c r="B31" s="357">
        <v>45758</v>
      </c>
      <c r="C31" s="405"/>
      <c r="D31" s="360" t="s">
        <v>1043</v>
      </c>
      <c r="E31" s="56" t="s">
        <v>410</v>
      </c>
      <c r="F31" s="359" t="s">
        <v>6</v>
      </c>
      <c r="G31" s="360" t="s">
        <v>1111</v>
      </c>
      <c r="H31" s="360" t="s">
        <v>1112</v>
      </c>
      <c r="I31" s="313"/>
      <c r="J31" s="313"/>
    </row>
    <row r="32" spans="2:10" ht="27.75" x14ac:dyDescent="0.3">
      <c r="B32" s="357">
        <v>45758</v>
      </c>
      <c r="C32" s="405"/>
      <c r="D32" s="360" t="s">
        <v>1113</v>
      </c>
      <c r="E32" s="56" t="s">
        <v>410</v>
      </c>
      <c r="F32" s="359" t="s">
        <v>6</v>
      </c>
      <c r="G32" s="360" t="s">
        <v>1114</v>
      </c>
      <c r="H32" s="360" t="s">
        <v>1115</v>
      </c>
      <c r="I32" s="313"/>
      <c r="J32" s="313"/>
    </row>
    <row r="33" spans="2:10" x14ac:dyDescent="0.3">
      <c r="B33" s="357">
        <v>45761</v>
      </c>
      <c r="C33" s="405"/>
      <c r="D33" s="360" t="s">
        <v>1113</v>
      </c>
      <c r="E33" s="56" t="s">
        <v>410</v>
      </c>
      <c r="F33" s="359" t="s">
        <v>6</v>
      </c>
      <c r="G33" s="360" t="s">
        <v>1116</v>
      </c>
      <c r="H33" s="360" t="s">
        <v>1117</v>
      </c>
      <c r="I33" s="313"/>
      <c r="J33" s="313"/>
    </row>
    <row r="34" spans="2:10" ht="27.75" x14ac:dyDescent="0.3">
      <c r="B34" s="357">
        <v>45762</v>
      </c>
      <c r="C34" s="405"/>
      <c r="D34" s="360" t="s">
        <v>1118</v>
      </c>
      <c r="E34" s="56" t="s">
        <v>410</v>
      </c>
      <c r="F34" s="359" t="s">
        <v>6</v>
      </c>
      <c r="G34" s="360" t="s">
        <v>1119</v>
      </c>
      <c r="H34" s="360" t="s">
        <v>1120</v>
      </c>
      <c r="I34" s="313"/>
      <c r="J34" s="313"/>
    </row>
    <row r="35" spans="2:10" ht="27.75" x14ac:dyDescent="0.3">
      <c r="B35" s="357">
        <v>45764</v>
      </c>
      <c r="C35" s="405"/>
      <c r="D35" s="360" t="s">
        <v>1121</v>
      </c>
      <c r="E35" s="56" t="s">
        <v>410</v>
      </c>
      <c r="F35" s="359" t="s">
        <v>6</v>
      </c>
      <c r="G35" s="360" t="s">
        <v>1122</v>
      </c>
      <c r="H35" s="360" t="s">
        <v>1123</v>
      </c>
      <c r="I35" s="313"/>
      <c r="J35" s="313"/>
    </row>
    <row r="36" spans="2:10" ht="27.75" x14ac:dyDescent="0.3">
      <c r="B36" s="357">
        <v>45764</v>
      </c>
      <c r="C36" s="405"/>
      <c r="D36" s="360" t="s">
        <v>1124</v>
      </c>
      <c r="E36" s="56" t="s">
        <v>410</v>
      </c>
      <c r="F36" s="359" t="s">
        <v>6</v>
      </c>
      <c r="G36" s="360" t="s">
        <v>1125</v>
      </c>
      <c r="H36" s="360" t="s">
        <v>1123</v>
      </c>
      <c r="I36" s="313"/>
      <c r="J36" s="313"/>
    </row>
    <row r="37" spans="2:10" x14ac:dyDescent="0.3">
      <c r="B37" s="361">
        <v>45765</v>
      </c>
      <c r="C37" s="405"/>
      <c r="D37" s="88" t="s">
        <v>1126</v>
      </c>
      <c r="E37" s="56" t="s">
        <v>410</v>
      </c>
      <c r="F37" s="359" t="s">
        <v>6</v>
      </c>
      <c r="G37" s="88" t="s">
        <v>1127</v>
      </c>
      <c r="H37" s="88"/>
      <c r="I37" s="313"/>
      <c r="J37" s="313"/>
    </row>
    <row r="38" spans="2:10" x14ac:dyDescent="0.3">
      <c r="B38" s="357">
        <v>45768</v>
      </c>
      <c r="C38" s="405"/>
      <c r="D38" s="360" t="s">
        <v>1128</v>
      </c>
      <c r="E38" s="56" t="s">
        <v>410</v>
      </c>
      <c r="F38" s="359" t="s">
        <v>6</v>
      </c>
      <c r="G38" s="360" t="s">
        <v>1129</v>
      </c>
      <c r="H38" s="360" t="s">
        <v>1130</v>
      </c>
      <c r="I38" s="313"/>
      <c r="J38" s="313"/>
    </row>
    <row r="39" spans="2:10" x14ac:dyDescent="0.3">
      <c r="B39" s="357">
        <v>45769</v>
      </c>
      <c r="C39" s="405"/>
      <c r="D39" s="360" t="s">
        <v>1131</v>
      </c>
      <c r="E39" s="56" t="s">
        <v>410</v>
      </c>
      <c r="F39" s="359" t="s">
        <v>6</v>
      </c>
      <c r="G39" s="360" t="s">
        <v>1132</v>
      </c>
      <c r="H39" s="360" t="s">
        <v>1133</v>
      </c>
      <c r="I39" s="313"/>
      <c r="J39" s="313"/>
    </row>
    <row r="40" spans="2:10" ht="27.75" x14ac:dyDescent="0.3">
      <c r="B40" s="357">
        <v>45770</v>
      </c>
      <c r="C40" s="405"/>
      <c r="D40" s="360" t="s">
        <v>1134</v>
      </c>
      <c r="E40" s="56" t="s">
        <v>410</v>
      </c>
      <c r="F40" s="359" t="s">
        <v>6</v>
      </c>
      <c r="G40" s="360" t="s">
        <v>1135</v>
      </c>
      <c r="H40" s="360" t="s">
        <v>1136</v>
      </c>
      <c r="I40" s="313"/>
      <c r="J40" s="313"/>
    </row>
    <row r="41" spans="2:10" x14ac:dyDescent="0.3">
      <c r="B41" s="357">
        <v>45770</v>
      </c>
      <c r="C41" s="405"/>
      <c r="D41" s="360" t="s">
        <v>120</v>
      </c>
      <c r="E41" s="56" t="s">
        <v>410</v>
      </c>
      <c r="F41" s="359" t="s">
        <v>6</v>
      </c>
      <c r="G41" s="360" t="s">
        <v>1137</v>
      </c>
      <c r="H41" s="360" t="s">
        <v>1138</v>
      </c>
      <c r="I41" s="313"/>
      <c r="J41" s="313"/>
    </row>
    <row r="42" spans="2:10" x14ac:dyDescent="0.3">
      <c r="B42" s="357">
        <v>45770</v>
      </c>
      <c r="C42" s="405"/>
      <c r="D42" s="360" t="s">
        <v>1076</v>
      </c>
      <c r="E42" s="56" t="s">
        <v>410</v>
      </c>
      <c r="F42" s="359" t="s">
        <v>6</v>
      </c>
      <c r="G42" s="360" t="s">
        <v>1139</v>
      </c>
      <c r="H42" s="360" t="s">
        <v>1140</v>
      </c>
      <c r="I42" s="313"/>
      <c r="J42" s="313"/>
    </row>
    <row r="43" spans="2:10" ht="27.75" x14ac:dyDescent="0.3">
      <c r="B43" s="357">
        <v>45771</v>
      </c>
      <c r="C43" s="405"/>
      <c r="D43" s="360" t="s">
        <v>1141</v>
      </c>
      <c r="E43" s="56" t="s">
        <v>410</v>
      </c>
      <c r="F43" s="359" t="s">
        <v>6</v>
      </c>
      <c r="G43" s="360" t="s">
        <v>1142</v>
      </c>
      <c r="H43" s="360" t="s">
        <v>1143</v>
      </c>
      <c r="I43" s="313"/>
      <c r="J43" s="313"/>
    </row>
    <row r="44" spans="2:10" x14ac:dyDescent="0.3">
      <c r="B44" s="357">
        <v>45775</v>
      </c>
      <c r="C44" s="405"/>
      <c r="D44" s="360" t="s">
        <v>1144</v>
      </c>
      <c r="E44" s="56" t="s">
        <v>410</v>
      </c>
      <c r="F44" s="359" t="s">
        <v>6</v>
      </c>
      <c r="G44" s="360" t="s">
        <v>1145</v>
      </c>
      <c r="H44" s="360" t="s">
        <v>1146</v>
      </c>
      <c r="I44" s="313"/>
      <c r="J44" s="313"/>
    </row>
    <row r="45" spans="2:10" x14ac:dyDescent="0.3">
      <c r="B45" s="357">
        <v>45775</v>
      </c>
      <c r="C45" s="405"/>
      <c r="D45" s="360" t="s">
        <v>632</v>
      </c>
      <c r="E45" s="56" t="s">
        <v>410</v>
      </c>
      <c r="F45" s="359" t="s">
        <v>6</v>
      </c>
      <c r="G45" s="360" t="s">
        <v>1147</v>
      </c>
      <c r="H45" s="360" t="s">
        <v>1148</v>
      </c>
      <c r="I45" s="313"/>
      <c r="J45" s="313"/>
    </row>
    <row r="46" spans="2:10" x14ac:dyDescent="0.3">
      <c r="B46" s="357">
        <v>45775</v>
      </c>
      <c r="C46" s="405"/>
      <c r="D46" s="360" t="s">
        <v>1043</v>
      </c>
      <c r="E46" s="56" t="s">
        <v>410</v>
      </c>
      <c r="F46" s="359" t="s">
        <v>6</v>
      </c>
      <c r="G46" s="360" t="s">
        <v>1082</v>
      </c>
      <c r="H46" s="360" t="s">
        <v>1081</v>
      </c>
      <c r="I46" s="313"/>
      <c r="J46" s="313"/>
    </row>
    <row r="47" spans="2:10" x14ac:dyDescent="0.3">
      <c r="B47" s="357">
        <v>45775</v>
      </c>
      <c r="C47" s="405"/>
      <c r="D47" s="360" t="s">
        <v>1076</v>
      </c>
      <c r="E47" s="56" t="s">
        <v>410</v>
      </c>
      <c r="F47" s="359" t="s">
        <v>6</v>
      </c>
      <c r="G47" s="360" t="s">
        <v>1149</v>
      </c>
      <c r="H47" s="360" t="s">
        <v>1150</v>
      </c>
      <c r="I47" s="313"/>
      <c r="J47" s="313"/>
    </row>
    <row r="48" spans="2:10" x14ac:dyDescent="0.3">
      <c r="B48" s="357">
        <v>45777</v>
      </c>
      <c r="C48" s="405"/>
      <c r="D48" s="360" t="s">
        <v>1144</v>
      </c>
      <c r="E48" s="56" t="s">
        <v>410</v>
      </c>
      <c r="F48" s="359" t="s">
        <v>6</v>
      </c>
      <c r="G48" s="360" t="s">
        <v>1151</v>
      </c>
      <c r="H48" s="360" t="s">
        <v>1152</v>
      </c>
      <c r="I48" s="313"/>
      <c r="J48" s="313"/>
    </row>
    <row r="49" spans="2:10" ht="27.75" x14ac:dyDescent="0.3">
      <c r="B49" s="357">
        <v>45777</v>
      </c>
      <c r="C49" s="405"/>
      <c r="D49" s="360" t="s">
        <v>1153</v>
      </c>
      <c r="E49" s="56" t="s">
        <v>410</v>
      </c>
      <c r="F49" s="359" t="s">
        <v>6</v>
      </c>
      <c r="G49" s="360" t="s">
        <v>1154</v>
      </c>
      <c r="H49" s="360" t="s">
        <v>1155</v>
      </c>
      <c r="I49" s="313"/>
      <c r="J49" s="313"/>
    </row>
    <row r="50" spans="2:10" x14ac:dyDescent="0.3">
      <c r="B50" s="357">
        <v>45779</v>
      </c>
      <c r="C50" s="407">
        <v>45778</v>
      </c>
      <c r="D50" s="360" t="s">
        <v>1156</v>
      </c>
      <c r="E50" s="56" t="s">
        <v>410</v>
      </c>
      <c r="F50" s="359" t="s">
        <v>6</v>
      </c>
      <c r="G50" s="360" t="s">
        <v>1157</v>
      </c>
      <c r="H50" s="360" t="s">
        <v>1158</v>
      </c>
      <c r="I50" s="313"/>
      <c r="J50" s="313"/>
    </row>
    <row r="51" spans="2:10" x14ac:dyDescent="0.3">
      <c r="B51" s="357">
        <v>45779</v>
      </c>
      <c r="C51" s="407"/>
      <c r="D51" s="360" t="s">
        <v>1076</v>
      </c>
      <c r="E51" s="56" t="s">
        <v>410</v>
      </c>
      <c r="F51" s="359" t="s">
        <v>6</v>
      </c>
      <c r="G51" s="360" t="s">
        <v>1159</v>
      </c>
      <c r="H51" s="360" t="s">
        <v>1160</v>
      </c>
      <c r="I51" s="313"/>
      <c r="J51" s="313"/>
    </row>
    <row r="52" spans="2:10" x14ac:dyDescent="0.3">
      <c r="B52" s="357">
        <v>45779</v>
      </c>
      <c r="C52" s="407"/>
      <c r="D52" s="360" t="s">
        <v>1161</v>
      </c>
      <c r="E52" s="56" t="s">
        <v>410</v>
      </c>
      <c r="F52" s="359" t="s">
        <v>6</v>
      </c>
      <c r="G52" s="360" t="s">
        <v>1162</v>
      </c>
      <c r="H52" s="360" t="s">
        <v>1158</v>
      </c>
      <c r="I52" s="313"/>
      <c r="J52" s="313"/>
    </row>
    <row r="53" spans="2:10" ht="27.75" customHeight="1" x14ac:dyDescent="0.3">
      <c r="B53" s="357">
        <v>45782</v>
      </c>
      <c r="C53" s="407"/>
      <c r="D53" s="360" t="s">
        <v>1141</v>
      </c>
      <c r="E53" s="56" t="s">
        <v>410</v>
      </c>
      <c r="F53" s="359" t="s">
        <v>6</v>
      </c>
      <c r="G53" s="360" t="s">
        <v>1163</v>
      </c>
      <c r="H53" s="360" t="s">
        <v>1143</v>
      </c>
      <c r="I53" s="313"/>
      <c r="J53" s="313"/>
    </row>
    <row r="54" spans="2:10" x14ac:dyDescent="0.3">
      <c r="B54" s="357">
        <v>45783</v>
      </c>
      <c r="C54" s="407"/>
      <c r="D54" s="360" t="s">
        <v>301</v>
      </c>
      <c r="E54" s="56" t="s">
        <v>410</v>
      </c>
      <c r="F54" s="359" t="s">
        <v>6</v>
      </c>
      <c r="G54" s="360" t="s">
        <v>1164</v>
      </c>
      <c r="H54" s="360" t="s">
        <v>1165</v>
      </c>
      <c r="I54" s="313"/>
      <c r="J54" s="313"/>
    </row>
    <row r="55" spans="2:10" x14ac:dyDescent="0.3">
      <c r="B55" s="357">
        <v>45783</v>
      </c>
      <c r="C55" s="407"/>
      <c r="D55" s="360" t="s">
        <v>1076</v>
      </c>
      <c r="E55" s="56" t="s">
        <v>410</v>
      </c>
      <c r="F55" s="359" t="s">
        <v>6</v>
      </c>
      <c r="G55" s="360" t="s">
        <v>1166</v>
      </c>
      <c r="H55" s="360" t="s">
        <v>1160</v>
      </c>
      <c r="I55" s="313"/>
      <c r="J55" s="313"/>
    </row>
    <row r="56" spans="2:10" x14ac:dyDescent="0.3">
      <c r="B56" s="357">
        <v>45784</v>
      </c>
      <c r="C56" s="407"/>
      <c r="D56" s="360" t="s">
        <v>1076</v>
      </c>
      <c r="E56" s="56" t="s">
        <v>410</v>
      </c>
      <c r="F56" s="359" t="s">
        <v>6</v>
      </c>
      <c r="G56" s="360" t="s">
        <v>1167</v>
      </c>
      <c r="H56" s="360" t="s">
        <v>1168</v>
      </c>
      <c r="I56" s="313"/>
      <c r="J56" s="313"/>
    </row>
    <row r="57" spans="2:10" x14ac:dyDescent="0.3">
      <c r="B57" s="357">
        <v>45785</v>
      </c>
      <c r="C57" s="407"/>
      <c r="D57" s="360" t="s">
        <v>1169</v>
      </c>
      <c r="E57" s="56" t="s">
        <v>410</v>
      </c>
      <c r="F57" s="359" t="s">
        <v>6</v>
      </c>
      <c r="G57" s="360" t="s">
        <v>1170</v>
      </c>
      <c r="H57" s="360" t="s">
        <v>1171</v>
      </c>
      <c r="I57" s="313"/>
      <c r="J57" s="313"/>
    </row>
    <row r="58" spans="2:10" x14ac:dyDescent="0.3">
      <c r="B58" s="357">
        <v>45785</v>
      </c>
      <c r="C58" s="407"/>
      <c r="D58" s="360" t="s">
        <v>1043</v>
      </c>
      <c r="E58" s="56" t="s">
        <v>410</v>
      </c>
      <c r="F58" s="359" t="s">
        <v>6</v>
      </c>
      <c r="G58" s="360" t="s">
        <v>1082</v>
      </c>
      <c r="H58" s="360" t="s">
        <v>1081</v>
      </c>
      <c r="I58" s="313"/>
      <c r="J58" s="313"/>
    </row>
    <row r="59" spans="2:10" ht="27.75" customHeight="1" x14ac:dyDescent="0.3">
      <c r="B59" s="357">
        <v>45786</v>
      </c>
      <c r="C59" s="407"/>
      <c r="D59" s="360" t="s">
        <v>1172</v>
      </c>
      <c r="E59" s="56" t="s">
        <v>410</v>
      </c>
      <c r="F59" s="359" t="s">
        <v>6</v>
      </c>
      <c r="G59" s="360" t="s">
        <v>1173</v>
      </c>
      <c r="H59" s="360" t="s">
        <v>1174</v>
      </c>
      <c r="I59" s="313"/>
      <c r="J59" s="313"/>
    </row>
    <row r="60" spans="2:10" ht="27.75" customHeight="1" x14ac:dyDescent="0.3">
      <c r="B60" s="357">
        <v>45786</v>
      </c>
      <c r="C60" s="407"/>
      <c r="D60" s="360" t="s">
        <v>1175</v>
      </c>
      <c r="E60" s="56" t="s">
        <v>410</v>
      </c>
      <c r="F60" s="359" t="s">
        <v>6</v>
      </c>
      <c r="G60" s="360" t="s">
        <v>1176</v>
      </c>
      <c r="H60" s="360" t="s">
        <v>1177</v>
      </c>
      <c r="I60" s="313"/>
      <c r="J60" s="313"/>
    </row>
    <row r="61" spans="2:10" x14ac:dyDescent="0.3">
      <c r="B61" s="357">
        <v>45786</v>
      </c>
      <c r="C61" s="407"/>
      <c r="D61" s="360" t="s">
        <v>1169</v>
      </c>
      <c r="E61" s="56" t="s">
        <v>410</v>
      </c>
      <c r="F61" s="359" t="s">
        <v>6</v>
      </c>
      <c r="G61" s="360" t="s">
        <v>1178</v>
      </c>
      <c r="H61" s="360" t="s">
        <v>1179</v>
      </c>
      <c r="I61" s="313"/>
      <c r="J61" s="313"/>
    </row>
    <row r="62" spans="2:10" x14ac:dyDescent="0.3">
      <c r="B62" s="357">
        <v>45789</v>
      </c>
      <c r="C62" s="407"/>
      <c r="D62" s="360" t="s">
        <v>1144</v>
      </c>
      <c r="E62" s="56" t="s">
        <v>410</v>
      </c>
      <c r="F62" s="359" t="s">
        <v>6</v>
      </c>
      <c r="G62" s="360" t="s">
        <v>1180</v>
      </c>
      <c r="H62" s="360" t="s">
        <v>1181</v>
      </c>
      <c r="I62" s="313"/>
      <c r="J62" s="313"/>
    </row>
    <row r="63" spans="2:10" x14ac:dyDescent="0.3">
      <c r="B63" s="357">
        <v>45789</v>
      </c>
      <c r="C63" s="407"/>
      <c r="D63" s="360" t="s">
        <v>1043</v>
      </c>
      <c r="E63" s="56" t="s">
        <v>410</v>
      </c>
      <c r="F63" s="359" t="s">
        <v>6</v>
      </c>
      <c r="G63" s="360" t="s">
        <v>1182</v>
      </c>
      <c r="H63" s="360" t="s">
        <v>1183</v>
      </c>
      <c r="I63" s="313"/>
      <c r="J63" s="313"/>
    </row>
    <row r="64" spans="2:10" x14ac:dyDescent="0.3">
      <c r="B64" s="357">
        <v>45789</v>
      </c>
      <c r="C64" s="407"/>
      <c r="D64" s="360" t="s">
        <v>1169</v>
      </c>
      <c r="E64" s="56" t="s">
        <v>410</v>
      </c>
      <c r="F64" s="359" t="s">
        <v>6</v>
      </c>
      <c r="G64" s="360" t="s">
        <v>1184</v>
      </c>
      <c r="H64" s="360" t="s">
        <v>1179</v>
      </c>
      <c r="I64" s="313"/>
      <c r="J64" s="313"/>
    </row>
    <row r="65" spans="2:10" ht="27.75" x14ac:dyDescent="0.3">
      <c r="B65" s="357">
        <v>45789</v>
      </c>
      <c r="C65" s="407"/>
      <c r="D65" s="360" t="s">
        <v>1185</v>
      </c>
      <c r="E65" s="56" t="s">
        <v>410</v>
      </c>
      <c r="F65" s="359" t="s">
        <v>6</v>
      </c>
      <c r="G65" s="360" t="s">
        <v>1186</v>
      </c>
      <c r="H65" s="360" t="s">
        <v>1187</v>
      </c>
      <c r="I65" s="313"/>
      <c r="J65" s="313"/>
    </row>
    <row r="66" spans="2:10" x14ac:dyDescent="0.3">
      <c r="B66" s="357">
        <v>45790</v>
      </c>
      <c r="C66" s="407"/>
      <c r="D66" s="360" t="s">
        <v>1188</v>
      </c>
      <c r="E66" s="56" t="s">
        <v>410</v>
      </c>
      <c r="F66" s="359" t="s">
        <v>6</v>
      </c>
      <c r="G66" s="360" t="s">
        <v>1189</v>
      </c>
      <c r="H66" s="406" t="s">
        <v>1190</v>
      </c>
      <c r="I66" s="313"/>
      <c r="J66" s="313"/>
    </row>
    <row r="67" spans="2:10" x14ac:dyDescent="0.3">
      <c r="B67" s="357">
        <v>45791</v>
      </c>
      <c r="C67" s="407"/>
      <c r="D67" s="360" t="s">
        <v>1188</v>
      </c>
      <c r="E67" s="56" t="s">
        <v>410</v>
      </c>
      <c r="F67" s="359" t="s">
        <v>6</v>
      </c>
      <c r="G67" s="360" t="s">
        <v>1191</v>
      </c>
      <c r="H67" s="406"/>
      <c r="I67" s="313"/>
      <c r="J67" s="313"/>
    </row>
    <row r="68" spans="2:10" x14ac:dyDescent="0.3">
      <c r="B68" s="357">
        <v>45792</v>
      </c>
      <c r="C68" s="407"/>
      <c r="D68" s="360" t="s">
        <v>1169</v>
      </c>
      <c r="E68" s="56" t="s">
        <v>410</v>
      </c>
      <c r="F68" s="359" t="s">
        <v>6</v>
      </c>
      <c r="G68" s="360" t="s">
        <v>1192</v>
      </c>
      <c r="H68" s="360" t="s">
        <v>1179</v>
      </c>
      <c r="I68" s="313"/>
      <c r="J68" s="313"/>
    </row>
    <row r="69" spans="2:10" x14ac:dyDescent="0.3">
      <c r="B69" s="357">
        <v>45792</v>
      </c>
      <c r="C69" s="407"/>
      <c r="D69" s="360" t="s">
        <v>1188</v>
      </c>
      <c r="E69" s="56" t="s">
        <v>410</v>
      </c>
      <c r="F69" s="359" t="s">
        <v>6</v>
      </c>
      <c r="G69" s="360" t="s">
        <v>1193</v>
      </c>
      <c r="H69" s="360" t="s">
        <v>1194</v>
      </c>
      <c r="I69" s="313"/>
      <c r="J69" s="313"/>
    </row>
    <row r="70" spans="2:10" x14ac:dyDescent="0.3">
      <c r="B70" s="357">
        <v>45792</v>
      </c>
      <c r="C70" s="407"/>
      <c r="D70" s="360" t="s">
        <v>1043</v>
      </c>
      <c r="E70" s="56" t="s">
        <v>410</v>
      </c>
      <c r="F70" s="359" t="s">
        <v>6</v>
      </c>
      <c r="G70" s="360" t="s">
        <v>1195</v>
      </c>
      <c r="H70" s="360" t="s">
        <v>1196</v>
      </c>
      <c r="I70" s="313"/>
      <c r="J70" s="313"/>
    </row>
    <row r="71" spans="2:10" x14ac:dyDescent="0.3">
      <c r="B71" s="357">
        <v>45793</v>
      </c>
      <c r="C71" s="407"/>
      <c r="D71" s="360" t="s">
        <v>1188</v>
      </c>
      <c r="E71" s="56" t="s">
        <v>410</v>
      </c>
      <c r="F71" s="359" t="s">
        <v>6</v>
      </c>
      <c r="G71" s="360" t="s">
        <v>1197</v>
      </c>
      <c r="H71" s="360" t="s">
        <v>1194</v>
      </c>
      <c r="I71" s="313"/>
      <c r="J71" s="313"/>
    </row>
    <row r="72" spans="2:10" x14ac:dyDescent="0.3">
      <c r="B72" s="357">
        <v>45793</v>
      </c>
      <c r="C72" s="407"/>
      <c r="D72" s="360" t="s">
        <v>1169</v>
      </c>
      <c r="E72" s="56" t="s">
        <v>410</v>
      </c>
      <c r="F72" s="359" t="s">
        <v>6</v>
      </c>
      <c r="G72" s="360" t="s">
        <v>1198</v>
      </c>
      <c r="H72" s="360" t="s">
        <v>1179</v>
      </c>
      <c r="I72" s="313"/>
      <c r="J72" s="313"/>
    </row>
    <row r="73" spans="2:10" x14ac:dyDescent="0.3">
      <c r="B73" s="357">
        <v>45796</v>
      </c>
      <c r="C73" s="407"/>
      <c r="D73" s="360" t="s">
        <v>1188</v>
      </c>
      <c r="E73" s="56" t="s">
        <v>410</v>
      </c>
      <c r="F73" s="359" t="s">
        <v>6</v>
      </c>
      <c r="G73" s="360" t="s">
        <v>1197</v>
      </c>
      <c r="H73" s="360" t="s">
        <v>1194</v>
      </c>
      <c r="I73" s="313"/>
      <c r="J73" s="313"/>
    </row>
    <row r="74" spans="2:10" x14ac:dyDescent="0.3">
      <c r="B74" s="357">
        <v>45796</v>
      </c>
      <c r="C74" s="407"/>
      <c r="D74" s="360" t="s">
        <v>1188</v>
      </c>
      <c r="E74" s="56" t="s">
        <v>410</v>
      </c>
      <c r="F74" s="359" t="s">
        <v>6</v>
      </c>
      <c r="G74" s="360" t="s">
        <v>1199</v>
      </c>
      <c r="H74" s="360" t="s">
        <v>1200</v>
      </c>
      <c r="I74" s="313"/>
      <c r="J74" s="313"/>
    </row>
    <row r="75" spans="2:10" x14ac:dyDescent="0.3">
      <c r="B75" s="357">
        <v>45797</v>
      </c>
      <c r="C75" s="407"/>
      <c r="D75" s="360" t="s">
        <v>1188</v>
      </c>
      <c r="E75" s="56" t="s">
        <v>410</v>
      </c>
      <c r="F75" s="359" t="s">
        <v>6</v>
      </c>
      <c r="G75" s="360" t="s">
        <v>1197</v>
      </c>
      <c r="H75" s="360" t="s">
        <v>1194</v>
      </c>
      <c r="I75" s="313"/>
      <c r="J75" s="313"/>
    </row>
    <row r="76" spans="2:10" x14ac:dyDescent="0.3">
      <c r="B76" s="357">
        <v>45797</v>
      </c>
      <c r="C76" s="407"/>
      <c r="D76" s="360" t="s">
        <v>1188</v>
      </c>
      <c r="E76" s="56" t="s">
        <v>410</v>
      </c>
      <c r="F76" s="359" t="s">
        <v>6</v>
      </c>
      <c r="G76" s="360" t="s">
        <v>1201</v>
      </c>
      <c r="H76" s="360" t="s">
        <v>1194</v>
      </c>
      <c r="I76" s="313"/>
      <c r="J76" s="313"/>
    </row>
    <row r="77" spans="2:10" x14ac:dyDescent="0.3">
      <c r="B77" s="357">
        <v>45799</v>
      </c>
      <c r="C77" s="407"/>
      <c r="D77" s="360" t="s">
        <v>1188</v>
      </c>
      <c r="E77" s="56" t="s">
        <v>410</v>
      </c>
      <c r="F77" s="359" t="s">
        <v>6</v>
      </c>
      <c r="G77" s="360" t="s">
        <v>1197</v>
      </c>
      <c r="H77" s="360" t="s">
        <v>1194</v>
      </c>
      <c r="I77" s="313"/>
      <c r="J77" s="313"/>
    </row>
    <row r="78" spans="2:10" x14ac:dyDescent="0.3">
      <c r="B78" s="357">
        <v>45799</v>
      </c>
      <c r="C78" s="407"/>
      <c r="D78" s="360" t="s">
        <v>1169</v>
      </c>
      <c r="E78" s="56" t="s">
        <v>410</v>
      </c>
      <c r="F78" s="359" t="s">
        <v>6</v>
      </c>
      <c r="G78" s="360" t="s">
        <v>1202</v>
      </c>
      <c r="H78" s="360" t="s">
        <v>1179</v>
      </c>
      <c r="I78" s="313"/>
      <c r="J78" s="313"/>
    </row>
    <row r="79" spans="2:10" x14ac:dyDescent="0.3">
      <c r="B79" s="357">
        <v>45799</v>
      </c>
      <c r="C79" s="407"/>
      <c r="D79" s="360" t="s">
        <v>1203</v>
      </c>
      <c r="E79" s="56" t="s">
        <v>410</v>
      </c>
      <c r="F79" s="359" t="s">
        <v>6</v>
      </c>
      <c r="G79" s="360" t="s">
        <v>1204</v>
      </c>
      <c r="H79" s="360" t="s">
        <v>1205</v>
      </c>
      <c r="I79" s="313"/>
      <c r="J79" s="313"/>
    </row>
    <row r="80" spans="2:10" x14ac:dyDescent="0.3">
      <c r="B80" s="357">
        <v>45799</v>
      </c>
      <c r="C80" s="407"/>
      <c r="D80" s="360" t="s">
        <v>1203</v>
      </c>
      <c r="E80" s="56" t="s">
        <v>410</v>
      </c>
      <c r="F80" s="359" t="s">
        <v>6</v>
      </c>
      <c r="G80" s="360" t="s">
        <v>1206</v>
      </c>
      <c r="H80" s="360" t="s">
        <v>1207</v>
      </c>
      <c r="I80" s="313"/>
      <c r="J80" s="313"/>
    </row>
    <row r="81" spans="2:10" ht="27.75" x14ac:dyDescent="0.3">
      <c r="B81" s="357">
        <v>45799</v>
      </c>
      <c r="C81" s="407"/>
      <c r="D81" s="360" t="s">
        <v>1208</v>
      </c>
      <c r="E81" s="56" t="s">
        <v>410</v>
      </c>
      <c r="F81" s="359" t="s">
        <v>6</v>
      </c>
      <c r="G81" s="360" t="s">
        <v>1209</v>
      </c>
      <c r="H81" s="360" t="s">
        <v>1210</v>
      </c>
      <c r="I81" s="313"/>
      <c r="J81" s="313"/>
    </row>
    <row r="82" spans="2:10" x14ac:dyDescent="0.3">
      <c r="B82" s="357">
        <v>45799</v>
      </c>
      <c r="C82" s="407"/>
      <c r="D82" s="360" t="s">
        <v>1203</v>
      </c>
      <c r="E82" s="56" t="s">
        <v>410</v>
      </c>
      <c r="F82" s="359" t="s">
        <v>6</v>
      </c>
      <c r="G82" s="360" t="s">
        <v>1211</v>
      </c>
      <c r="H82" s="360" t="s">
        <v>1212</v>
      </c>
      <c r="I82" s="313"/>
      <c r="J82" s="313"/>
    </row>
    <row r="83" spans="2:10" x14ac:dyDescent="0.3">
      <c r="B83" s="357">
        <v>45799</v>
      </c>
      <c r="C83" s="407"/>
      <c r="D83" s="360" t="s">
        <v>1213</v>
      </c>
      <c r="E83" s="56" t="s">
        <v>410</v>
      </c>
      <c r="F83" s="359" t="s">
        <v>6</v>
      </c>
      <c r="G83" s="360" t="s">
        <v>1214</v>
      </c>
      <c r="H83" s="360" t="s">
        <v>1215</v>
      </c>
      <c r="I83" s="313"/>
      <c r="J83" s="313"/>
    </row>
    <row r="84" spans="2:10" x14ac:dyDescent="0.3">
      <c r="B84" s="357">
        <v>45803</v>
      </c>
      <c r="C84" s="407"/>
      <c r="D84" s="360" t="s">
        <v>1188</v>
      </c>
      <c r="E84" s="56" t="s">
        <v>410</v>
      </c>
      <c r="F84" s="359" t="s">
        <v>6</v>
      </c>
      <c r="G84" s="360" t="s">
        <v>1197</v>
      </c>
      <c r="H84" s="360" t="s">
        <v>1194</v>
      </c>
      <c r="I84" s="313"/>
      <c r="J84" s="313"/>
    </row>
    <row r="85" spans="2:10" x14ac:dyDescent="0.3">
      <c r="B85" s="357">
        <v>45803</v>
      </c>
      <c r="C85" s="407"/>
      <c r="D85" s="360" t="s">
        <v>1188</v>
      </c>
      <c r="E85" s="56" t="s">
        <v>410</v>
      </c>
      <c r="F85" s="359" t="s">
        <v>6</v>
      </c>
      <c r="G85" s="360" t="s">
        <v>1216</v>
      </c>
      <c r="H85" s="360" t="s">
        <v>1217</v>
      </c>
      <c r="I85" s="313"/>
      <c r="J85" s="313"/>
    </row>
    <row r="86" spans="2:10" x14ac:dyDescent="0.3">
      <c r="B86" s="357">
        <v>45804</v>
      </c>
      <c r="C86" s="407"/>
      <c r="D86" s="360" t="s">
        <v>1188</v>
      </c>
      <c r="E86" s="56" t="s">
        <v>410</v>
      </c>
      <c r="F86" s="359" t="s">
        <v>6</v>
      </c>
      <c r="G86" s="360" t="s">
        <v>1197</v>
      </c>
      <c r="H86" s="360" t="s">
        <v>1194</v>
      </c>
      <c r="I86" s="313"/>
      <c r="J86" s="313"/>
    </row>
    <row r="87" spans="2:10" x14ac:dyDescent="0.3">
      <c r="B87" s="357">
        <v>45804</v>
      </c>
      <c r="C87" s="407"/>
      <c r="D87" s="360" t="s">
        <v>1169</v>
      </c>
      <c r="E87" s="56" t="s">
        <v>410</v>
      </c>
      <c r="F87" s="359" t="s">
        <v>6</v>
      </c>
      <c r="G87" s="360" t="s">
        <v>1218</v>
      </c>
      <c r="H87" s="360" t="s">
        <v>1219</v>
      </c>
      <c r="I87" s="313"/>
      <c r="J87" s="313"/>
    </row>
    <row r="88" spans="2:10" x14ac:dyDescent="0.3">
      <c r="B88" s="362"/>
      <c r="C88" s="407"/>
      <c r="D88" s="362"/>
      <c r="E88" s="56" t="s">
        <v>410</v>
      </c>
      <c r="F88" s="359" t="s">
        <v>6</v>
      </c>
      <c r="G88" s="362"/>
      <c r="H88" s="362"/>
      <c r="I88" s="313"/>
      <c r="J88" s="313"/>
    </row>
    <row r="89" spans="2:10" x14ac:dyDescent="0.3">
      <c r="B89" s="357">
        <v>45804</v>
      </c>
      <c r="C89" s="407"/>
      <c r="D89" s="360" t="s">
        <v>1203</v>
      </c>
      <c r="E89" s="56" t="s">
        <v>410</v>
      </c>
      <c r="F89" s="359" t="s">
        <v>6</v>
      </c>
      <c r="G89" s="360" t="s">
        <v>1211</v>
      </c>
      <c r="H89" s="360" t="s">
        <v>1220</v>
      </c>
      <c r="I89" s="313"/>
      <c r="J89" s="313"/>
    </row>
    <row r="90" spans="2:10" x14ac:dyDescent="0.3">
      <c r="B90" s="357">
        <v>45804</v>
      </c>
      <c r="C90" s="407"/>
      <c r="D90" s="360" t="s">
        <v>1169</v>
      </c>
      <c r="E90" s="56" t="s">
        <v>410</v>
      </c>
      <c r="F90" s="359" t="s">
        <v>6</v>
      </c>
      <c r="G90" s="360" t="s">
        <v>1221</v>
      </c>
      <c r="H90" s="360" t="s">
        <v>1222</v>
      </c>
      <c r="I90" s="313"/>
      <c r="J90" s="313"/>
    </row>
    <row r="91" spans="2:10" x14ac:dyDescent="0.3">
      <c r="B91" s="357">
        <v>45805</v>
      </c>
      <c r="C91" s="407"/>
      <c r="D91" s="360" t="s">
        <v>1188</v>
      </c>
      <c r="E91" s="56" t="s">
        <v>410</v>
      </c>
      <c r="F91" s="359" t="s">
        <v>6</v>
      </c>
      <c r="G91" s="360" t="s">
        <v>1223</v>
      </c>
      <c r="H91" s="360" t="s">
        <v>1224</v>
      </c>
      <c r="I91" s="313"/>
      <c r="J91" s="313"/>
    </row>
    <row r="92" spans="2:10" x14ac:dyDescent="0.3">
      <c r="B92" s="357">
        <v>45806</v>
      </c>
      <c r="C92" s="407"/>
      <c r="D92" s="360" t="s">
        <v>1188</v>
      </c>
      <c r="E92" s="56" t="s">
        <v>410</v>
      </c>
      <c r="F92" s="359" t="s">
        <v>6</v>
      </c>
      <c r="G92" s="360" t="s">
        <v>1197</v>
      </c>
      <c r="H92" s="360" t="s">
        <v>1194</v>
      </c>
      <c r="I92" s="313"/>
      <c r="J92" s="313"/>
    </row>
    <row r="93" spans="2:10" ht="27.75" x14ac:dyDescent="0.3">
      <c r="B93" s="357">
        <v>45806</v>
      </c>
      <c r="C93" s="407"/>
      <c r="D93" s="360" t="s">
        <v>1188</v>
      </c>
      <c r="E93" s="56" t="s">
        <v>410</v>
      </c>
      <c r="F93" s="359" t="s">
        <v>6</v>
      </c>
      <c r="G93" s="360" t="s">
        <v>1225</v>
      </c>
      <c r="H93" s="360" t="s">
        <v>1226</v>
      </c>
      <c r="I93" s="313"/>
      <c r="J93" s="313"/>
    </row>
    <row r="94" spans="2:10" x14ac:dyDescent="0.3">
      <c r="B94" s="357">
        <v>45806</v>
      </c>
      <c r="C94" s="407"/>
      <c r="D94" s="360" t="s">
        <v>1188</v>
      </c>
      <c r="E94" s="56" t="s">
        <v>410</v>
      </c>
      <c r="F94" s="359" t="s">
        <v>6</v>
      </c>
      <c r="G94" s="360" t="s">
        <v>1227</v>
      </c>
      <c r="H94" s="360" t="s">
        <v>1228</v>
      </c>
      <c r="I94" s="313"/>
      <c r="J94" s="313"/>
    </row>
    <row r="95" spans="2:10" x14ac:dyDescent="0.3">
      <c r="B95" s="357">
        <v>45807</v>
      </c>
      <c r="C95" s="407"/>
      <c r="D95" s="360" t="s">
        <v>1188</v>
      </c>
      <c r="E95" s="56" t="s">
        <v>410</v>
      </c>
      <c r="F95" s="359" t="s">
        <v>6</v>
      </c>
      <c r="G95" s="360" t="s">
        <v>1197</v>
      </c>
      <c r="H95" s="360" t="s">
        <v>1194</v>
      </c>
      <c r="I95" s="313"/>
      <c r="J95" s="313"/>
    </row>
    <row r="96" spans="2:10" x14ac:dyDescent="0.3">
      <c r="B96" s="363">
        <v>45810</v>
      </c>
      <c r="C96" s="408" t="s">
        <v>1229</v>
      </c>
      <c r="D96" s="364" t="s">
        <v>1188</v>
      </c>
      <c r="E96" s="56" t="s">
        <v>410</v>
      </c>
      <c r="F96" s="359" t="s">
        <v>6</v>
      </c>
      <c r="G96" s="364" t="s">
        <v>1197</v>
      </c>
      <c r="H96" s="364" t="s">
        <v>1194</v>
      </c>
      <c r="I96" s="313"/>
      <c r="J96" s="313"/>
    </row>
    <row r="97" spans="2:10" x14ac:dyDescent="0.3">
      <c r="B97" s="363">
        <v>45810</v>
      </c>
      <c r="C97" s="408"/>
      <c r="D97" s="364" t="s">
        <v>1188</v>
      </c>
      <c r="E97" s="56" t="s">
        <v>410</v>
      </c>
      <c r="F97" s="359" t="s">
        <v>6</v>
      </c>
      <c r="G97" s="364" t="s">
        <v>1230</v>
      </c>
      <c r="H97" s="364" t="s">
        <v>1228</v>
      </c>
      <c r="I97" s="313"/>
      <c r="J97" s="313"/>
    </row>
    <row r="98" spans="2:10" x14ac:dyDescent="0.3">
      <c r="B98" s="363">
        <v>45810</v>
      </c>
      <c r="C98" s="408"/>
      <c r="D98" s="364" t="s">
        <v>1188</v>
      </c>
      <c r="E98" s="56" t="s">
        <v>410</v>
      </c>
      <c r="F98" s="359" t="s">
        <v>6</v>
      </c>
      <c r="G98" s="365" t="s">
        <v>1231</v>
      </c>
      <c r="H98" s="364" t="s">
        <v>1232</v>
      </c>
      <c r="I98" s="313"/>
      <c r="J98" s="313"/>
    </row>
    <row r="99" spans="2:10" x14ac:dyDescent="0.3">
      <c r="B99" s="366">
        <v>45811</v>
      </c>
      <c r="C99" s="408"/>
      <c r="D99" s="364" t="s">
        <v>1188</v>
      </c>
      <c r="E99" s="56" t="s">
        <v>410</v>
      </c>
      <c r="F99" s="359" t="s">
        <v>6</v>
      </c>
      <c r="G99" s="364" t="s">
        <v>1197</v>
      </c>
      <c r="H99" s="364" t="s">
        <v>1194</v>
      </c>
      <c r="I99" s="313"/>
      <c r="J99" s="313"/>
    </row>
    <row r="100" spans="2:10" x14ac:dyDescent="0.3">
      <c r="B100" s="366">
        <v>45811</v>
      </c>
      <c r="C100" s="408"/>
      <c r="D100" s="364" t="s">
        <v>1188</v>
      </c>
      <c r="E100" s="56" t="s">
        <v>410</v>
      </c>
      <c r="F100" s="359" t="s">
        <v>6</v>
      </c>
      <c r="G100" s="365" t="s">
        <v>1233</v>
      </c>
      <c r="H100" s="364" t="s">
        <v>1234</v>
      </c>
      <c r="I100" s="313"/>
      <c r="J100" s="313"/>
    </row>
    <row r="101" spans="2:10" x14ac:dyDescent="0.3">
      <c r="B101" s="366">
        <v>45812</v>
      </c>
      <c r="C101" s="408"/>
      <c r="D101" s="364" t="s">
        <v>1188</v>
      </c>
      <c r="E101" s="56" t="s">
        <v>410</v>
      </c>
      <c r="F101" s="359" t="s">
        <v>6</v>
      </c>
      <c r="G101" s="364" t="s">
        <v>1197</v>
      </c>
      <c r="H101" s="364" t="s">
        <v>1194</v>
      </c>
      <c r="I101" s="313"/>
      <c r="J101" s="313"/>
    </row>
    <row r="102" spans="2:10" x14ac:dyDescent="0.3">
      <c r="B102" s="366">
        <v>45812</v>
      </c>
      <c r="C102" s="408"/>
      <c r="D102" s="364" t="s">
        <v>1070</v>
      </c>
      <c r="E102" s="56" t="s">
        <v>410</v>
      </c>
      <c r="F102" s="359" t="s">
        <v>6</v>
      </c>
      <c r="G102" s="364" t="s">
        <v>1235</v>
      </c>
      <c r="H102" s="364" t="s">
        <v>1165</v>
      </c>
      <c r="I102" s="313"/>
      <c r="J102" s="313"/>
    </row>
    <row r="103" spans="2:10" ht="27.75" x14ac:dyDescent="0.3">
      <c r="B103" s="366">
        <v>45812</v>
      </c>
      <c r="C103" s="408"/>
      <c r="D103" s="364" t="s">
        <v>1188</v>
      </c>
      <c r="E103" s="56" t="s">
        <v>410</v>
      </c>
      <c r="F103" s="359" t="s">
        <v>6</v>
      </c>
      <c r="G103" s="365" t="s">
        <v>1236</v>
      </c>
      <c r="H103" s="364" t="s">
        <v>1237</v>
      </c>
      <c r="I103" s="313"/>
      <c r="J103" s="313"/>
    </row>
    <row r="104" spans="2:10" x14ac:dyDescent="0.3">
      <c r="B104" s="366">
        <v>45813</v>
      </c>
      <c r="C104" s="408"/>
      <c r="D104" s="364" t="s">
        <v>1188</v>
      </c>
      <c r="E104" s="56" t="s">
        <v>410</v>
      </c>
      <c r="F104" s="359" t="s">
        <v>6</v>
      </c>
      <c r="G104" s="364" t="s">
        <v>1197</v>
      </c>
      <c r="H104" s="364" t="s">
        <v>1194</v>
      </c>
      <c r="I104" s="313"/>
      <c r="J104" s="313"/>
    </row>
    <row r="105" spans="2:10" x14ac:dyDescent="0.3">
      <c r="B105" s="366">
        <v>45813</v>
      </c>
      <c r="C105" s="408"/>
      <c r="D105" s="364" t="s">
        <v>1188</v>
      </c>
      <c r="E105" s="56" t="s">
        <v>410</v>
      </c>
      <c r="F105" s="359" t="s">
        <v>6</v>
      </c>
      <c r="G105" s="365" t="s">
        <v>1238</v>
      </c>
      <c r="H105" s="364" t="s">
        <v>1239</v>
      </c>
      <c r="I105" s="313"/>
      <c r="J105" s="313"/>
    </row>
    <row r="106" spans="2:10" ht="41.25" x14ac:dyDescent="0.3">
      <c r="B106" s="366">
        <v>45813</v>
      </c>
      <c r="C106" s="408"/>
      <c r="D106" s="365" t="s">
        <v>708</v>
      </c>
      <c r="E106" s="56" t="s">
        <v>410</v>
      </c>
      <c r="F106" s="359" t="s">
        <v>6</v>
      </c>
      <c r="G106" s="365" t="s">
        <v>1240</v>
      </c>
      <c r="H106" s="364" t="s">
        <v>1241</v>
      </c>
      <c r="I106" s="313"/>
      <c r="J106" s="313"/>
    </row>
    <row r="107" spans="2:10" x14ac:dyDescent="0.3">
      <c r="B107" s="366">
        <v>45814</v>
      </c>
      <c r="C107" s="408"/>
      <c r="D107" s="364" t="s">
        <v>1188</v>
      </c>
      <c r="E107" s="56" t="s">
        <v>410</v>
      </c>
      <c r="F107" s="359" t="s">
        <v>6</v>
      </c>
      <c r="G107" s="364" t="s">
        <v>1197</v>
      </c>
      <c r="H107" s="364" t="s">
        <v>1194</v>
      </c>
      <c r="I107" s="313"/>
      <c r="J107" s="313"/>
    </row>
    <row r="108" spans="2:10" x14ac:dyDescent="0.3">
      <c r="B108" s="366">
        <v>45814</v>
      </c>
      <c r="C108" s="408"/>
      <c r="D108" s="364" t="s">
        <v>1188</v>
      </c>
      <c r="E108" s="56" t="s">
        <v>410</v>
      </c>
      <c r="F108" s="359" t="s">
        <v>6</v>
      </c>
      <c r="G108" s="365" t="s">
        <v>1242</v>
      </c>
      <c r="H108" s="364" t="s">
        <v>1243</v>
      </c>
      <c r="I108" s="313"/>
      <c r="J108" s="313"/>
    </row>
    <row r="109" spans="2:10" x14ac:dyDescent="0.3">
      <c r="B109" s="366">
        <v>45814</v>
      </c>
      <c r="C109" s="408"/>
      <c r="D109" s="365" t="s">
        <v>1244</v>
      </c>
      <c r="E109" s="56" t="s">
        <v>410</v>
      </c>
      <c r="F109" s="359" t="s">
        <v>6</v>
      </c>
      <c r="G109" s="365" t="s">
        <v>1245</v>
      </c>
      <c r="H109" s="364" t="s">
        <v>1246</v>
      </c>
      <c r="I109" s="313"/>
      <c r="J109" s="313"/>
    </row>
    <row r="110" spans="2:10" x14ac:dyDescent="0.3">
      <c r="B110" s="366">
        <v>45817</v>
      </c>
      <c r="C110" s="408"/>
      <c r="D110" s="364" t="s">
        <v>1188</v>
      </c>
      <c r="E110" s="56" t="s">
        <v>410</v>
      </c>
      <c r="F110" s="359" t="s">
        <v>6</v>
      </c>
      <c r="G110" s="364" t="s">
        <v>1197</v>
      </c>
      <c r="H110" s="364" t="s">
        <v>1194</v>
      </c>
      <c r="I110" s="313"/>
      <c r="J110" s="313"/>
    </row>
    <row r="111" spans="2:10" ht="27.75" x14ac:dyDescent="0.3">
      <c r="B111" s="366">
        <v>45817</v>
      </c>
      <c r="C111" s="408"/>
      <c r="D111" s="364" t="s">
        <v>1188</v>
      </c>
      <c r="E111" s="56" t="s">
        <v>410</v>
      </c>
      <c r="F111" s="359" t="s">
        <v>6</v>
      </c>
      <c r="G111" s="365" t="s">
        <v>1247</v>
      </c>
      <c r="H111" s="364" t="s">
        <v>1248</v>
      </c>
      <c r="I111" s="313"/>
      <c r="J111" s="313"/>
    </row>
    <row r="112" spans="2:10" ht="27.75" x14ac:dyDescent="0.3">
      <c r="B112" s="366">
        <v>45817</v>
      </c>
      <c r="C112" s="408"/>
      <c r="D112" s="364" t="s">
        <v>1188</v>
      </c>
      <c r="E112" s="56" t="s">
        <v>410</v>
      </c>
      <c r="F112" s="359" t="s">
        <v>6</v>
      </c>
      <c r="G112" s="365" t="s">
        <v>1249</v>
      </c>
      <c r="H112" s="364" t="s">
        <v>1250</v>
      </c>
      <c r="I112" s="313"/>
      <c r="J112" s="313"/>
    </row>
    <row r="113" spans="2:10" x14ac:dyDescent="0.3">
      <c r="B113" s="366">
        <v>45818</v>
      </c>
      <c r="C113" s="408"/>
      <c r="D113" s="364" t="s">
        <v>1188</v>
      </c>
      <c r="E113" s="56" t="s">
        <v>410</v>
      </c>
      <c r="F113" s="359" t="s">
        <v>6</v>
      </c>
      <c r="G113" s="364" t="s">
        <v>1197</v>
      </c>
      <c r="H113" s="364" t="s">
        <v>1194</v>
      </c>
      <c r="I113" s="313"/>
      <c r="J113" s="313"/>
    </row>
    <row r="114" spans="2:10" x14ac:dyDescent="0.3">
      <c r="B114" s="366">
        <v>45818</v>
      </c>
      <c r="C114" s="408"/>
      <c r="D114" s="365" t="s">
        <v>1043</v>
      </c>
      <c r="E114" s="56" t="s">
        <v>410</v>
      </c>
      <c r="F114" s="359" t="s">
        <v>6</v>
      </c>
      <c r="G114" s="365" t="s">
        <v>1251</v>
      </c>
      <c r="H114" s="364" t="s">
        <v>1252</v>
      </c>
      <c r="I114" s="313"/>
      <c r="J114" s="313"/>
    </row>
    <row r="115" spans="2:10" ht="27.75" x14ac:dyDescent="0.3">
      <c r="B115" s="366">
        <v>45819</v>
      </c>
      <c r="C115" s="408"/>
      <c r="D115" s="365" t="s">
        <v>1076</v>
      </c>
      <c r="E115" s="56" t="s">
        <v>410</v>
      </c>
      <c r="F115" s="359" t="s">
        <v>6</v>
      </c>
      <c r="G115" s="365" t="s">
        <v>1253</v>
      </c>
      <c r="H115" s="364" t="s">
        <v>1254</v>
      </c>
      <c r="I115" s="313"/>
      <c r="J115" s="313"/>
    </row>
    <row r="116" spans="2:10" x14ac:dyDescent="0.3">
      <c r="B116" s="363">
        <v>45819</v>
      </c>
      <c r="C116" s="408"/>
      <c r="D116" s="364" t="s">
        <v>1076</v>
      </c>
      <c r="E116" s="56" t="s">
        <v>410</v>
      </c>
      <c r="F116" s="359" t="s">
        <v>6</v>
      </c>
      <c r="G116" s="364" t="s">
        <v>1255</v>
      </c>
      <c r="H116" s="364" t="s">
        <v>1168</v>
      </c>
      <c r="I116" s="313"/>
      <c r="J116" s="313"/>
    </row>
    <row r="117" spans="2:10" x14ac:dyDescent="0.3">
      <c r="B117" s="366">
        <v>45820</v>
      </c>
      <c r="C117" s="408"/>
      <c r="D117" s="364" t="s">
        <v>1188</v>
      </c>
      <c r="E117" s="56" t="s">
        <v>410</v>
      </c>
      <c r="F117" s="359" t="s">
        <v>6</v>
      </c>
      <c r="G117" s="364" t="s">
        <v>1197</v>
      </c>
      <c r="H117" s="364" t="s">
        <v>1194</v>
      </c>
      <c r="I117" s="313"/>
      <c r="J117" s="313"/>
    </row>
    <row r="118" spans="2:10" x14ac:dyDescent="0.3">
      <c r="B118" s="366">
        <v>45820</v>
      </c>
      <c r="C118" s="408"/>
      <c r="D118" s="364" t="s">
        <v>1188</v>
      </c>
      <c r="E118" s="56" t="s">
        <v>410</v>
      </c>
      <c r="F118" s="359" t="s">
        <v>6</v>
      </c>
      <c r="G118" s="364" t="s">
        <v>1256</v>
      </c>
      <c r="H118" s="364" t="s">
        <v>1257</v>
      </c>
      <c r="I118" s="313"/>
      <c r="J118" s="313"/>
    </row>
    <row r="119" spans="2:10" x14ac:dyDescent="0.3">
      <c r="B119" s="366">
        <v>45820</v>
      </c>
      <c r="C119" s="408"/>
      <c r="D119" s="364" t="s">
        <v>1258</v>
      </c>
      <c r="E119" s="56" t="s">
        <v>410</v>
      </c>
      <c r="F119" s="359" t="s">
        <v>6</v>
      </c>
      <c r="G119" s="364" t="s">
        <v>1259</v>
      </c>
      <c r="H119" s="364" t="s">
        <v>1260</v>
      </c>
      <c r="I119" s="313"/>
      <c r="J119" s="313"/>
    </row>
    <row r="120" spans="2:10" x14ac:dyDescent="0.3">
      <c r="B120" s="366">
        <v>45821</v>
      </c>
      <c r="C120" s="408"/>
      <c r="D120" s="364" t="s">
        <v>1188</v>
      </c>
      <c r="E120" s="56" t="s">
        <v>410</v>
      </c>
      <c r="F120" s="359" t="s">
        <v>6</v>
      </c>
      <c r="G120" s="364" t="s">
        <v>1197</v>
      </c>
      <c r="H120" s="364" t="s">
        <v>1194</v>
      </c>
      <c r="I120" s="313"/>
      <c r="J120" s="313"/>
    </row>
    <row r="121" spans="2:10" x14ac:dyDescent="0.3">
      <c r="B121" s="366">
        <v>45821</v>
      </c>
      <c r="C121" s="408"/>
      <c r="D121" s="364" t="s">
        <v>1188</v>
      </c>
      <c r="E121" s="56" t="s">
        <v>410</v>
      </c>
      <c r="F121" s="359" t="s">
        <v>6</v>
      </c>
      <c r="G121" s="364" t="s">
        <v>1261</v>
      </c>
      <c r="H121" s="364" t="s">
        <v>1262</v>
      </c>
      <c r="I121" s="313"/>
      <c r="J121" s="313"/>
    </row>
    <row r="122" spans="2:10" x14ac:dyDescent="0.3">
      <c r="B122" s="366">
        <v>45824</v>
      </c>
      <c r="C122" s="408"/>
      <c r="D122" s="364" t="s">
        <v>1188</v>
      </c>
      <c r="E122" s="56" t="s">
        <v>410</v>
      </c>
      <c r="F122" s="359" t="s">
        <v>6</v>
      </c>
      <c r="G122" s="364" t="s">
        <v>1197</v>
      </c>
      <c r="H122" s="364" t="s">
        <v>1194</v>
      </c>
      <c r="I122" s="313"/>
      <c r="J122" s="313"/>
    </row>
    <row r="123" spans="2:10" x14ac:dyDescent="0.3">
      <c r="B123" s="366">
        <v>45824</v>
      </c>
      <c r="C123" s="408"/>
      <c r="D123" s="364" t="s">
        <v>1188</v>
      </c>
      <c r="E123" s="56" t="s">
        <v>410</v>
      </c>
      <c r="F123" s="359" t="s">
        <v>6</v>
      </c>
      <c r="G123" s="364" t="s">
        <v>1263</v>
      </c>
      <c r="H123" s="364" t="s">
        <v>1264</v>
      </c>
      <c r="I123" s="313"/>
      <c r="J123" s="313"/>
    </row>
    <row r="124" spans="2:10" x14ac:dyDescent="0.3">
      <c r="B124" s="366">
        <v>45825</v>
      </c>
      <c r="C124" s="408"/>
      <c r="D124" s="364" t="s">
        <v>1188</v>
      </c>
      <c r="E124" s="56" t="s">
        <v>410</v>
      </c>
      <c r="F124" s="359" t="s">
        <v>6</v>
      </c>
      <c r="G124" s="364" t="s">
        <v>1197</v>
      </c>
      <c r="H124" s="364" t="s">
        <v>1194</v>
      </c>
      <c r="I124" s="313"/>
      <c r="J124" s="313"/>
    </row>
    <row r="125" spans="2:10" x14ac:dyDescent="0.3">
      <c r="B125" s="366">
        <v>45825</v>
      </c>
      <c r="C125" s="408"/>
      <c r="D125" s="364" t="s">
        <v>1188</v>
      </c>
      <c r="E125" s="56" t="s">
        <v>410</v>
      </c>
      <c r="F125" s="359" t="s">
        <v>6</v>
      </c>
      <c r="G125" s="364" t="s">
        <v>1265</v>
      </c>
      <c r="H125" s="364" t="s">
        <v>1266</v>
      </c>
      <c r="I125" s="313"/>
      <c r="J125" s="313"/>
    </row>
    <row r="126" spans="2:10" x14ac:dyDescent="0.3">
      <c r="B126" s="366">
        <v>45826</v>
      </c>
      <c r="C126" s="408"/>
      <c r="D126" s="364" t="s">
        <v>1188</v>
      </c>
      <c r="E126" s="56" t="s">
        <v>410</v>
      </c>
      <c r="F126" s="359" t="s">
        <v>6</v>
      </c>
      <c r="G126" s="364" t="s">
        <v>1197</v>
      </c>
      <c r="H126" s="364" t="s">
        <v>1194</v>
      </c>
      <c r="I126" s="313"/>
      <c r="J126" s="313"/>
    </row>
    <row r="127" spans="2:10" x14ac:dyDescent="0.3">
      <c r="B127" s="366">
        <v>45826</v>
      </c>
      <c r="C127" s="408"/>
      <c r="D127" s="364" t="s">
        <v>1188</v>
      </c>
      <c r="E127" s="56" t="s">
        <v>410</v>
      </c>
      <c r="F127" s="359" t="s">
        <v>6</v>
      </c>
      <c r="G127" s="364" t="s">
        <v>1267</v>
      </c>
      <c r="H127" s="364" t="s">
        <v>1268</v>
      </c>
      <c r="I127" s="313"/>
      <c r="J127" s="313"/>
    </row>
    <row r="128" spans="2:10" x14ac:dyDescent="0.3">
      <c r="B128" s="366">
        <v>45826</v>
      </c>
      <c r="C128" s="408"/>
      <c r="D128" s="364" t="s">
        <v>1188</v>
      </c>
      <c r="E128" s="56" t="s">
        <v>410</v>
      </c>
      <c r="F128" s="359" t="s">
        <v>6</v>
      </c>
      <c r="G128" s="364" t="s">
        <v>1269</v>
      </c>
      <c r="H128" s="364" t="s">
        <v>1270</v>
      </c>
      <c r="I128" s="313"/>
      <c r="J128" s="313"/>
    </row>
    <row r="129" spans="2:10" x14ac:dyDescent="0.3">
      <c r="B129" s="366">
        <v>45827</v>
      </c>
      <c r="C129" s="408"/>
      <c r="D129" s="364" t="s">
        <v>1188</v>
      </c>
      <c r="E129" s="56" t="s">
        <v>410</v>
      </c>
      <c r="F129" s="359" t="s">
        <v>6</v>
      </c>
      <c r="G129" s="364" t="s">
        <v>1197</v>
      </c>
      <c r="H129" s="364" t="s">
        <v>1194</v>
      </c>
      <c r="I129" s="313"/>
      <c r="J129" s="313"/>
    </row>
    <row r="130" spans="2:10" ht="27.75" x14ac:dyDescent="0.3">
      <c r="B130" s="366">
        <v>45827</v>
      </c>
      <c r="C130" s="408"/>
      <c r="D130" s="364" t="s">
        <v>1271</v>
      </c>
      <c r="E130" s="56" t="s">
        <v>410</v>
      </c>
      <c r="F130" s="359" t="s">
        <v>6</v>
      </c>
      <c r="G130" s="364" t="s">
        <v>1272</v>
      </c>
      <c r="H130" s="364" t="s">
        <v>1273</v>
      </c>
      <c r="I130" s="313"/>
      <c r="J130" s="313"/>
    </row>
    <row r="131" spans="2:10" x14ac:dyDescent="0.3">
      <c r="B131" s="366">
        <v>45827</v>
      </c>
      <c r="C131" s="408"/>
      <c r="D131" s="364" t="s">
        <v>1188</v>
      </c>
      <c r="E131" s="56" t="s">
        <v>410</v>
      </c>
      <c r="F131" s="359" t="s">
        <v>6</v>
      </c>
      <c r="G131" s="364" t="s">
        <v>1274</v>
      </c>
      <c r="H131" s="364" t="s">
        <v>1275</v>
      </c>
      <c r="I131" s="313"/>
      <c r="J131" s="313"/>
    </row>
    <row r="132" spans="2:10" x14ac:dyDescent="0.3">
      <c r="B132" s="366">
        <v>45831</v>
      </c>
      <c r="C132" s="408"/>
      <c r="D132" s="364" t="s">
        <v>1188</v>
      </c>
      <c r="E132" s="56" t="s">
        <v>410</v>
      </c>
      <c r="F132" s="359" t="s">
        <v>6</v>
      </c>
      <c r="G132" s="364" t="s">
        <v>1197</v>
      </c>
      <c r="H132" s="364" t="s">
        <v>1194</v>
      </c>
      <c r="I132" s="313"/>
      <c r="J132" s="313"/>
    </row>
    <row r="133" spans="2:10" x14ac:dyDescent="0.3">
      <c r="B133" s="366">
        <v>45832</v>
      </c>
      <c r="C133" s="408"/>
      <c r="D133" s="364" t="s">
        <v>1188</v>
      </c>
      <c r="E133" s="56" t="s">
        <v>410</v>
      </c>
      <c r="F133" s="359" t="s">
        <v>6</v>
      </c>
      <c r="G133" s="364" t="s">
        <v>1197</v>
      </c>
      <c r="H133" s="364" t="s">
        <v>1194</v>
      </c>
      <c r="I133" s="313"/>
      <c r="J133" s="313"/>
    </row>
    <row r="134" spans="2:10" x14ac:dyDescent="0.3">
      <c r="B134" s="366">
        <v>45832</v>
      </c>
      <c r="C134" s="408"/>
      <c r="D134" s="364" t="s">
        <v>1188</v>
      </c>
      <c r="E134" s="56" t="s">
        <v>410</v>
      </c>
      <c r="F134" s="359" t="s">
        <v>6</v>
      </c>
      <c r="G134" s="364" t="s">
        <v>1276</v>
      </c>
      <c r="H134" s="364" t="s">
        <v>1277</v>
      </c>
      <c r="I134" s="313"/>
      <c r="J134" s="313"/>
    </row>
    <row r="135" spans="2:10" x14ac:dyDescent="0.3">
      <c r="B135" s="366">
        <v>45838</v>
      </c>
      <c r="C135" s="408"/>
      <c r="D135" s="364" t="s">
        <v>1188</v>
      </c>
      <c r="E135" s="56" t="s">
        <v>410</v>
      </c>
      <c r="F135" s="359" t="s">
        <v>6</v>
      </c>
      <c r="G135" s="364" t="s">
        <v>1197</v>
      </c>
      <c r="H135" s="364" t="s">
        <v>1194</v>
      </c>
      <c r="I135" s="313"/>
      <c r="J135" s="313"/>
    </row>
    <row r="136" spans="2:10" x14ac:dyDescent="0.3">
      <c r="B136" s="366">
        <v>45839</v>
      </c>
      <c r="C136" s="408" t="s">
        <v>1278</v>
      </c>
      <c r="D136" s="364" t="s">
        <v>1188</v>
      </c>
      <c r="E136" s="56" t="s">
        <v>410</v>
      </c>
      <c r="F136" s="359" t="s">
        <v>6</v>
      </c>
      <c r="G136" s="364" t="s">
        <v>1197</v>
      </c>
      <c r="H136" s="364" t="s">
        <v>1194</v>
      </c>
      <c r="I136" s="313"/>
      <c r="J136" s="313"/>
    </row>
    <row r="137" spans="2:10" x14ac:dyDescent="0.3">
      <c r="B137" s="366">
        <v>45839</v>
      </c>
      <c r="C137" s="408"/>
      <c r="D137" s="364" t="s">
        <v>1144</v>
      </c>
      <c r="E137" s="56" t="s">
        <v>410</v>
      </c>
      <c r="F137" s="359" t="s">
        <v>6</v>
      </c>
      <c r="G137" s="364" t="s">
        <v>1279</v>
      </c>
      <c r="H137" s="364" t="s">
        <v>1280</v>
      </c>
      <c r="I137" s="313"/>
      <c r="J137" s="313"/>
    </row>
    <row r="138" spans="2:10" x14ac:dyDescent="0.3">
      <c r="B138" s="366">
        <v>45839</v>
      </c>
      <c r="C138" s="408"/>
      <c r="D138" s="364" t="s">
        <v>1188</v>
      </c>
      <c r="E138" s="56" t="s">
        <v>410</v>
      </c>
      <c r="F138" s="359" t="s">
        <v>6</v>
      </c>
      <c r="G138" s="364" t="s">
        <v>1281</v>
      </c>
      <c r="H138" s="364" t="s">
        <v>1282</v>
      </c>
      <c r="I138" s="313"/>
      <c r="J138" s="313"/>
    </row>
    <row r="139" spans="2:10" x14ac:dyDescent="0.3">
      <c r="B139" s="366">
        <v>45840</v>
      </c>
      <c r="C139" s="408"/>
      <c r="D139" s="364" t="s">
        <v>1188</v>
      </c>
      <c r="E139" s="56" t="s">
        <v>410</v>
      </c>
      <c r="F139" s="359" t="s">
        <v>6</v>
      </c>
      <c r="G139" s="364" t="s">
        <v>1197</v>
      </c>
      <c r="H139" s="364" t="s">
        <v>1194</v>
      </c>
      <c r="I139" s="313"/>
      <c r="J139" s="313"/>
    </row>
    <row r="140" spans="2:10" ht="68.25" x14ac:dyDescent="0.3">
      <c r="B140" s="366">
        <v>45840</v>
      </c>
      <c r="C140" s="408"/>
      <c r="D140" s="364" t="s">
        <v>1188</v>
      </c>
      <c r="E140" s="56" t="s">
        <v>410</v>
      </c>
      <c r="F140" s="359" t="s">
        <v>6</v>
      </c>
      <c r="G140" s="364" t="s">
        <v>1283</v>
      </c>
      <c r="H140" s="364" t="s">
        <v>1284</v>
      </c>
      <c r="I140" s="313"/>
      <c r="J140" s="313"/>
    </row>
    <row r="141" spans="2:10" x14ac:dyDescent="0.3">
      <c r="B141" s="366">
        <v>45841</v>
      </c>
      <c r="C141" s="408"/>
      <c r="D141" s="364" t="s">
        <v>1188</v>
      </c>
      <c r="E141" s="56" t="s">
        <v>410</v>
      </c>
      <c r="F141" s="359" t="s">
        <v>6</v>
      </c>
      <c r="G141" s="364" t="s">
        <v>1197</v>
      </c>
      <c r="H141" s="364" t="s">
        <v>1194</v>
      </c>
      <c r="I141" s="313"/>
      <c r="J141" s="313"/>
    </row>
    <row r="142" spans="2:10" ht="95.25" x14ac:dyDescent="0.3">
      <c r="B142" s="366">
        <v>45841</v>
      </c>
      <c r="C142" s="408"/>
      <c r="D142" s="364" t="s">
        <v>1285</v>
      </c>
      <c r="E142" s="56" t="s">
        <v>410</v>
      </c>
      <c r="F142" s="359" t="s">
        <v>6</v>
      </c>
      <c r="G142" s="364" t="s">
        <v>1286</v>
      </c>
      <c r="H142" s="364" t="s">
        <v>1287</v>
      </c>
      <c r="I142" s="313"/>
      <c r="J142" s="313"/>
    </row>
    <row r="143" spans="2:10" x14ac:dyDescent="0.3">
      <c r="B143" s="366">
        <v>45841</v>
      </c>
      <c r="C143" s="408"/>
      <c r="D143" s="364" t="s">
        <v>1188</v>
      </c>
      <c r="E143" s="56" t="s">
        <v>410</v>
      </c>
      <c r="F143" s="359" t="s">
        <v>6</v>
      </c>
      <c r="G143" s="364" t="s">
        <v>1288</v>
      </c>
      <c r="H143" s="364" t="s">
        <v>1289</v>
      </c>
      <c r="I143" s="313"/>
      <c r="J143" s="313"/>
    </row>
    <row r="144" spans="2:10" x14ac:dyDescent="0.3">
      <c r="B144" s="366">
        <v>45842</v>
      </c>
      <c r="C144" s="408"/>
      <c r="D144" s="364" t="s">
        <v>1290</v>
      </c>
      <c r="E144" s="56" t="s">
        <v>410</v>
      </c>
      <c r="F144" s="359" t="s">
        <v>6</v>
      </c>
      <c r="G144" s="364" t="s">
        <v>1291</v>
      </c>
      <c r="H144" s="364" t="s">
        <v>1292</v>
      </c>
      <c r="I144" s="313"/>
      <c r="J144" s="313"/>
    </row>
    <row r="145" spans="2:10" x14ac:dyDescent="0.3">
      <c r="B145" s="366">
        <v>45842</v>
      </c>
      <c r="C145" s="408"/>
      <c r="D145" s="364" t="s">
        <v>1188</v>
      </c>
      <c r="E145" s="56" t="s">
        <v>410</v>
      </c>
      <c r="F145" s="359" t="s">
        <v>6</v>
      </c>
      <c r="G145" s="364" t="s">
        <v>1197</v>
      </c>
      <c r="H145" s="364" t="s">
        <v>1194</v>
      </c>
      <c r="I145" s="313"/>
      <c r="J145" s="313"/>
    </row>
    <row r="146" spans="2:10" x14ac:dyDescent="0.3">
      <c r="B146" s="366">
        <v>45842</v>
      </c>
      <c r="C146" s="408"/>
      <c r="D146" s="364" t="s">
        <v>1293</v>
      </c>
      <c r="E146" s="56" t="s">
        <v>410</v>
      </c>
      <c r="F146" s="359" t="s">
        <v>6</v>
      </c>
      <c r="G146" s="364" t="s">
        <v>1294</v>
      </c>
      <c r="H146" s="364" t="s">
        <v>1295</v>
      </c>
      <c r="I146" s="313"/>
      <c r="J146" s="313"/>
    </row>
    <row r="147" spans="2:10" x14ac:dyDescent="0.3">
      <c r="B147" s="366">
        <v>45842</v>
      </c>
      <c r="C147" s="408"/>
      <c r="D147" s="364" t="s">
        <v>1293</v>
      </c>
      <c r="E147" s="56" t="s">
        <v>410</v>
      </c>
      <c r="F147" s="359" t="s">
        <v>6</v>
      </c>
      <c r="G147" s="364" t="s">
        <v>1296</v>
      </c>
      <c r="H147" s="364" t="s">
        <v>1297</v>
      </c>
      <c r="I147" s="313"/>
      <c r="J147" s="313"/>
    </row>
    <row r="148" spans="2:10" x14ac:dyDescent="0.3">
      <c r="B148" s="366">
        <v>45845</v>
      </c>
      <c r="C148" s="408"/>
      <c r="D148" s="364" t="s">
        <v>1188</v>
      </c>
      <c r="E148" s="56" t="s">
        <v>410</v>
      </c>
      <c r="F148" s="359" t="s">
        <v>6</v>
      </c>
      <c r="G148" s="364" t="s">
        <v>1197</v>
      </c>
      <c r="H148" s="364" t="s">
        <v>1194</v>
      </c>
      <c r="I148" s="313"/>
      <c r="J148" s="313"/>
    </row>
    <row r="149" spans="2:10" x14ac:dyDescent="0.3">
      <c r="B149" s="366">
        <v>45845</v>
      </c>
      <c r="C149" s="408"/>
      <c r="D149" s="364" t="s">
        <v>1188</v>
      </c>
      <c r="E149" s="56" t="s">
        <v>410</v>
      </c>
      <c r="F149" s="359" t="s">
        <v>6</v>
      </c>
      <c r="G149" s="364" t="s">
        <v>1298</v>
      </c>
      <c r="H149" s="364" t="s">
        <v>1299</v>
      </c>
      <c r="I149" s="313"/>
      <c r="J149" s="313"/>
    </row>
    <row r="150" spans="2:10" x14ac:dyDescent="0.3">
      <c r="B150" s="366">
        <v>45845</v>
      </c>
      <c r="C150" s="408"/>
      <c r="D150" s="364" t="s">
        <v>1188</v>
      </c>
      <c r="E150" s="56" t="s">
        <v>410</v>
      </c>
      <c r="F150" s="359" t="s">
        <v>6</v>
      </c>
      <c r="G150" s="364" t="s">
        <v>1300</v>
      </c>
      <c r="H150" s="364" t="s">
        <v>1301</v>
      </c>
      <c r="I150" s="313"/>
      <c r="J150" s="313"/>
    </row>
    <row r="151" spans="2:10" x14ac:dyDescent="0.3">
      <c r="B151" s="366">
        <v>45845</v>
      </c>
      <c r="C151" s="408"/>
      <c r="D151" s="364" t="s">
        <v>1043</v>
      </c>
      <c r="E151" s="56" t="s">
        <v>410</v>
      </c>
      <c r="F151" s="359" t="s">
        <v>6</v>
      </c>
      <c r="G151" s="364" t="s">
        <v>1302</v>
      </c>
      <c r="H151" s="364" t="s">
        <v>1303</v>
      </c>
      <c r="I151" s="313"/>
      <c r="J151" s="313"/>
    </row>
    <row r="152" spans="2:10" ht="27.75" x14ac:dyDescent="0.3">
      <c r="B152" s="366">
        <v>45846</v>
      </c>
      <c r="C152" s="408"/>
      <c r="D152" s="364" t="s">
        <v>1103</v>
      </c>
      <c r="E152" s="56" t="s">
        <v>410</v>
      </c>
      <c r="F152" s="359" t="s">
        <v>6</v>
      </c>
      <c r="G152" s="364" t="s">
        <v>1304</v>
      </c>
      <c r="H152" s="364" t="s">
        <v>1305</v>
      </c>
      <c r="I152" s="313"/>
      <c r="J152" s="313"/>
    </row>
    <row r="153" spans="2:10" x14ac:dyDescent="0.3">
      <c r="B153" s="366">
        <v>45847</v>
      </c>
      <c r="C153" s="408"/>
      <c r="D153" s="364" t="s">
        <v>1306</v>
      </c>
      <c r="E153" s="56" t="s">
        <v>410</v>
      </c>
      <c r="F153" s="359" t="s">
        <v>6</v>
      </c>
      <c r="G153" s="364" t="s">
        <v>1307</v>
      </c>
      <c r="H153" s="364" t="s">
        <v>1308</v>
      </c>
      <c r="I153" s="313"/>
      <c r="J153" s="313"/>
    </row>
    <row r="154" spans="2:10" x14ac:dyDescent="0.3">
      <c r="B154" s="366">
        <v>45848</v>
      </c>
      <c r="C154" s="408"/>
      <c r="D154" s="364" t="s">
        <v>1043</v>
      </c>
      <c r="E154" s="56" t="s">
        <v>410</v>
      </c>
      <c r="F154" s="359" t="s">
        <v>6</v>
      </c>
      <c r="G154" s="364" t="s">
        <v>1309</v>
      </c>
      <c r="H154" s="364" t="s">
        <v>1310</v>
      </c>
      <c r="I154" s="313"/>
      <c r="J154" s="313"/>
    </row>
    <row r="155" spans="2:10" x14ac:dyDescent="0.3">
      <c r="B155" s="366">
        <v>45849</v>
      </c>
      <c r="C155" s="408"/>
      <c r="D155" s="364" t="s">
        <v>1188</v>
      </c>
      <c r="E155" s="56" t="s">
        <v>410</v>
      </c>
      <c r="F155" s="359" t="s">
        <v>6</v>
      </c>
      <c r="G155" s="364" t="s">
        <v>1197</v>
      </c>
      <c r="H155" s="364" t="s">
        <v>1194</v>
      </c>
      <c r="I155" s="313"/>
      <c r="J155" s="313"/>
    </row>
    <row r="156" spans="2:10" ht="27.75" x14ac:dyDescent="0.3">
      <c r="B156" s="366">
        <v>45849</v>
      </c>
      <c r="C156" s="408"/>
      <c r="D156" s="364" t="s">
        <v>1188</v>
      </c>
      <c r="E156" s="56" t="s">
        <v>410</v>
      </c>
      <c r="F156" s="359" t="s">
        <v>6</v>
      </c>
      <c r="G156" s="364" t="s">
        <v>1311</v>
      </c>
      <c r="H156" s="364" t="s">
        <v>1312</v>
      </c>
      <c r="I156" s="313"/>
      <c r="J156" s="313"/>
    </row>
    <row r="157" spans="2:10" x14ac:dyDescent="0.3">
      <c r="B157" s="366">
        <v>45849</v>
      </c>
      <c r="C157" s="408"/>
      <c r="D157" s="364" t="s">
        <v>1188</v>
      </c>
      <c r="E157" s="56" t="s">
        <v>410</v>
      </c>
      <c r="F157" s="359" t="s">
        <v>6</v>
      </c>
      <c r="G157" s="364" t="s">
        <v>1313</v>
      </c>
      <c r="H157" s="364" t="s">
        <v>1314</v>
      </c>
      <c r="I157" s="313"/>
      <c r="J157" s="313"/>
    </row>
    <row r="158" spans="2:10" x14ac:dyDescent="0.3">
      <c r="B158" s="366">
        <v>45852</v>
      </c>
      <c r="C158" s="408"/>
      <c r="D158" s="364" t="s">
        <v>1188</v>
      </c>
      <c r="E158" s="56" t="s">
        <v>410</v>
      </c>
      <c r="F158" s="359" t="s">
        <v>6</v>
      </c>
      <c r="G158" s="364" t="s">
        <v>1315</v>
      </c>
      <c r="H158" s="364" t="s">
        <v>1316</v>
      </c>
      <c r="I158" s="313"/>
      <c r="J158" s="313"/>
    </row>
    <row r="159" spans="2:10" x14ac:dyDescent="0.3">
      <c r="B159" s="366">
        <v>45852</v>
      </c>
      <c r="C159" s="408"/>
      <c r="D159" s="364" t="s">
        <v>1188</v>
      </c>
      <c r="E159" s="56" t="s">
        <v>410</v>
      </c>
      <c r="F159" s="359" t="s">
        <v>6</v>
      </c>
      <c r="G159" s="364" t="s">
        <v>1197</v>
      </c>
      <c r="H159" s="364" t="s">
        <v>1194</v>
      </c>
      <c r="I159" s="313"/>
      <c r="J159" s="313"/>
    </row>
    <row r="160" spans="2:10" x14ac:dyDescent="0.3">
      <c r="B160" s="366">
        <v>45852</v>
      </c>
      <c r="C160" s="408"/>
      <c r="D160" s="364" t="s">
        <v>1103</v>
      </c>
      <c r="E160" s="56" t="s">
        <v>410</v>
      </c>
      <c r="F160" s="359" t="s">
        <v>6</v>
      </c>
      <c r="G160" s="364" t="s">
        <v>1317</v>
      </c>
      <c r="H160" s="364" t="s">
        <v>1318</v>
      </c>
      <c r="I160" s="313"/>
      <c r="J160" s="313"/>
    </row>
    <row r="161" spans="2:10" x14ac:dyDescent="0.3">
      <c r="B161" s="366">
        <v>45852</v>
      </c>
      <c r="C161" s="408"/>
      <c r="D161" s="364" t="s">
        <v>1188</v>
      </c>
      <c r="E161" s="56" t="s">
        <v>410</v>
      </c>
      <c r="F161" s="359" t="s">
        <v>6</v>
      </c>
      <c r="G161" s="364" t="s">
        <v>1319</v>
      </c>
      <c r="H161" s="364" t="s">
        <v>1320</v>
      </c>
      <c r="I161" s="313"/>
      <c r="J161" s="313"/>
    </row>
    <row r="162" spans="2:10" x14ac:dyDescent="0.3">
      <c r="B162" s="366">
        <v>45852</v>
      </c>
      <c r="C162" s="408"/>
      <c r="D162" s="364" t="s">
        <v>1188</v>
      </c>
      <c r="E162" s="56" t="s">
        <v>410</v>
      </c>
      <c r="F162" s="359" t="s">
        <v>6</v>
      </c>
      <c r="G162" s="364" t="s">
        <v>1321</v>
      </c>
      <c r="H162" s="364" t="s">
        <v>1322</v>
      </c>
      <c r="I162" s="313"/>
      <c r="J162" s="313"/>
    </row>
    <row r="163" spans="2:10" x14ac:dyDescent="0.3">
      <c r="B163" s="366">
        <v>45852</v>
      </c>
      <c r="C163" s="408"/>
      <c r="D163" s="364" t="s">
        <v>1188</v>
      </c>
      <c r="E163" s="56" t="s">
        <v>410</v>
      </c>
      <c r="F163" s="359" t="s">
        <v>6</v>
      </c>
      <c r="G163" s="364" t="s">
        <v>1323</v>
      </c>
      <c r="H163" s="364" t="s">
        <v>1322</v>
      </c>
      <c r="I163" s="313"/>
      <c r="J163" s="313"/>
    </row>
    <row r="164" spans="2:10" x14ac:dyDescent="0.3">
      <c r="B164" s="366">
        <v>45853</v>
      </c>
      <c r="C164" s="408"/>
      <c r="D164" s="364" t="s">
        <v>1188</v>
      </c>
      <c r="E164" s="56" t="s">
        <v>410</v>
      </c>
      <c r="F164" s="359" t="s">
        <v>6</v>
      </c>
      <c r="G164" s="364" t="s">
        <v>1197</v>
      </c>
      <c r="H164" s="364" t="s">
        <v>1194</v>
      </c>
      <c r="I164" s="313"/>
      <c r="J164" s="313"/>
    </row>
    <row r="165" spans="2:10" ht="27.75" x14ac:dyDescent="0.3">
      <c r="B165" s="366">
        <v>45853</v>
      </c>
      <c r="C165" s="408"/>
      <c r="D165" s="364" t="s">
        <v>1324</v>
      </c>
      <c r="E165" s="56" t="s">
        <v>410</v>
      </c>
      <c r="F165" s="359" t="s">
        <v>6</v>
      </c>
      <c r="G165" s="364" t="s">
        <v>1325</v>
      </c>
      <c r="H165" s="364" t="s">
        <v>1326</v>
      </c>
      <c r="I165" s="313"/>
      <c r="J165" s="313"/>
    </row>
    <row r="166" spans="2:10" x14ac:dyDescent="0.3">
      <c r="B166" s="366">
        <v>45855</v>
      </c>
      <c r="C166" s="408"/>
      <c r="D166" s="364" t="s">
        <v>1188</v>
      </c>
      <c r="E166" s="56" t="s">
        <v>410</v>
      </c>
      <c r="F166" s="359" t="s">
        <v>6</v>
      </c>
      <c r="G166" s="364" t="s">
        <v>1197</v>
      </c>
      <c r="H166" s="364" t="s">
        <v>1194</v>
      </c>
      <c r="I166" s="313"/>
      <c r="J166" s="313"/>
    </row>
    <row r="167" spans="2:10" x14ac:dyDescent="0.3">
      <c r="B167" s="366">
        <v>45855</v>
      </c>
      <c r="C167" s="408"/>
      <c r="D167" s="364" t="s">
        <v>1188</v>
      </c>
      <c r="E167" s="56" t="s">
        <v>410</v>
      </c>
      <c r="F167" s="359" t="s">
        <v>6</v>
      </c>
      <c r="G167" s="364" t="s">
        <v>1327</v>
      </c>
      <c r="H167" s="364" t="s">
        <v>1328</v>
      </c>
      <c r="I167" s="313"/>
      <c r="J167" s="313"/>
    </row>
    <row r="168" spans="2:10" x14ac:dyDescent="0.3">
      <c r="B168" s="366">
        <v>45855</v>
      </c>
      <c r="C168" s="408"/>
      <c r="D168" s="364" t="s">
        <v>1329</v>
      </c>
      <c r="E168" s="56" t="s">
        <v>410</v>
      </c>
      <c r="F168" s="359" t="s">
        <v>6</v>
      </c>
      <c r="G168" s="364" t="s">
        <v>1330</v>
      </c>
      <c r="H168" s="364" t="s">
        <v>1331</v>
      </c>
      <c r="I168" s="313"/>
      <c r="J168" s="313"/>
    </row>
    <row r="169" spans="2:10" x14ac:dyDescent="0.3">
      <c r="B169" s="366">
        <v>45856</v>
      </c>
      <c r="C169" s="408"/>
      <c r="D169" s="364" t="s">
        <v>1188</v>
      </c>
      <c r="E169" s="56" t="s">
        <v>410</v>
      </c>
      <c r="F169" s="359" t="s">
        <v>6</v>
      </c>
      <c r="G169" s="364" t="s">
        <v>1332</v>
      </c>
      <c r="H169" s="364" t="s">
        <v>1333</v>
      </c>
      <c r="I169" s="313"/>
      <c r="J169" s="313"/>
    </row>
    <row r="170" spans="2:10" x14ac:dyDescent="0.3">
      <c r="B170" s="366">
        <v>45856</v>
      </c>
      <c r="C170" s="408"/>
      <c r="D170" s="364" t="s">
        <v>1188</v>
      </c>
      <c r="E170" s="56" t="s">
        <v>410</v>
      </c>
      <c r="F170" s="359" t="s">
        <v>6</v>
      </c>
      <c r="G170" s="364" t="s">
        <v>1197</v>
      </c>
      <c r="H170" s="364" t="s">
        <v>1194</v>
      </c>
      <c r="I170" s="313"/>
      <c r="J170" s="313"/>
    </row>
    <row r="171" spans="2:10" x14ac:dyDescent="0.3">
      <c r="B171" s="366">
        <v>45860</v>
      </c>
      <c r="C171" s="408"/>
      <c r="D171" s="364" t="s">
        <v>1188</v>
      </c>
      <c r="E171" s="56" t="s">
        <v>410</v>
      </c>
      <c r="F171" s="359" t="s">
        <v>6</v>
      </c>
      <c r="G171" s="364" t="s">
        <v>1197</v>
      </c>
      <c r="H171" s="364" t="s">
        <v>1194</v>
      </c>
      <c r="I171" s="313"/>
      <c r="J171" s="313"/>
    </row>
    <row r="172" spans="2:10" x14ac:dyDescent="0.3">
      <c r="B172" s="366">
        <v>45860</v>
      </c>
      <c r="C172" s="408"/>
      <c r="D172" s="364" t="s">
        <v>1188</v>
      </c>
      <c r="E172" s="56" t="s">
        <v>410</v>
      </c>
      <c r="F172" s="359" t="s">
        <v>6</v>
      </c>
      <c r="G172" s="364" t="s">
        <v>1334</v>
      </c>
      <c r="H172" s="364" t="s">
        <v>1335</v>
      </c>
      <c r="I172" s="313"/>
      <c r="J172" s="313"/>
    </row>
    <row r="173" spans="2:10" x14ac:dyDescent="0.3">
      <c r="B173" s="366">
        <v>45860</v>
      </c>
      <c r="C173" s="408"/>
      <c r="D173" s="364" t="s">
        <v>1188</v>
      </c>
      <c r="E173" s="56" t="s">
        <v>410</v>
      </c>
      <c r="F173" s="359" t="s">
        <v>6</v>
      </c>
      <c r="G173" s="364" t="s">
        <v>1336</v>
      </c>
      <c r="H173" s="364" t="s">
        <v>1337</v>
      </c>
      <c r="I173" s="313"/>
      <c r="J173" s="313"/>
    </row>
    <row r="174" spans="2:10" x14ac:dyDescent="0.3">
      <c r="B174" s="366">
        <v>45861</v>
      </c>
      <c r="C174" s="408"/>
      <c r="D174" s="364" t="s">
        <v>1188</v>
      </c>
      <c r="E174" s="56" t="s">
        <v>410</v>
      </c>
      <c r="F174" s="359" t="s">
        <v>6</v>
      </c>
      <c r="G174" s="364" t="s">
        <v>1197</v>
      </c>
      <c r="H174" s="364" t="s">
        <v>1194</v>
      </c>
      <c r="I174" s="313"/>
      <c r="J174" s="313"/>
    </row>
    <row r="175" spans="2:10" x14ac:dyDescent="0.3">
      <c r="B175" s="366">
        <v>45861</v>
      </c>
      <c r="C175" s="408"/>
      <c r="D175" s="364" t="s">
        <v>1338</v>
      </c>
      <c r="E175" s="56" t="s">
        <v>410</v>
      </c>
      <c r="F175" s="359" t="s">
        <v>6</v>
      </c>
      <c r="G175" s="364" t="s">
        <v>1339</v>
      </c>
      <c r="H175" s="364" t="s">
        <v>1340</v>
      </c>
      <c r="I175" s="313"/>
      <c r="J175" s="313"/>
    </row>
    <row r="176" spans="2:10" x14ac:dyDescent="0.3">
      <c r="B176" s="366">
        <v>45862</v>
      </c>
      <c r="C176" s="408"/>
      <c r="D176" s="364" t="s">
        <v>1188</v>
      </c>
      <c r="E176" s="56" t="s">
        <v>410</v>
      </c>
      <c r="F176" s="359" t="s">
        <v>6</v>
      </c>
      <c r="G176" s="364" t="s">
        <v>1197</v>
      </c>
      <c r="H176" s="364" t="s">
        <v>1194</v>
      </c>
      <c r="I176" s="313"/>
      <c r="J176" s="313"/>
    </row>
    <row r="177" spans="2:10" ht="27.75" x14ac:dyDescent="0.3">
      <c r="B177" s="366">
        <v>45862</v>
      </c>
      <c r="C177" s="408"/>
      <c r="D177" s="364" t="s">
        <v>1341</v>
      </c>
      <c r="E177" s="56" t="s">
        <v>410</v>
      </c>
      <c r="F177" s="359" t="s">
        <v>6</v>
      </c>
      <c r="G177" s="364" t="s">
        <v>1342</v>
      </c>
      <c r="H177" s="364" t="s">
        <v>1343</v>
      </c>
      <c r="I177" s="313"/>
      <c r="J177" s="313"/>
    </row>
    <row r="178" spans="2:10" x14ac:dyDescent="0.3">
      <c r="B178" s="366">
        <v>45862</v>
      </c>
      <c r="C178" s="408"/>
      <c r="D178" s="364" t="s">
        <v>1188</v>
      </c>
      <c r="E178" s="56" t="s">
        <v>410</v>
      </c>
      <c r="F178" s="359" t="s">
        <v>6</v>
      </c>
      <c r="G178" s="364" t="s">
        <v>1344</v>
      </c>
      <c r="H178" s="364" t="s">
        <v>1345</v>
      </c>
      <c r="I178" s="313"/>
      <c r="J178" s="313"/>
    </row>
    <row r="179" spans="2:10" ht="27.75" x14ac:dyDescent="0.3">
      <c r="B179" s="366">
        <v>45863</v>
      </c>
      <c r="C179" s="408"/>
      <c r="D179" s="364" t="s">
        <v>1346</v>
      </c>
      <c r="E179" s="56" t="s">
        <v>410</v>
      </c>
      <c r="F179" s="359" t="s">
        <v>6</v>
      </c>
      <c r="G179" s="364" t="s">
        <v>1347</v>
      </c>
      <c r="H179" s="364" t="s">
        <v>1348</v>
      </c>
      <c r="I179" s="313"/>
      <c r="J179" s="313"/>
    </row>
    <row r="180" spans="2:10" x14ac:dyDescent="0.3">
      <c r="B180" s="366">
        <v>45863</v>
      </c>
      <c r="C180" s="408"/>
      <c r="D180" s="364" t="s">
        <v>1188</v>
      </c>
      <c r="E180" s="56" t="s">
        <v>410</v>
      </c>
      <c r="F180" s="359" t="s">
        <v>6</v>
      </c>
      <c r="G180" s="364" t="s">
        <v>1197</v>
      </c>
      <c r="H180" s="364" t="s">
        <v>1194</v>
      </c>
      <c r="I180" s="313"/>
      <c r="J180" s="313"/>
    </row>
    <row r="181" spans="2:10" x14ac:dyDescent="0.3">
      <c r="B181" s="366">
        <v>45863</v>
      </c>
      <c r="C181" s="408"/>
      <c r="D181" s="364" t="s">
        <v>1349</v>
      </c>
      <c r="E181" s="56" t="s">
        <v>410</v>
      </c>
      <c r="F181" s="359" t="s">
        <v>6</v>
      </c>
      <c r="G181" s="364" t="s">
        <v>1350</v>
      </c>
      <c r="H181" s="364" t="s">
        <v>1351</v>
      </c>
      <c r="I181" s="313"/>
      <c r="J181" s="313"/>
    </row>
    <row r="182" spans="2:10" x14ac:dyDescent="0.3">
      <c r="B182" s="366">
        <v>45863</v>
      </c>
      <c r="C182" s="408"/>
      <c r="D182" s="364" t="s">
        <v>1188</v>
      </c>
      <c r="E182" s="56" t="s">
        <v>410</v>
      </c>
      <c r="F182" s="359" t="s">
        <v>6</v>
      </c>
      <c r="G182" s="364" t="s">
        <v>1352</v>
      </c>
      <c r="H182" s="364" t="s">
        <v>1352</v>
      </c>
      <c r="I182" s="313"/>
      <c r="J182" s="313"/>
    </row>
    <row r="183" spans="2:10" x14ac:dyDescent="0.3">
      <c r="B183" s="366">
        <v>45866</v>
      </c>
      <c r="C183" s="408"/>
      <c r="D183" s="364" t="s">
        <v>1188</v>
      </c>
      <c r="E183" s="56" t="s">
        <v>410</v>
      </c>
      <c r="F183" s="359" t="s">
        <v>6</v>
      </c>
      <c r="G183" s="364" t="s">
        <v>1197</v>
      </c>
      <c r="H183" s="364" t="s">
        <v>1194</v>
      </c>
      <c r="I183" s="313"/>
      <c r="J183" s="313"/>
    </row>
    <row r="184" spans="2:10" x14ac:dyDescent="0.3">
      <c r="B184" s="366">
        <v>45866</v>
      </c>
      <c r="C184" s="408"/>
      <c r="D184" s="364" t="s">
        <v>1188</v>
      </c>
      <c r="E184" s="56" t="s">
        <v>410</v>
      </c>
      <c r="F184" s="359" t="s">
        <v>6</v>
      </c>
      <c r="G184" s="364" t="s">
        <v>1353</v>
      </c>
      <c r="H184" s="364" t="s">
        <v>1354</v>
      </c>
      <c r="I184" s="313"/>
      <c r="J184" s="313"/>
    </row>
    <row r="185" spans="2:10" x14ac:dyDescent="0.3">
      <c r="B185" s="366">
        <v>45866</v>
      </c>
      <c r="C185" s="408"/>
      <c r="D185" s="364" t="s">
        <v>1188</v>
      </c>
      <c r="E185" s="56" t="s">
        <v>410</v>
      </c>
      <c r="F185" s="359" t="s">
        <v>6</v>
      </c>
      <c r="G185" s="364" t="s">
        <v>1355</v>
      </c>
      <c r="H185" s="364" t="s">
        <v>1356</v>
      </c>
      <c r="I185" s="313"/>
      <c r="J185" s="313"/>
    </row>
    <row r="186" spans="2:10" x14ac:dyDescent="0.3">
      <c r="B186" s="366">
        <v>45866</v>
      </c>
      <c r="C186" s="408"/>
      <c r="D186" s="364" t="s">
        <v>1357</v>
      </c>
      <c r="E186" s="56" t="s">
        <v>410</v>
      </c>
      <c r="F186" s="359" t="s">
        <v>6</v>
      </c>
      <c r="G186" s="364" t="s">
        <v>1358</v>
      </c>
      <c r="H186" s="364" t="s">
        <v>1359</v>
      </c>
      <c r="I186" s="313"/>
      <c r="J186" s="313"/>
    </row>
    <row r="187" spans="2:10" x14ac:dyDescent="0.3">
      <c r="B187" s="366">
        <v>45867</v>
      </c>
      <c r="C187" s="408"/>
      <c r="D187" s="364" t="s">
        <v>1188</v>
      </c>
      <c r="E187" s="56" t="s">
        <v>410</v>
      </c>
      <c r="F187" s="359" t="s">
        <v>6</v>
      </c>
      <c r="G187" s="364" t="s">
        <v>1197</v>
      </c>
      <c r="H187" s="364" t="s">
        <v>1194</v>
      </c>
      <c r="I187" s="313"/>
      <c r="J187" s="313"/>
    </row>
    <row r="188" spans="2:10" x14ac:dyDescent="0.3">
      <c r="B188" s="366">
        <v>45867</v>
      </c>
      <c r="C188" s="408"/>
      <c r="D188" s="364" t="s">
        <v>1360</v>
      </c>
      <c r="E188" s="56" t="s">
        <v>410</v>
      </c>
      <c r="F188" s="359" t="s">
        <v>6</v>
      </c>
      <c r="G188" s="364" t="s">
        <v>1361</v>
      </c>
      <c r="H188" s="364" t="s">
        <v>1362</v>
      </c>
      <c r="I188" s="313"/>
      <c r="J188" s="313"/>
    </row>
    <row r="189" spans="2:10" x14ac:dyDescent="0.3">
      <c r="B189" s="366">
        <v>45867</v>
      </c>
      <c r="C189" s="408"/>
      <c r="D189" s="364" t="s">
        <v>1188</v>
      </c>
      <c r="E189" s="56" t="s">
        <v>410</v>
      </c>
      <c r="F189" s="359" t="s">
        <v>6</v>
      </c>
      <c r="G189" s="364" t="s">
        <v>1363</v>
      </c>
      <c r="H189" s="364" t="s">
        <v>1364</v>
      </c>
      <c r="I189" s="313"/>
      <c r="J189" s="313"/>
    </row>
    <row r="190" spans="2:10" x14ac:dyDescent="0.3">
      <c r="B190" s="366">
        <v>45868</v>
      </c>
      <c r="C190" s="408"/>
      <c r="D190" s="364" t="s">
        <v>1188</v>
      </c>
      <c r="E190" s="56" t="s">
        <v>410</v>
      </c>
      <c r="F190" s="359" t="s">
        <v>6</v>
      </c>
      <c r="G190" s="364" t="s">
        <v>1197</v>
      </c>
      <c r="H190" s="364" t="s">
        <v>1194</v>
      </c>
      <c r="I190" s="313"/>
      <c r="J190" s="313"/>
    </row>
    <row r="191" spans="2:10" ht="27.75" x14ac:dyDescent="0.3">
      <c r="B191" s="366">
        <v>45868</v>
      </c>
      <c r="C191" s="408"/>
      <c r="D191" s="364" t="s">
        <v>1043</v>
      </c>
      <c r="E191" s="56" t="s">
        <v>410</v>
      </c>
      <c r="F191" s="359" t="s">
        <v>6</v>
      </c>
      <c r="G191" s="364" t="s">
        <v>1365</v>
      </c>
      <c r="H191" s="364" t="s">
        <v>1366</v>
      </c>
      <c r="I191" s="313"/>
      <c r="J191" s="313"/>
    </row>
    <row r="192" spans="2:10" x14ac:dyDescent="0.3">
      <c r="B192" s="366">
        <v>45868</v>
      </c>
      <c r="C192" s="408"/>
      <c r="D192" s="364" t="s">
        <v>1367</v>
      </c>
      <c r="E192" s="56" t="s">
        <v>410</v>
      </c>
      <c r="F192" s="359" t="s">
        <v>6</v>
      </c>
      <c r="G192" s="364" t="s">
        <v>1368</v>
      </c>
      <c r="H192" s="364" t="s">
        <v>1369</v>
      </c>
      <c r="I192" s="313"/>
      <c r="J192" s="313"/>
    </row>
    <row r="193" spans="2:10" x14ac:dyDescent="0.3">
      <c r="B193" s="366">
        <v>45869</v>
      </c>
      <c r="C193" s="408"/>
      <c r="D193" s="364" t="s">
        <v>1188</v>
      </c>
      <c r="E193" s="56" t="s">
        <v>410</v>
      </c>
      <c r="F193" s="359" t="s">
        <v>6</v>
      </c>
      <c r="G193" s="364" t="s">
        <v>1197</v>
      </c>
      <c r="H193" s="364" t="s">
        <v>1194</v>
      </c>
      <c r="I193" s="313"/>
      <c r="J193" s="313"/>
    </row>
    <row r="194" spans="2:10" x14ac:dyDescent="0.3">
      <c r="B194" s="366">
        <v>45869</v>
      </c>
      <c r="C194" s="408"/>
      <c r="D194" s="364" t="s">
        <v>1188</v>
      </c>
      <c r="E194" s="56" t="s">
        <v>410</v>
      </c>
      <c r="F194" s="359" t="s">
        <v>6</v>
      </c>
      <c r="G194" s="364" t="s">
        <v>1370</v>
      </c>
      <c r="H194" s="364" t="s">
        <v>1371</v>
      </c>
      <c r="I194" s="313"/>
      <c r="J194" s="313"/>
    </row>
    <row r="195" spans="2:10" x14ac:dyDescent="0.3">
      <c r="B195" s="366">
        <v>45869</v>
      </c>
      <c r="C195" s="408"/>
      <c r="D195" s="364" t="s">
        <v>1188</v>
      </c>
      <c r="E195" s="56" t="s">
        <v>410</v>
      </c>
      <c r="F195" s="359" t="s">
        <v>6</v>
      </c>
      <c r="G195" s="364" t="s">
        <v>1372</v>
      </c>
      <c r="H195" s="364" t="s">
        <v>1373</v>
      </c>
      <c r="I195" s="313"/>
      <c r="J195" s="313"/>
    </row>
    <row r="196" spans="2:10" x14ac:dyDescent="0.3">
      <c r="B196" s="366">
        <v>45870</v>
      </c>
      <c r="C196" s="404" t="s">
        <v>1374</v>
      </c>
      <c r="D196" s="364" t="s">
        <v>1188</v>
      </c>
      <c r="E196" s="56" t="s">
        <v>410</v>
      </c>
      <c r="F196" s="359" t="s">
        <v>6</v>
      </c>
      <c r="G196" s="364" t="s">
        <v>1197</v>
      </c>
      <c r="H196" s="364" t="s">
        <v>1194</v>
      </c>
      <c r="I196" s="313"/>
      <c r="J196" s="313"/>
    </row>
    <row r="197" spans="2:10" x14ac:dyDescent="0.3">
      <c r="B197" s="366">
        <v>45873</v>
      </c>
      <c r="C197" s="404"/>
      <c r="D197" s="364" t="s">
        <v>1188</v>
      </c>
      <c r="E197" s="56" t="s">
        <v>410</v>
      </c>
      <c r="F197" s="359" t="s">
        <v>6</v>
      </c>
      <c r="G197" s="364" t="s">
        <v>1197</v>
      </c>
      <c r="H197" s="364" t="s">
        <v>1194</v>
      </c>
      <c r="I197" s="313"/>
      <c r="J197" s="313"/>
    </row>
    <row r="198" spans="2:10" x14ac:dyDescent="0.3">
      <c r="B198" s="366">
        <v>45873</v>
      </c>
      <c r="C198" s="404"/>
      <c r="D198" s="364" t="s">
        <v>1188</v>
      </c>
      <c r="E198" s="56" t="s">
        <v>410</v>
      </c>
      <c r="F198" s="359" t="s">
        <v>6</v>
      </c>
      <c r="G198" s="364" t="s">
        <v>1375</v>
      </c>
      <c r="H198" s="364" t="s">
        <v>1376</v>
      </c>
      <c r="I198" s="313"/>
      <c r="J198" s="313"/>
    </row>
    <row r="199" spans="2:10" x14ac:dyDescent="0.3">
      <c r="B199" s="366">
        <v>45873</v>
      </c>
      <c r="C199" s="404"/>
      <c r="D199" s="364" t="s">
        <v>1103</v>
      </c>
      <c r="E199" s="56" t="s">
        <v>410</v>
      </c>
      <c r="F199" s="359" t="s">
        <v>6</v>
      </c>
      <c r="G199" s="364" t="s">
        <v>1377</v>
      </c>
      <c r="H199" s="364" t="s">
        <v>1378</v>
      </c>
      <c r="I199" s="313"/>
      <c r="J199" s="313"/>
    </row>
    <row r="200" spans="2:10" x14ac:dyDescent="0.3">
      <c r="B200" s="366">
        <v>45873</v>
      </c>
      <c r="C200" s="404"/>
      <c r="D200" s="364" t="s">
        <v>1188</v>
      </c>
      <c r="E200" s="56" t="s">
        <v>410</v>
      </c>
      <c r="F200" s="359" t="s">
        <v>6</v>
      </c>
      <c r="G200" s="364" t="s">
        <v>1379</v>
      </c>
      <c r="H200" s="364" t="s">
        <v>1380</v>
      </c>
      <c r="I200" s="313"/>
      <c r="J200" s="313"/>
    </row>
    <row r="201" spans="2:10" ht="27.75" x14ac:dyDescent="0.3">
      <c r="B201" s="366">
        <v>45875</v>
      </c>
      <c r="C201" s="404"/>
      <c r="D201" s="364" t="s">
        <v>1381</v>
      </c>
      <c r="E201" s="56" t="s">
        <v>410</v>
      </c>
      <c r="F201" s="359" t="s">
        <v>6</v>
      </c>
      <c r="G201" s="364" t="s">
        <v>1382</v>
      </c>
      <c r="H201" s="364" t="s">
        <v>1383</v>
      </c>
      <c r="I201" s="313"/>
      <c r="J201" s="313"/>
    </row>
    <row r="202" spans="2:10" x14ac:dyDescent="0.3">
      <c r="B202" s="366">
        <v>45876</v>
      </c>
      <c r="C202" s="404"/>
      <c r="D202" s="364" t="s">
        <v>1188</v>
      </c>
      <c r="E202" s="56" t="s">
        <v>410</v>
      </c>
      <c r="F202" s="359" t="s">
        <v>6</v>
      </c>
      <c r="G202" s="364" t="s">
        <v>1197</v>
      </c>
      <c r="H202" s="364" t="s">
        <v>1194</v>
      </c>
      <c r="I202" s="313"/>
      <c r="J202" s="313"/>
    </row>
    <row r="203" spans="2:10" ht="27.75" x14ac:dyDescent="0.3">
      <c r="B203" s="366">
        <v>45876</v>
      </c>
      <c r="C203" s="404"/>
      <c r="D203" s="364" t="s">
        <v>1188</v>
      </c>
      <c r="E203" s="56" t="s">
        <v>410</v>
      </c>
      <c r="F203" s="359" t="s">
        <v>6</v>
      </c>
      <c r="G203" s="364" t="s">
        <v>1384</v>
      </c>
      <c r="H203" s="364" t="s">
        <v>1385</v>
      </c>
      <c r="I203" s="313"/>
      <c r="J203" s="313"/>
    </row>
    <row r="204" spans="2:10" ht="27.75" x14ac:dyDescent="0.3">
      <c r="B204" s="366">
        <v>45876</v>
      </c>
      <c r="C204" s="404"/>
      <c r="D204" s="364" t="s">
        <v>1188</v>
      </c>
      <c r="E204" s="56" t="s">
        <v>410</v>
      </c>
      <c r="F204" s="359" t="s">
        <v>6</v>
      </c>
      <c r="G204" s="364" t="s">
        <v>1386</v>
      </c>
      <c r="H204" s="364" t="s">
        <v>1385</v>
      </c>
      <c r="I204" s="313"/>
      <c r="J204" s="313"/>
    </row>
    <row r="205" spans="2:10" x14ac:dyDescent="0.3">
      <c r="B205" s="366">
        <v>45877</v>
      </c>
      <c r="C205" s="404"/>
      <c r="D205" s="364" t="s">
        <v>1387</v>
      </c>
      <c r="E205" s="56" t="s">
        <v>410</v>
      </c>
      <c r="F205" s="359" t="s">
        <v>6</v>
      </c>
      <c r="G205" s="364" t="s">
        <v>1388</v>
      </c>
      <c r="H205" s="364" t="s">
        <v>1389</v>
      </c>
      <c r="I205" s="313"/>
      <c r="J205" s="313"/>
    </row>
    <row r="206" spans="2:10" x14ac:dyDescent="0.3">
      <c r="B206" s="366">
        <v>45877</v>
      </c>
      <c r="C206" s="404"/>
      <c r="D206" s="364" t="s">
        <v>1188</v>
      </c>
      <c r="E206" s="56" t="s">
        <v>410</v>
      </c>
      <c r="F206" s="359" t="s">
        <v>6</v>
      </c>
      <c r="G206" s="364" t="s">
        <v>1390</v>
      </c>
      <c r="H206" s="364" t="s">
        <v>1391</v>
      </c>
      <c r="I206" s="313"/>
      <c r="J206" s="313"/>
    </row>
    <row r="207" spans="2:10" x14ac:dyDescent="0.3">
      <c r="B207" s="366">
        <v>45877</v>
      </c>
      <c r="C207" s="404"/>
      <c r="D207" s="364" t="s">
        <v>1188</v>
      </c>
      <c r="E207" s="56" t="s">
        <v>410</v>
      </c>
      <c r="F207" s="359" t="s">
        <v>6</v>
      </c>
      <c r="G207" s="364" t="s">
        <v>1392</v>
      </c>
      <c r="H207" s="364" t="s">
        <v>1393</v>
      </c>
      <c r="I207" s="313"/>
      <c r="J207" s="313"/>
    </row>
    <row r="208" spans="2:10" x14ac:dyDescent="0.3">
      <c r="B208" s="366">
        <v>45880</v>
      </c>
      <c r="C208" s="404"/>
      <c r="D208" s="364" t="s">
        <v>1188</v>
      </c>
      <c r="E208" s="56" t="s">
        <v>410</v>
      </c>
      <c r="F208" s="359" t="s">
        <v>6</v>
      </c>
      <c r="G208" s="364" t="s">
        <v>1197</v>
      </c>
      <c r="H208" s="364" t="s">
        <v>1194</v>
      </c>
      <c r="I208" s="313"/>
      <c r="J208" s="313"/>
    </row>
    <row r="209" spans="2:10" ht="27.75" x14ac:dyDescent="0.3">
      <c r="B209" s="366">
        <v>45880</v>
      </c>
      <c r="C209" s="404"/>
      <c r="D209" s="364" t="s">
        <v>1338</v>
      </c>
      <c r="E209" s="56" t="s">
        <v>410</v>
      </c>
      <c r="F209" s="359" t="s">
        <v>6</v>
      </c>
      <c r="G209" s="364" t="s">
        <v>1394</v>
      </c>
      <c r="H209" s="364" t="s">
        <v>1395</v>
      </c>
      <c r="I209" s="313"/>
      <c r="J209" s="313"/>
    </row>
    <row r="210" spans="2:10" x14ac:dyDescent="0.3">
      <c r="B210" s="366">
        <v>45880</v>
      </c>
      <c r="C210" s="404"/>
      <c r="D210" s="364" t="s">
        <v>1188</v>
      </c>
      <c r="E210" s="56" t="s">
        <v>410</v>
      </c>
      <c r="F210" s="359" t="s">
        <v>6</v>
      </c>
      <c r="G210" s="364" t="s">
        <v>1396</v>
      </c>
      <c r="H210" s="364" t="s">
        <v>1397</v>
      </c>
      <c r="I210" s="313"/>
      <c r="J210" s="313"/>
    </row>
    <row r="211" spans="2:10" x14ac:dyDescent="0.3">
      <c r="B211" s="366">
        <v>45880</v>
      </c>
      <c r="C211" s="404"/>
      <c r="D211" s="364" t="s">
        <v>1398</v>
      </c>
      <c r="E211" s="56" t="s">
        <v>410</v>
      </c>
      <c r="F211" s="359" t="s">
        <v>6</v>
      </c>
      <c r="G211" s="364" t="s">
        <v>1399</v>
      </c>
      <c r="H211" s="364" t="s">
        <v>1400</v>
      </c>
      <c r="I211" s="313"/>
      <c r="J211" s="313"/>
    </row>
    <row r="212" spans="2:10" x14ac:dyDescent="0.3">
      <c r="B212" s="366">
        <v>45881</v>
      </c>
      <c r="C212" s="404"/>
      <c r="D212" s="364" t="s">
        <v>1188</v>
      </c>
      <c r="E212" s="56" t="s">
        <v>410</v>
      </c>
      <c r="F212" s="359" t="s">
        <v>6</v>
      </c>
      <c r="G212" s="364" t="s">
        <v>1197</v>
      </c>
      <c r="H212" s="364" t="s">
        <v>1194</v>
      </c>
      <c r="I212" s="313"/>
      <c r="J212" s="313"/>
    </row>
    <row r="213" spans="2:10" x14ac:dyDescent="0.3">
      <c r="B213" s="366">
        <v>45881</v>
      </c>
      <c r="C213" s="404"/>
      <c r="D213" s="364" t="s">
        <v>1188</v>
      </c>
      <c r="E213" s="56" t="s">
        <v>410</v>
      </c>
      <c r="F213" s="359" t="s">
        <v>6</v>
      </c>
      <c r="G213" s="364" t="s">
        <v>1401</v>
      </c>
      <c r="H213" s="364" t="s">
        <v>1402</v>
      </c>
      <c r="I213" s="313"/>
      <c r="J213" s="313"/>
    </row>
    <row r="214" spans="2:10" x14ac:dyDescent="0.3">
      <c r="B214" s="366">
        <v>45881</v>
      </c>
      <c r="C214" s="404"/>
      <c r="D214" s="364" t="s">
        <v>1188</v>
      </c>
      <c r="E214" s="56" t="s">
        <v>410</v>
      </c>
      <c r="F214" s="359" t="s">
        <v>6</v>
      </c>
      <c r="G214" s="364" t="s">
        <v>1403</v>
      </c>
      <c r="H214" s="364" t="s">
        <v>1402</v>
      </c>
      <c r="I214" s="313"/>
      <c r="J214" s="313"/>
    </row>
    <row r="215" spans="2:10" x14ac:dyDescent="0.3">
      <c r="B215" s="366">
        <v>45881</v>
      </c>
      <c r="C215" s="404"/>
      <c r="D215" s="364" t="s">
        <v>1188</v>
      </c>
      <c r="E215" s="56" t="s">
        <v>410</v>
      </c>
      <c r="F215" s="359" t="s">
        <v>6</v>
      </c>
      <c r="G215" s="364" t="s">
        <v>1404</v>
      </c>
      <c r="H215" s="364" t="s">
        <v>1405</v>
      </c>
      <c r="I215" s="313"/>
      <c r="J215" s="313"/>
    </row>
    <row r="216" spans="2:10" x14ac:dyDescent="0.3">
      <c r="B216" s="366">
        <v>45882</v>
      </c>
      <c r="C216" s="404"/>
      <c r="D216" s="364" t="s">
        <v>1188</v>
      </c>
      <c r="E216" s="56" t="s">
        <v>410</v>
      </c>
      <c r="F216" s="359" t="s">
        <v>6</v>
      </c>
      <c r="G216" s="364" t="s">
        <v>1197</v>
      </c>
      <c r="H216" s="364" t="s">
        <v>1194</v>
      </c>
      <c r="I216" s="313"/>
      <c r="J216" s="313"/>
    </row>
    <row r="217" spans="2:10" x14ac:dyDescent="0.3">
      <c r="B217" s="366">
        <v>45882</v>
      </c>
      <c r="C217" s="404"/>
      <c r="D217" s="364" t="s">
        <v>1188</v>
      </c>
      <c r="E217" s="56" t="s">
        <v>410</v>
      </c>
      <c r="F217" s="359" t="s">
        <v>6</v>
      </c>
      <c r="G217" s="364" t="s">
        <v>1406</v>
      </c>
      <c r="H217" s="364" t="s">
        <v>1406</v>
      </c>
      <c r="I217" s="313"/>
      <c r="J217" s="313"/>
    </row>
    <row r="218" spans="2:10" x14ac:dyDescent="0.3">
      <c r="B218" s="366">
        <v>45883</v>
      </c>
      <c r="C218" s="404"/>
      <c r="D218" s="364" t="s">
        <v>1188</v>
      </c>
      <c r="E218" s="56" t="s">
        <v>410</v>
      </c>
      <c r="F218" s="359" t="s">
        <v>6</v>
      </c>
      <c r="G218" s="364" t="s">
        <v>1197</v>
      </c>
      <c r="H218" s="364" t="s">
        <v>1194</v>
      </c>
      <c r="I218" s="313"/>
      <c r="J218" s="313"/>
    </row>
    <row r="219" spans="2:10" x14ac:dyDescent="0.3">
      <c r="B219" s="366">
        <v>45887</v>
      </c>
      <c r="C219" s="404"/>
      <c r="D219" s="364" t="s">
        <v>1188</v>
      </c>
      <c r="E219" s="56" t="s">
        <v>410</v>
      </c>
      <c r="F219" s="359" t="s">
        <v>6</v>
      </c>
      <c r="G219" s="364" t="s">
        <v>1407</v>
      </c>
      <c r="H219" s="364" t="s">
        <v>1408</v>
      </c>
      <c r="I219" s="313"/>
      <c r="J219" s="313"/>
    </row>
    <row r="220" spans="2:10" x14ac:dyDescent="0.3">
      <c r="B220" s="366">
        <v>45887</v>
      </c>
      <c r="C220" s="404"/>
      <c r="D220" s="364" t="s">
        <v>1188</v>
      </c>
      <c r="E220" s="56" t="s">
        <v>410</v>
      </c>
      <c r="F220" s="359" t="s">
        <v>6</v>
      </c>
      <c r="G220" s="364" t="s">
        <v>1197</v>
      </c>
      <c r="H220" s="364" t="s">
        <v>1194</v>
      </c>
      <c r="I220" s="313"/>
      <c r="J220" s="313"/>
    </row>
    <row r="221" spans="2:10" x14ac:dyDescent="0.3">
      <c r="B221" s="366">
        <v>45887</v>
      </c>
      <c r="C221" s="404"/>
      <c r="D221" s="364" t="s">
        <v>1188</v>
      </c>
      <c r="E221" s="56" t="s">
        <v>410</v>
      </c>
      <c r="F221" s="359" t="s">
        <v>6</v>
      </c>
      <c r="G221" s="364" t="s">
        <v>1409</v>
      </c>
      <c r="H221" s="364" t="s">
        <v>1410</v>
      </c>
      <c r="I221" s="313"/>
      <c r="J221" s="313"/>
    </row>
    <row r="222" spans="2:10" ht="27.75" x14ac:dyDescent="0.3">
      <c r="B222" s="366">
        <v>45888</v>
      </c>
      <c r="C222" s="404"/>
      <c r="D222" s="364" t="s">
        <v>1188</v>
      </c>
      <c r="E222" s="56" t="s">
        <v>410</v>
      </c>
      <c r="F222" s="359" t="s">
        <v>6</v>
      </c>
      <c r="G222" s="364" t="s">
        <v>1411</v>
      </c>
      <c r="H222" s="364" t="s">
        <v>1412</v>
      </c>
      <c r="I222" s="313"/>
      <c r="J222" s="313"/>
    </row>
    <row r="223" spans="2:10" ht="27.75" x14ac:dyDescent="0.3">
      <c r="B223" s="366">
        <v>45888</v>
      </c>
      <c r="C223" s="404"/>
      <c r="D223" s="364" t="s">
        <v>1188</v>
      </c>
      <c r="E223" s="56" t="s">
        <v>410</v>
      </c>
      <c r="F223" s="359" t="s">
        <v>6</v>
      </c>
      <c r="G223" s="364" t="s">
        <v>1413</v>
      </c>
      <c r="H223" s="364" t="s">
        <v>1414</v>
      </c>
      <c r="I223" s="313"/>
      <c r="J223" s="313"/>
    </row>
    <row r="224" spans="2:10" x14ac:dyDescent="0.3">
      <c r="B224" s="366">
        <v>45889</v>
      </c>
      <c r="C224" s="404"/>
      <c r="D224" s="364" t="s">
        <v>1188</v>
      </c>
      <c r="E224" s="56" t="s">
        <v>410</v>
      </c>
      <c r="F224" s="359" t="s">
        <v>6</v>
      </c>
      <c r="G224" s="364" t="s">
        <v>1197</v>
      </c>
      <c r="H224" s="364" t="s">
        <v>1194</v>
      </c>
      <c r="I224" s="313"/>
      <c r="J224" s="313"/>
    </row>
    <row r="225" spans="2:10" ht="27.75" x14ac:dyDescent="0.3">
      <c r="B225" s="366">
        <v>45889</v>
      </c>
      <c r="C225" s="404"/>
      <c r="D225" s="364" t="s">
        <v>1043</v>
      </c>
      <c r="E225" s="56" t="s">
        <v>410</v>
      </c>
      <c r="F225" s="359" t="s">
        <v>6</v>
      </c>
      <c r="G225" s="364" t="s">
        <v>1415</v>
      </c>
      <c r="H225" s="364" t="s">
        <v>1416</v>
      </c>
      <c r="I225" s="313"/>
      <c r="J225" s="313"/>
    </row>
    <row r="226" spans="2:10" x14ac:dyDescent="0.3">
      <c r="B226" s="366">
        <v>45890</v>
      </c>
      <c r="C226" s="404"/>
      <c r="D226" s="364" t="s">
        <v>1188</v>
      </c>
      <c r="E226" s="56" t="s">
        <v>410</v>
      </c>
      <c r="F226" s="359" t="s">
        <v>6</v>
      </c>
      <c r="G226" s="364" t="s">
        <v>1197</v>
      </c>
      <c r="H226" s="364" t="s">
        <v>1194</v>
      </c>
      <c r="I226" s="313"/>
      <c r="J226" s="313"/>
    </row>
    <row r="227" spans="2:10" ht="27.75" x14ac:dyDescent="0.3">
      <c r="B227" s="366">
        <v>45890</v>
      </c>
      <c r="C227" s="404"/>
      <c r="D227" s="364" t="s">
        <v>1188</v>
      </c>
      <c r="E227" s="56" t="s">
        <v>410</v>
      </c>
      <c r="F227" s="359" t="s">
        <v>6</v>
      </c>
      <c r="G227" s="364" t="s">
        <v>1417</v>
      </c>
      <c r="H227" s="364" t="s">
        <v>1418</v>
      </c>
      <c r="I227" s="313"/>
      <c r="J227" s="313"/>
    </row>
    <row r="228" spans="2:10" x14ac:dyDescent="0.3">
      <c r="B228" s="366">
        <v>45890</v>
      </c>
      <c r="C228" s="404"/>
      <c r="D228" s="364" t="s">
        <v>1419</v>
      </c>
      <c r="E228" s="56" t="s">
        <v>410</v>
      </c>
      <c r="F228" s="359" t="s">
        <v>6</v>
      </c>
      <c r="G228" s="364" t="s">
        <v>1420</v>
      </c>
      <c r="H228" s="364" t="s">
        <v>1421</v>
      </c>
      <c r="I228" s="313"/>
      <c r="J228" s="313"/>
    </row>
    <row r="229" spans="2:10" ht="27.75" x14ac:dyDescent="0.3">
      <c r="B229" s="366">
        <v>45891</v>
      </c>
      <c r="C229" s="404"/>
      <c r="D229" s="364" t="s">
        <v>1043</v>
      </c>
      <c r="E229" s="56" t="s">
        <v>410</v>
      </c>
      <c r="F229" s="359" t="s">
        <v>6</v>
      </c>
      <c r="G229" s="364" t="s">
        <v>1422</v>
      </c>
      <c r="H229" s="364" t="s">
        <v>1423</v>
      </c>
      <c r="I229" s="313"/>
      <c r="J229" s="313"/>
    </row>
    <row r="230" spans="2:10" x14ac:dyDescent="0.3">
      <c r="B230" s="366">
        <v>45894</v>
      </c>
      <c r="C230" s="404"/>
      <c r="D230" s="364" t="s">
        <v>1188</v>
      </c>
      <c r="E230" s="56" t="s">
        <v>410</v>
      </c>
      <c r="F230" s="359" t="s">
        <v>6</v>
      </c>
      <c r="G230" s="364" t="s">
        <v>1197</v>
      </c>
      <c r="H230" s="364" t="s">
        <v>1194</v>
      </c>
      <c r="I230" s="313"/>
      <c r="J230" s="313"/>
    </row>
    <row r="231" spans="2:10" x14ac:dyDescent="0.3">
      <c r="B231" s="366">
        <v>45894</v>
      </c>
      <c r="C231" s="404"/>
      <c r="D231" s="364" t="s">
        <v>1188</v>
      </c>
      <c r="E231" s="56" t="s">
        <v>410</v>
      </c>
      <c r="F231" s="359" t="s">
        <v>6</v>
      </c>
      <c r="G231" s="364" t="s">
        <v>1424</v>
      </c>
      <c r="H231" s="364" t="s">
        <v>1425</v>
      </c>
      <c r="I231" s="313"/>
      <c r="J231" s="313"/>
    </row>
    <row r="232" spans="2:10" x14ac:dyDescent="0.3">
      <c r="B232" s="366">
        <v>45895</v>
      </c>
      <c r="C232" s="404"/>
      <c r="D232" s="364" t="s">
        <v>1188</v>
      </c>
      <c r="E232" s="56" t="s">
        <v>410</v>
      </c>
      <c r="F232" s="359" t="s">
        <v>6</v>
      </c>
      <c r="G232" s="364" t="s">
        <v>1392</v>
      </c>
      <c r="H232" s="364" t="s">
        <v>1393</v>
      </c>
      <c r="I232" s="313"/>
      <c r="J232" s="313"/>
    </row>
    <row r="233" spans="2:10" x14ac:dyDescent="0.3">
      <c r="B233" s="366">
        <v>45896</v>
      </c>
      <c r="C233" s="404"/>
      <c r="D233" s="364" t="s">
        <v>1188</v>
      </c>
      <c r="E233" s="56" t="s">
        <v>410</v>
      </c>
      <c r="F233" s="359" t="s">
        <v>6</v>
      </c>
      <c r="G233" s="364" t="s">
        <v>1197</v>
      </c>
      <c r="H233" s="364" t="s">
        <v>1194</v>
      </c>
      <c r="I233" s="313"/>
      <c r="J233" s="313"/>
    </row>
    <row r="234" spans="2:10" x14ac:dyDescent="0.3">
      <c r="B234" s="366">
        <v>45897</v>
      </c>
      <c r="C234" s="404"/>
      <c r="D234" s="364" t="s">
        <v>1188</v>
      </c>
      <c r="E234" s="56" t="s">
        <v>410</v>
      </c>
      <c r="F234" s="359" t="s">
        <v>6</v>
      </c>
      <c r="G234" s="364" t="s">
        <v>1197</v>
      </c>
      <c r="H234" s="364" t="s">
        <v>1194</v>
      </c>
      <c r="I234" s="313"/>
      <c r="J234" s="313"/>
    </row>
    <row r="235" spans="2:10" ht="27.75" x14ac:dyDescent="0.3">
      <c r="B235" s="366">
        <v>45897</v>
      </c>
      <c r="C235" s="404"/>
      <c r="D235" s="364" t="s">
        <v>1043</v>
      </c>
      <c r="E235" s="56" t="s">
        <v>410</v>
      </c>
      <c r="F235" s="359" t="s">
        <v>6</v>
      </c>
      <c r="G235" s="364" t="s">
        <v>1426</v>
      </c>
      <c r="H235" s="364" t="s">
        <v>1427</v>
      </c>
      <c r="I235" s="313"/>
      <c r="J235" s="313"/>
    </row>
    <row r="236" spans="2:10" x14ac:dyDescent="0.3">
      <c r="B236" s="366">
        <v>45897</v>
      </c>
      <c r="C236" s="404"/>
      <c r="D236" s="364" t="s">
        <v>1043</v>
      </c>
      <c r="E236" s="56" t="s">
        <v>410</v>
      </c>
      <c r="F236" s="359" t="s">
        <v>6</v>
      </c>
      <c r="G236" s="364" t="s">
        <v>1428</v>
      </c>
      <c r="H236" s="364" t="s">
        <v>1429</v>
      </c>
      <c r="I236" s="313"/>
      <c r="J236" s="313"/>
    </row>
    <row r="237" spans="2:10" ht="27.75" x14ac:dyDescent="0.3">
      <c r="B237" s="366">
        <v>45897</v>
      </c>
      <c r="C237" s="404"/>
      <c r="D237" s="364" t="s">
        <v>1188</v>
      </c>
      <c r="E237" s="56" t="s">
        <v>410</v>
      </c>
      <c r="F237" s="359" t="s">
        <v>6</v>
      </c>
      <c r="G237" s="364" t="s">
        <v>1430</v>
      </c>
      <c r="H237" s="364" t="s">
        <v>1431</v>
      </c>
      <c r="I237" s="313"/>
      <c r="J237" s="313"/>
    </row>
    <row r="238" spans="2:10" x14ac:dyDescent="0.3">
      <c r="B238" s="366">
        <v>45897</v>
      </c>
      <c r="C238" s="404"/>
      <c r="D238" s="364" t="s">
        <v>1338</v>
      </c>
      <c r="E238" s="56" t="s">
        <v>410</v>
      </c>
      <c r="F238" s="359" t="s">
        <v>6</v>
      </c>
      <c r="G238" s="364" t="s">
        <v>1432</v>
      </c>
      <c r="H238" s="364" t="s">
        <v>1433</v>
      </c>
      <c r="I238" s="313"/>
      <c r="J238" s="313"/>
    </row>
    <row r="239" spans="2:10" x14ac:dyDescent="0.3">
      <c r="B239" s="366">
        <v>45898</v>
      </c>
      <c r="C239" s="404"/>
      <c r="D239" s="364" t="s">
        <v>1188</v>
      </c>
      <c r="E239" s="56" t="s">
        <v>410</v>
      </c>
      <c r="F239" s="359" t="s">
        <v>6</v>
      </c>
      <c r="G239" s="364" t="s">
        <v>1197</v>
      </c>
      <c r="H239" s="364" t="s">
        <v>1194</v>
      </c>
      <c r="I239" s="313"/>
      <c r="J239" s="313"/>
    </row>
    <row r="240" spans="2:10" ht="27.75" x14ac:dyDescent="0.3">
      <c r="B240" s="366">
        <v>45898</v>
      </c>
      <c r="C240" s="404"/>
      <c r="D240" s="364" t="s">
        <v>1043</v>
      </c>
      <c r="E240" s="56" t="s">
        <v>410</v>
      </c>
      <c r="F240" s="359" t="s">
        <v>6</v>
      </c>
      <c r="G240" s="364" t="s">
        <v>1434</v>
      </c>
      <c r="H240" s="364" t="s">
        <v>1435</v>
      </c>
      <c r="I240" s="313"/>
      <c r="J240" s="313"/>
    </row>
    <row r="241" spans="2:10" x14ac:dyDescent="0.3">
      <c r="B241" s="366">
        <v>45898</v>
      </c>
      <c r="C241" s="404"/>
      <c r="D241" s="364" t="s">
        <v>1043</v>
      </c>
      <c r="E241" s="56" t="s">
        <v>410</v>
      </c>
      <c r="F241" s="359" t="s">
        <v>6</v>
      </c>
      <c r="G241" s="364" t="s">
        <v>1436</v>
      </c>
      <c r="H241" s="364" t="s">
        <v>1437</v>
      </c>
      <c r="I241" s="313"/>
      <c r="J241" s="313"/>
    </row>
    <row r="242" spans="2:10" x14ac:dyDescent="0.3">
      <c r="B242" s="366">
        <v>45901</v>
      </c>
      <c r="C242" s="367"/>
      <c r="D242" s="364" t="s">
        <v>1188</v>
      </c>
      <c r="E242" s="56" t="s">
        <v>410</v>
      </c>
      <c r="F242" s="359" t="s">
        <v>6</v>
      </c>
      <c r="G242" s="364" t="s">
        <v>1197</v>
      </c>
      <c r="H242" s="364" t="s">
        <v>1194</v>
      </c>
      <c r="I242" s="313"/>
      <c r="J242" s="313"/>
    </row>
    <row r="243" spans="2:10" x14ac:dyDescent="0.3">
      <c r="B243" s="366">
        <v>45901</v>
      </c>
      <c r="C243" s="367"/>
      <c r="D243" s="364" t="s">
        <v>1103</v>
      </c>
      <c r="E243" s="56" t="s">
        <v>410</v>
      </c>
      <c r="F243" s="359" t="s">
        <v>6</v>
      </c>
      <c r="G243" s="364" t="s">
        <v>1438</v>
      </c>
      <c r="H243" s="364" t="s">
        <v>1439</v>
      </c>
      <c r="I243" s="313"/>
      <c r="J243" s="313"/>
    </row>
    <row r="244" spans="2:10" x14ac:dyDescent="0.3">
      <c r="B244" s="366">
        <v>45901</v>
      </c>
      <c r="C244" s="367"/>
      <c r="D244" s="364" t="s">
        <v>1188</v>
      </c>
      <c r="E244" s="56" t="s">
        <v>410</v>
      </c>
      <c r="F244" s="359" t="s">
        <v>6</v>
      </c>
      <c r="G244" s="364" t="s">
        <v>1440</v>
      </c>
      <c r="H244" s="364" t="s">
        <v>1440</v>
      </c>
      <c r="I244" s="313"/>
      <c r="J244" s="313"/>
    </row>
    <row r="245" spans="2:10" x14ac:dyDescent="0.3">
      <c r="B245" s="366">
        <v>45902</v>
      </c>
      <c r="C245" s="367"/>
      <c r="D245" s="364" t="s">
        <v>1188</v>
      </c>
      <c r="E245" s="56" t="s">
        <v>410</v>
      </c>
      <c r="F245" s="359" t="s">
        <v>6</v>
      </c>
      <c r="G245" s="364" t="s">
        <v>1197</v>
      </c>
      <c r="H245" s="364" t="s">
        <v>1194</v>
      </c>
      <c r="I245" s="313"/>
      <c r="J245" s="313"/>
    </row>
    <row r="246" spans="2:10" x14ac:dyDescent="0.3">
      <c r="B246" s="366">
        <v>45902</v>
      </c>
      <c r="C246" s="367"/>
      <c r="D246" s="364" t="s">
        <v>1441</v>
      </c>
      <c r="E246" s="56" t="s">
        <v>410</v>
      </c>
      <c r="F246" s="359" t="s">
        <v>6</v>
      </c>
      <c r="G246" s="364" t="s">
        <v>1442</v>
      </c>
      <c r="H246" s="364" t="s">
        <v>1443</v>
      </c>
      <c r="I246" s="313"/>
      <c r="J246" s="313"/>
    </row>
    <row r="247" spans="2:10" ht="27.75" x14ac:dyDescent="0.3">
      <c r="B247" s="366">
        <v>45902</v>
      </c>
      <c r="C247" s="367"/>
      <c r="D247" s="364" t="s">
        <v>1444</v>
      </c>
      <c r="E247" s="56" t="s">
        <v>410</v>
      </c>
      <c r="F247" s="359" t="s">
        <v>6</v>
      </c>
      <c r="G247" s="364" t="s">
        <v>1445</v>
      </c>
      <c r="H247" s="364" t="s">
        <v>1446</v>
      </c>
      <c r="I247" s="313"/>
      <c r="J247" s="313"/>
    </row>
    <row r="248" spans="2:10" x14ac:dyDescent="0.3">
      <c r="B248" s="366">
        <v>45902</v>
      </c>
      <c r="C248" s="367"/>
      <c r="D248" s="364" t="s">
        <v>1338</v>
      </c>
      <c r="E248" s="56" t="s">
        <v>410</v>
      </c>
      <c r="F248" s="359" t="s">
        <v>6</v>
      </c>
      <c r="G248" s="364" t="s">
        <v>1447</v>
      </c>
      <c r="H248" s="364" t="s">
        <v>1433</v>
      </c>
      <c r="I248" s="313"/>
      <c r="J248" s="313"/>
    </row>
    <row r="249" spans="2:10" x14ac:dyDescent="0.3">
      <c r="B249" s="366">
        <v>45903</v>
      </c>
      <c r="C249" s="367"/>
      <c r="D249" s="364" t="s">
        <v>1188</v>
      </c>
      <c r="E249" s="56" t="s">
        <v>410</v>
      </c>
      <c r="F249" s="359" t="s">
        <v>6</v>
      </c>
      <c r="G249" s="364" t="s">
        <v>1197</v>
      </c>
      <c r="H249" s="364" t="s">
        <v>1194</v>
      </c>
      <c r="I249" s="313"/>
      <c r="J249" s="313"/>
    </row>
    <row r="250" spans="2:10" ht="27.75" x14ac:dyDescent="0.3">
      <c r="B250" s="366">
        <v>45903</v>
      </c>
      <c r="C250" s="367"/>
      <c r="D250" s="364" t="s">
        <v>1043</v>
      </c>
      <c r="E250" s="56" t="s">
        <v>410</v>
      </c>
      <c r="F250" s="359" t="s">
        <v>6</v>
      </c>
      <c r="G250" s="364" t="s">
        <v>1448</v>
      </c>
      <c r="H250" s="364" t="s">
        <v>1435</v>
      </c>
      <c r="I250" s="313"/>
      <c r="J250" s="313"/>
    </row>
    <row r="251" spans="2:10" x14ac:dyDescent="0.3">
      <c r="B251" s="366">
        <v>45903</v>
      </c>
      <c r="C251" s="367"/>
      <c r="D251" s="364" t="s">
        <v>1441</v>
      </c>
      <c r="E251" s="56" t="s">
        <v>410</v>
      </c>
      <c r="F251" s="359" t="s">
        <v>6</v>
      </c>
      <c r="G251" s="364" t="s">
        <v>1449</v>
      </c>
      <c r="H251" s="364" t="s">
        <v>1443</v>
      </c>
      <c r="I251" s="313"/>
      <c r="J251" s="313"/>
    </row>
    <row r="252" spans="2:10" x14ac:dyDescent="0.3">
      <c r="B252" s="366">
        <v>45903</v>
      </c>
      <c r="C252" s="367"/>
      <c r="D252" s="364" t="s">
        <v>1338</v>
      </c>
      <c r="E252" s="56" t="s">
        <v>410</v>
      </c>
      <c r="F252" s="359" t="s">
        <v>6</v>
      </c>
      <c r="G252" s="364" t="s">
        <v>1447</v>
      </c>
      <c r="H252" s="364" t="s">
        <v>1433</v>
      </c>
      <c r="I252" s="313"/>
      <c r="J252" s="313"/>
    </row>
    <row r="253" spans="2:10" x14ac:dyDescent="0.3">
      <c r="B253" s="366">
        <v>45904</v>
      </c>
      <c r="C253" s="367"/>
      <c r="D253" s="364" t="s">
        <v>1188</v>
      </c>
      <c r="E253" s="56" t="s">
        <v>410</v>
      </c>
      <c r="F253" s="359" t="s">
        <v>6</v>
      </c>
      <c r="G253" s="364" t="s">
        <v>1197</v>
      </c>
      <c r="H253" s="364" t="s">
        <v>1194</v>
      </c>
      <c r="I253" s="313"/>
      <c r="J253" s="313"/>
    </row>
    <row r="254" spans="2:10" ht="27.75" x14ac:dyDescent="0.3">
      <c r="B254" s="366">
        <v>45904</v>
      </c>
      <c r="C254" s="367"/>
      <c r="D254" s="364" t="s">
        <v>1306</v>
      </c>
      <c r="E254" s="56" t="s">
        <v>410</v>
      </c>
      <c r="F254" s="359" t="s">
        <v>6</v>
      </c>
      <c r="G254" s="364" t="s">
        <v>1450</v>
      </c>
      <c r="H254" s="364" t="s">
        <v>1451</v>
      </c>
      <c r="I254" s="313"/>
      <c r="J254" s="313"/>
    </row>
    <row r="255" spans="2:10" x14ac:dyDescent="0.3">
      <c r="B255" s="366">
        <v>45904</v>
      </c>
      <c r="C255" s="367"/>
      <c r="D255" s="364" t="s">
        <v>1452</v>
      </c>
      <c r="E255" s="56" t="s">
        <v>410</v>
      </c>
      <c r="F255" s="359" t="s">
        <v>6</v>
      </c>
      <c r="G255" s="364" t="s">
        <v>1453</v>
      </c>
      <c r="H255" s="364" t="s">
        <v>1454</v>
      </c>
      <c r="I255" s="313"/>
      <c r="J255" s="313"/>
    </row>
    <row r="256" spans="2:10" x14ac:dyDescent="0.3">
      <c r="B256" s="366">
        <v>45905</v>
      </c>
      <c r="C256" s="367"/>
      <c r="D256" s="364" t="s">
        <v>1188</v>
      </c>
      <c r="E256" s="56" t="s">
        <v>410</v>
      </c>
      <c r="F256" s="359" t="s">
        <v>6</v>
      </c>
      <c r="G256" s="364" t="s">
        <v>1197</v>
      </c>
      <c r="H256" s="364" t="s">
        <v>1194</v>
      </c>
      <c r="I256" s="313"/>
      <c r="J256" s="313"/>
    </row>
    <row r="257" spans="2:10" x14ac:dyDescent="0.3">
      <c r="B257" s="366">
        <v>45905</v>
      </c>
      <c r="C257" s="367"/>
      <c r="D257" s="364" t="s">
        <v>1188</v>
      </c>
      <c r="E257" s="56" t="s">
        <v>410</v>
      </c>
      <c r="F257" s="359" t="s">
        <v>6</v>
      </c>
      <c r="G257" s="364" t="s">
        <v>1455</v>
      </c>
      <c r="H257" s="364" t="s">
        <v>1456</v>
      </c>
      <c r="I257" s="313"/>
      <c r="J257" s="313"/>
    </row>
    <row r="258" spans="2:10" x14ac:dyDescent="0.3">
      <c r="B258" s="366">
        <v>45905</v>
      </c>
      <c r="C258" s="367"/>
      <c r="D258" s="364" t="s">
        <v>1188</v>
      </c>
      <c r="E258" s="56" t="s">
        <v>410</v>
      </c>
      <c r="F258" s="359" t="s">
        <v>6</v>
      </c>
      <c r="G258" s="364" t="s">
        <v>1457</v>
      </c>
      <c r="H258" s="364" t="s">
        <v>1457</v>
      </c>
      <c r="I258" s="313"/>
      <c r="J258" s="313"/>
    </row>
    <row r="259" spans="2:10" x14ac:dyDescent="0.3">
      <c r="B259" s="366">
        <v>45905</v>
      </c>
      <c r="C259" s="367"/>
      <c r="D259" s="364" t="s">
        <v>1290</v>
      </c>
      <c r="E259" s="56" t="s">
        <v>410</v>
      </c>
      <c r="F259" s="359" t="s">
        <v>6</v>
      </c>
      <c r="G259" s="364" t="s">
        <v>1455</v>
      </c>
      <c r="H259" s="364" t="s">
        <v>1458</v>
      </c>
      <c r="I259" s="313"/>
      <c r="J259" s="313"/>
    </row>
    <row r="260" spans="2:10" x14ac:dyDescent="0.3">
      <c r="B260" s="366">
        <v>45905</v>
      </c>
      <c r="C260" s="367"/>
      <c r="D260" s="364" t="s">
        <v>1459</v>
      </c>
      <c r="E260" s="56" t="s">
        <v>410</v>
      </c>
      <c r="F260" s="359" t="s">
        <v>6</v>
      </c>
      <c r="G260" s="364" t="s">
        <v>1460</v>
      </c>
      <c r="H260" s="364" t="s">
        <v>1461</v>
      </c>
      <c r="I260" s="313"/>
      <c r="J260" s="313"/>
    </row>
    <row r="261" spans="2:10" x14ac:dyDescent="0.3">
      <c r="B261" s="366">
        <v>45908</v>
      </c>
      <c r="C261" s="367"/>
      <c r="D261" s="364" t="s">
        <v>1188</v>
      </c>
      <c r="E261" s="56" t="s">
        <v>410</v>
      </c>
      <c r="F261" s="359" t="s">
        <v>6</v>
      </c>
      <c r="G261" s="364" t="s">
        <v>1197</v>
      </c>
      <c r="H261" s="364" t="s">
        <v>1194</v>
      </c>
      <c r="I261" s="313"/>
      <c r="J261" s="313"/>
    </row>
    <row r="262" spans="2:10" x14ac:dyDescent="0.3">
      <c r="B262" s="366">
        <v>45908</v>
      </c>
      <c r="C262" s="367"/>
      <c r="D262" s="364" t="s">
        <v>1188</v>
      </c>
      <c r="E262" s="56" t="s">
        <v>410</v>
      </c>
      <c r="F262" s="359" t="s">
        <v>6</v>
      </c>
      <c r="G262" s="364" t="s">
        <v>1462</v>
      </c>
      <c r="H262" s="364" t="s">
        <v>1463</v>
      </c>
      <c r="I262" s="313"/>
      <c r="J262" s="313"/>
    </row>
    <row r="263" spans="2:10" x14ac:dyDescent="0.3">
      <c r="B263" s="366">
        <v>45909</v>
      </c>
      <c r="C263" s="367"/>
      <c r="D263" s="364" t="s">
        <v>1188</v>
      </c>
      <c r="E263" s="56" t="s">
        <v>410</v>
      </c>
      <c r="F263" s="359" t="s">
        <v>6</v>
      </c>
      <c r="G263" s="364" t="s">
        <v>1464</v>
      </c>
      <c r="H263" s="364" t="s">
        <v>1464</v>
      </c>
      <c r="I263" s="313"/>
      <c r="J263" s="313"/>
    </row>
    <row r="264" spans="2:10" x14ac:dyDescent="0.3">
      <c r="B264" s="366">
        <v>45911</v>
      </c>
      <c r="C264" s="367"/>
      <c r="D264" s="364" t="s">
        <v>1188</v>
      </c>
      <c r="E264" s="56" t="s">
        <v>410</v>
      </c>
      <c r="F264" s="359" t="s">
        <v>6</v>
      </c>
      <c r="G264" s="364" t="s">
        <v>1197</v>
      </c>
      <c r="H264" s="364" t="s">
        <v>1194</v>
      </c>
      <c r="I264" s="313"/>
      <c r="J264" s="313"/>
    </row>
    <row r="265" spans="2:10" x14ac:dyDescent="0.3">
      <c r="B265" s="366">
        <v>45912</v>
      </c>
      <c r="C265" s="367"/>
      <c r="D265" s="364" t="s">
        <v>1188</v>
      </c>
      <c r="E265" s="56" t="s">
        <v>410</v>
      </c>
      <c r="F265" s="359" t="s">
        <v>6</v>
      </c>
      <c r="G265" s="364" t="s">
        <v>1197</v>
      </c>
      <c r="H265" s="364" t="s">
        <v>1194</v>
      </c>
      <c r="I265" s="313"/>
      <c r="J265" s="313"/>
    </row>
    <row r="266" spans="2:10" x14ac:dyDescent="0.3">
      <c r="B266" s="366">
        <v>45912</v>
      </c>
      <c r="C266" s="367"/>
      <c r="D266" s="364" t="s">
        <v>1188</v>
      </c>
      <c r="E266" s="56" t="s">
        <v>410</v>
      </c>
      <c r="F266" s="359" t="s">
        <v>6</v>
      </c>
      <c r="G266" s="364" t="s">
        <v>1465</v>
      </c>
      <c r="H266" s="364" t="s">
        <v>1466</v>
      </c>
      <c r="I266" s="313"/>
      <c r="J266" s="313"/>
    </row>
    <row r="267" spans="2:10" x14ac:dyDescent="0.3">
      <c r="B267" s="366">
        <v>45915</v>
      </c>
      <c r="C267" s="367"/>
      <c r="D267" s="364" t="s">
        <v>1188</v>
      </c>
      <c r="E267" s="56" t="s">
        <v>410</v>
      </c>
      <c r="F267" s="359" t="s">
        <v>6</v>
      </c>
      <c r="G267" s="364" t="s">
        <v>1197</v>
      </c>
      <c r="H267" s="364" t="s">
        <v>1194</v>
      </c>
      <c r="I267" s="313"/>
      <c r="J267" s="313"/>
    </row>
    <row r="268" spans="2:10" ht="27.75" x14ac:dyDescent="0.3">
      <c r="B268" s="366">
        <v>45915</v>
      </c>
      <c r="C268" s="367"/>
      <c r="D268" s="364" t="s">
        <v>1188</v>
      </c>
      <c r="E268" s="56" t="s">
        <v>410</v>
      </c>
      <c r="F268" s="359" t="s">
        <v>6</v>
      </c>
      <c r="G268" s="364" t="s">
        <v>1467</v>
      </c>
      <c r="H268" s="364" t="s">
        <v>1468</v>
      </c>
      <c r="I268" s="313"/>
      <c r="J268" s="313"/>
    </row>
    <row r="269" spans="2:10" x14ac:dyDescent="0.3">
      <c r="B269" s="366">
        <v>45916</v>
      </c>
      <c r="C269" s="367"/>
      <c r="D269" s="364" t="s">
        <v>1188</v>
      </c>
      <c r="E269" s="56" t="s">
        <v>410</v>
      </c>
      <c r="F269" s="359" t="s">
        <v>6</v>
      </c>
      <c r="G269" s="364" t="s">
        <v>1197</v>
      </c>
      <c r="H269" s="364" t="s">
        <v>1194</v>
      </c>
      <c r="I269" s="313"/>
      <c r="J269" s="313"/>
    </row>
    <row r="270" spans="2:10" x14ac:dyDescent="0.3">
      <c r="B270" s="366">
        <v>45922</v>
      </c>
      <c r="C270" s="367"/>
      <c r="D270" s="364" t="s">
        <v>1188</v>
      </c>
      <c r="E270" s="56" t="s">
        <v>410</v>
      </c>
      <c r="F270" s="359" t="s">
        <v>6</v>
      </c>
      <c r="G270" s="364" t="s">
        <v>1197</v>
      </c>
      <c r="H270" s="364" t="s">
        <v>1194</v>
      </c>
      <c r="I270" s="313"/>
      <c r="J270" s="313"/>
    </row>
    <row r="271" spans="2:10" x14ac:dyDescent="0.3">
      <c r="B271" s="366">
        <v>45922</v>
      </c>
      <c r="C271" s="367"/>
      <c r="D271" s="364" t="s">
        <v>1188</v>
      </c>
      <c r="E271" s="56" t="s">
        <v>410</v>
      </c>
      <c r="F271" s="359" t="s">
        <v>6</v>
      </c>
      <c r="G271" s="364" t="s">
        <v>1469</v>
      </c>
      <c r="H271" s="364" t="s">
        <v>1470</v>
      </c>
      <c r="I271" s="313"/>
      <c r="J271" s="313"/>
    </row>
    <row r="272" spans="2:10" x14ac:dyDescent="0.3">
      <c r="B272" s="366">
        <v>45923</v>
      </c>
      <c r="C272" s="367"/>
      <c r="D272" s="364" t="s">
        <v>1188</v>
      </c>
      <c r="E272" s="56" t="s">
        <v>410</v>
      </c>
      <c r="F272" s="359" t="s">
        <v>6</v>
      </c>
      <c r="G272" s="364" t="s">
        <v>1197</v>
      </c>
      <c r="H272" s="364" t="s">
        <v>1194</v>
      </c>
      <c r="I272" s="313"/>
      <c r="J272" s="313"/>
    </row>
    <row r="273" spans="2:10" x14ac:dyDescent="0.3">
      <c r="B273" s="366">
        <v>45923</v>
      </c>
      <c r="C273" s="367"/>
      <c r="D273" s="364" t="s">
        <v>1188</v>
      </c>
      <c r="E273" s="56" t="s">
        <v>410</v>
      </c>
      <c r="F273" s="359" t="s">
        <v>6</v>
      </c>
      <c r="G273" s="364" t="s">
        <v>1471</v>
      </c>
      <c r="H273" s="364" t="s">
        <v>1472</v>
      </c>
      <c r="I273" s="313"/>
      <c r="J273" s="313"/>
    </row>
    <row r="274" spans="2:10" x14ac:dyDescent="0.3">
      <c r="B274" s="366">
        <v>45923</v>
      </c>
      <c r="C274" s="367"/>
      <c r="D274" s="364" t="s">
        <v>1188</v>
      </c>
      <c r="E274" s="56" t="s">
        <v>410</v>
      </c>
      <c r="F274" s="359" t="s">
        <v>6</v>
      </c>
      <c r="G274" s="364" t="s">
        <v>1473</v>
      </c>
      <c r="H274" s="364" t="s">
        <v>1474</v>
      </c>
      <c r="I274" s="313"/>
      <c r="J274" s="313"/>
    </row>
    <row r="275" spans="2:10" x14ac:dyDescent="0.3">
      <c r="B275" s="366">
        <v>45923</v>
      </c>
      <c r="C275" s="367"/>
      <c r="D275" s="364" t="s">
        <v>1188</v>
      </c>
      <c r="E275" s="56" t="s">
        <v>410</v>
      </c>
      <c r="F275" s="359" t="s">
        <v>6</v>
      </c>
      <c r="G275" s="364" t="s">
        <v>1475</v>
      </c>
      <c r="H275" s="364" t="s">
        <v>1476</v>
      </c>
      <c r="I275" s="313"/>
      <c r="J275" s="313"/>
    </row>
    <row r="276" spans="2:10" x14ac:dyDescent="0.3">
      <c r="B276" s="366">
        <v>45924</v>
      </c>
      <c r="C276" s="367"/>
      <c r="D276" s="364" t="s">
        <v>1188</v>
      </c>
      <c r="E276" s="56" t="s">
        <v>410</v>
      </c>
      <c r="F276" s="359" t="s">
        <v>6</v>
      </c>
      <c r="G276" s="364" t="s">
        <v>1197</v>
      </c>
      <c r="H276" s="364" t="s">
        <v>1194</v>
      </c>
      <c r="I276" s="313"/>
      <c r="J276" s="313"/>
    </row>
    <row r="277" spans="2:10" x14ac:dyDescent="0.3">
      <c r="B277" s="366">
        <v>45924</v>
      </c>
      <c r="C277" s="367"/>
      <c r="D277" s="364" t="s">
        <v>1188</v>
      </c>
      <c r="E277" s="56" t="s">
        <v>410</v>
      </c>
      <c r="F277" s="359" t="s">
        <v>6</v>
      </c>
      <c r="G277" s="364" t="s">
        <v>1477</v>
      </c>
      <c r="H277" s="364" t="s">
        <v>1478</v>
      </c>
      <c r="I277" s="313"/>
      <c r="J277" s="313"/>
    </row>
    <row r="278" spans="2:10" x14ac:dyDescent="0.3">
      <c r="B278" s="366">
        <v>45925</v>
      </c>
      <c r="C278" s="367"/>
      <c r="D278" s="364" t="s">
        <v>1188</v>
      </c>
      <c r="E278" s="56" t="s">
        <v>410</v>
      </c>
      <c r="F278" s="359" t="s">
        <v>6</v>
      </c>
      <c r="G278" s="364" t="s">
        <v>1197</v>
      </c>
      <c r="H278" s="364" t="s">
        <v>1194</v>
      </c>
      <c r="I278" s="313"/>
      <c r="J278" s="313"/>
    </row>
    <row r="279" spans="2:10" x14ac:dyDescent="0.3">
      <c r="B279" s="366">
        <v>45926</v>
      </c>
      <c r="C279" s="367"/>
      <c r="D279" s="364" t="s">
        <v>1188</v>
      </c>
      <c r="E279" s="56" t="s">
        <v>410</v>
      </c>
      <c r="F279" s="359" t="s">
        <v>6</v>
      </c>
      <c r="G279" s="364" t="s">
        <v>1197</v>
      </c>
      <c r="H279" s="364" t="s">
        <v>1194</v>
      </c>
      <c r="I279" s="313"/>
      <c r="J279" s="313"/>
    </row>
    <row r="280" spans="2:10" x14ac:dyDescent="0.3">
      <c r="B280" s="366">
        <v>45929</v>
      </c>
      <c r="C280" s="367"/>
      <c r="D280" s="364" t="s">
        <v>1188</v>
      </c>
      <c r="E280" s="56" t="s">
        <v>410</v>
      </c>
      <c r="F280" s="359" t="s">
        <v>6</v>
      </c>
      <c r="G280" s="364" t="s">
        <v>1197</v>
      </c>
      <c r="H280" s="364" t="s">
        <v>1194</v>
      </c>
      <c r="I280" s="313"/>
      <c r="J280" s="313"/>
    </row>
    <row r="281" spans="2:10" x14ac:dyDescent="0.3">
      <c r="B281" s="366">
        <v>45929</v>
      </c>
      <c r="C281" s="367"/>
      <c r="D281" s="364" t="s">
        <v>1349</v>
      </c>
      <c r="E281" s="56" t="s">
        <v>410</v>
      </c>
      <c r="F281" s="359" t="s">
        <v>6</v>
      </c>
      <c r="G281" s="364" t="s">
        <v>1479</v>
      </c>
      <c r="H281" s="364" t="s">
        <v>1480</v>
      </c>
      <c r="I281" s="313"/>
      <c r="J281" s="313"/>
    </row>
    <row r="282" spans="2:10" x14ac:dyDescent="0.3">
      <c r="B282" s="366">
        <v>45929</v>
      </c>
      <c r="C282" s="367"/>
      <c r="D282" s="364" t="s">
        <v>1306</v>
      </c>
      <c r="E282" s="56" t="s">
        <v>410</v>
      </c>
      <c r="F282" s="359" t="s">
        <v>6</v>
      </c>
      <c r="G282" s="364" t="s">
        <v>1481</v>
      </c>
      <c r="H282" s="364" t="s">
        <v>1482</v>
      </c>
      <c r="I282" s="313"/>
      <c r="J282" s="313"/>
    </row>
    <row r="283" spans="2:10" x14ac:dyDescent="0.3">
      <c r="B283" s="366">
        <v>45929</v>
      </c>
      <c r="C283" s="367"/>
      <c r="D283" s="364" t="s">
        <v>1349</v>
      </c>
      <c r="E283" s="56" t="s">
        <v>410</v>
      </c>
      <c r="F283" s="359" t="s">
        <v>6</v>
      </c>
      <c r="G283" s="364" t="s">
        <v>804</v>
      </c>
      <c r="H283" s="364" t="s">
        <v>1482</v>
      </c>
      <c r="I283" s="313"/>
      <c r="J283" s="313"/>
    </row>
    <row r="284" spans="2:10" x14ac:dyDescent="0.3">
      <c r="B284" s="366">
        <v>45930</v>
      </c>
      <c r="C284" s="367"/>
      <c r="D284" s="364" t="s">
        <v>1188</v>
      </c>
      <c r="E284" s="56" t="s">
        <v>410</v>
      </c>
      <c r="F284" s="359" t="s">
        <v>6</v>
      </c>
      <c r="G284" s="364" t="s">
        <v>1197</v>
      </c>
      <c r="H284" s="364" t="s">
        <v>1194</v>
      </c>
      <c r="I284" s="313"/>
      <c r="J284" s="313"/>
    </row>
    <row r="285" spans="2:10" ht="27.75" x14ac:dyDescent="0.3">
      <c r="B285" s="366">
        <v>45930</v>
      </c>
      <c r="C285" s="367"/>
      <c r="D285" s="364" t="s">
        <v>1306</v>
      </c>
      <c r="E285" s="56" t="s">
        <v>410</v>
      </c>
      <c r="F285" s="359" t="s">
        <v>6</v>
      </c>
      <c r="G285" s="364" t="s">
        <v>1483</v>
      </c>
      <c r="H285" s="364" t="s">
        <v>1484</v>
      </c>
      <c r="I285" s="313"/>
      <c r="J285" s="313"/>
    </row>
    <row r="286" spans="2:10" x14ac:dyDescent="0.3">
      <c r="B286" s="366">
        <v>45930</v>
      </c>
      <c r="C286" s="367"/>
      <c r="D286" s="364" t="s">
        <v>1188</v>
      </c>
      <c r="E286" s="56" t="s">
        <v>410</v>
      </c>
      <c r="F286" s="359" t="s">
        <v>6</v>
      </c>
      <c r="G286" s="364" t="s">
        <v>1197</v>
      </c>
      <c r="H286" s="364" t="s">
        <v>1485</v>
      </c>
      <c r="I286" s="313"/>
      <c r="J286" s="313"/>
    </row>
    <row r="287" spans="2:10" ht="27.75" x14ac:dyDescent="0.3">
      <c r="B287" s="366">
        <v>45930</v>
      </c>
      <c r="C287" s="367"/>
      <c r="D287" s="364" t="s">
        <v>1188</v>
      </c>
      <c r="E287" s="56" t="s">
        <v>410</v>
      </c>
      <c r="F287" s="359" t="s">
        <v>6</v>
      </c>
      <c r="G287" s="364" t="s">
        <v>1486</v>
      </c>
      <c r="H287" s="364" t="s">
        <v>1487</v>
      </c>
      <c r="I287" s="313"/>
      <c r="J287" s="313"/>
    </row>
    <row r="288" spans="2:10" x14ac:dyDescent="0.3">
      <c r="B288" s="367"/>
      <c r="C288" s="367"/>
      <c r="D288" s="88"/>
      <c r="E288" s="88"/>
      <c r="F288" s="88"/>
      <c r="G288" s="88"/>
      <c r="H288" s="88"/>
      <c r="I288" s="313"/>
      <c r="J288" s="313"/>
    </row>
    <row r="289" spans="2:10" x14ac:dyDescent="0.3">
      <c r="B289" s="367"/>
      <c r="C289" s="367"/>
      <c r="D289" s="88"/>
      <c r="E289" s="88"/>
      <c r="F289" s="88"/>
      <c r="G289" s="88"/>
      <c r="H289" s="88"/>
      <c r="I289" s="313"/>
      <c r="J289" s="313"/>
    </row>
    <row r="290" spans="2:10" x14ac:dyDescent="0.3">
      <c r="B290" s="366">
        <v>45964</v>
      </c>
      <c r="C290" s="367"/>
      <c r="D290" s="364" t="s">
        <v>1188</v>
      </c>
      <c r="E290" s="56" t="s">
        <v>410</v>
      </c>
      <c r="F290" s="359" t="s">
        <v>6</v>
      </c>
      <c r="G290" s="364" t="s">
        <v>1197</v>
      </c>
      <c r="H290" s="364" t="s">
        <v>1194</v>
      </c>
      <c r="I290" s="313"/>
      <c r="J290" s="313"/>
    </row>
    <row r="291" spans="2:10" x14ac:dyDescent="0.3">
      <c r="B291" s="366">
        <v>45965</v>
      </c>
      <c r="C291" s="367"/>
      <c r="D291" s="364" t="s">
        <v>1188</v>
      </c>
      <c r="E291" s="56" t="s">
        <v>410</v>
      </c>
      <c r="F291" s="359" t="s">
        <v>6</v>
      </c>
      <c r="G291" s="364" t="s">
        <v>1197</v>
      </c>
      <c r="H291" s="364" t="s">
        <v>1194</v>
      </c>
      <c r="I291" s="313"/>
      <c r="J291" s="313"/>
    </row>
    <row r="292" spans="2:10" x14ac:dyDescent="0.3">
      <c r="B292" s="366">
        <v>45965</v>
      </c>
      <c r="C292" s="367"/>
      <c r="D292" s="364" t="s">
        <v>1043</v>
      </c>
      <c r="E292" s="56" t="s">
        <v>410</v>
      </c>
      <c r="F292" s="359" t="s">
        <v>6</v>
      </c>
      <c r="G292" s="364" t="s">
        <v>1488</v>
      </c>
      <c r="H292" s="364" t="s">
        <v>1489</v>
      </c>
      <c r="I292" s="313"/>
      <c r="J292" s="313"/>
    </row>
    <row r="293" spans="2:10" x14ac:dyDescent="0.3">
      <c r="B293" s="366">
        <v>45966</v>
      </c>
      <c r="C293" s="367"/>
      <c r="D293" s="364" t="s">
        <v>1188</v>
      </c>
      <c r="E293" s="56" t="s">
        <v>410</v>
      </c>
      <c r="F293" s="359" t="s">
        <v>6</v>
      </c>
      <c r="G293" s="364" t="s">
        <v>1197</v>
      </c>
      <c r="H293" s="364" t="s">
        <v>1194</v>
      </c>
      <c r="I293" s="313"/>
      <c r="J293" s="313"/>
    </row>
    <row r="294" spans="2:10" x14ac:dyDescent="0.3">
      <c r="B294" s="366">
        <v>45966</v>
      </c>
      <c r="C294" s="367"/>
      <c r="D294" s="364" t="s">
        <v>1419</v>
      </c>
      <c r="E294" s="56" t="s">
        <v>410</v>
      </c>
      <c r="F294" s="359" t="s">
        <v>6</v>
      </c>
      <c r="G294" s="364" t="s">
        <v>1490</v>
      </c>
      <c r="H294" s="364" t="s">
        <v>1491</v>
      </c>
      <c r="I294" s="313"/>
      <c r="J294" s="313"/>
    </row>
    <row r="295" spans="2:10" x14ac:dyDescent="0.3">
      <c r="B295" s="366">
        <v>45966</v>
      </c>
      <c r="C295" s="367"/>
      <c r="D295" s="364" t="s">
        <v>1419</v>
      </c>
      <c r="E295" s="56" t="s">
        <v>410</v>
      </c>
      <c r="F295" s="359" t="s">
        <v>6</v>
      </c>
      <c r="G295" s="364" t="s">
        <v>1492</v>
      </c>
      <c r="H295" s="364" t="s">
        <v>1491</v>
      </c>
      <c r="I295" s="313"/>
      <c r="J295" s="313"/>
    </row>
    <row r="296" spans="2:10" ht="27.75" x14ac:dyDescent="0.3">
      <c r="B296" s="366">
        <v>45966</v>
      </c>
      <c r="C296" s="367"/>
      <c r="D296" s="364" t="s">
        <v>1493</v>
      </c>
      <c r="E296" s="56" t="s">
        <v>410</v>
      </c>
      <c r="F296" s="359" t="s">
        <v>6</v>
      </c>
      <c r="G296" s="364" t="s">
        <v>1494</v>
      </c>
      <c r="H296" s="364" t="s">
        <v>1495</v>
      </c>
      <c r="I296" s="313"/>
      <c r="J296" s="313"/>
    </row>
    <row r="297" spans="2:10" x14ac:dyDescent="0.3">
      <c r="B297" s="366">
        <v>45966</v>
      </c>
      <c r="C297" s="367"/>
      <c r="D297" s="364" t="s">
        <v>1306</v>
      </c>
      <c r="E297" s="56" t="s">
        <v>410</v>
      </c>
      <c r="F297" s="359" t="s">
        <v>6</v>
      </c>
      <c r="G297" s="364" t="s">
        <v>1496</v>
      </c>
      <c r="H297" s="364" t="s">
        <v>1497</v>
      </c>
      <c r="I297" s="313"/>
      <c r="J297" s="313"/>
    </row>
    <row r="298" spans="2:10" ht="27.75" x14ac:dyDescent="0.3">
      <c r="B298" s="366">
        <v>45967</v>
      </c>
      <c r="C298" s="367"/>
      <c r="D298" s="364" t="s">
        <v>1493</v>
      </c>
      <c r="E298" s="56" t="s">
        <v>410</v>
      </c>
      <c r="F298" s="359" t="s">
        <v>6</v>
      </c>
      <c r="G298" s="364" t="s">
        <v>1494</v>
      </c>
      <c r="H298" s="364" t="s">
        <v>1495</v>
      </c>
      <c r="I298" s="313"/>
      <c r="J298" s="313"/>
    </row>
    <row r="299" spans="2:10" x14ac:dyDescent="0.3">
      <c r="B299" s="366">
        <v>45967</v>
      </c>
      <c r="C299" s="367"/>
      <c r="D299" s="364" t="s">
        <v>1188</v>
      </c>
      <c r="E299" s="56" t="s">
        <v>410</v>
      </c>
      <c r="F299" s="359" t="s">
        <v>6</v>
      </c>
      <c r="G299" s="364" t="s">
        <v>1197</v>
      </c>
      <c r="H299" s="364" t="s">
        <v>1194</v>
      </c>
      <c r="I299" s="313"/>
      <c r="J299" s="313"/>
    </row>
    <row r="300" spans="2:10" x14ac:dyDescent="0.3">
      <c r="B300" s="366">
        <v>45968</v>
      </c>
      <c r="C300" s="367"/>
      <c r="D300" s="364" t="s">
        <v>1188</v>
      </c>
      <c r="E300" s="56" t="s">
        <v>410</v>
      </c>
      <c r="F300" s="359" t="s">
        <v>6</v>
      </c>
      <c r="G300" s="364" t="s">
        <v>1197</v>
      </c>
      <c r="H300" s="364" t="s">
        <v>1194</v>
      </c>
      <c r="I300" s="313"/>
      <c r="J300" s="313"/>
    </row>
    <row r="301" spans="2:10" x14ac:dyDescent="0.3">
      <c r="B301" s="366">
        <v>45971</v>
      </c>
      <c r="C301" s="367"/>
      <c r="D301" s="364" t="s">
        <v>1188</v>
      </c>
      <c r="E301" s="56" t="s">
        <v>410</v>
      </c>
      <c r="F301" s="359" t="s">
        <v>6</v>
      </c>
      <c r="G301" s="364" t="s">
        <v>1197</v>
      </c>
      <c r="H301" s="364" t="s">
        <v>1194</v>
      </c>
      <c r="I301" s="313"/>
      <c r="J301" s="313"/>
    </row>
    <row r="302" spans="2:10" x14ac:dyDescent="0.3">
      <c r="B302" s="366">
        <v>45971</v>
      </c>
      <c r="C302" s="367"/>
      <c r="D302" s="364" t="s">
        <v>1043</v>
      </c>
      <c r="E302" s="56" t="s">
        <v>410</v>
      </c>
      <c r="F302" s="359" t="s">
        <v>6</v>
      </c>
      <c r="G302" s="364" t="s">
        <v>1498</v>
      </c>
      <c r="H302" s="364" t="s">
        <v>1499</v>
      </c>
      <c r="I302" s="313"/>
      <c r="J302" s="313"/>
    </row>
    <row r="303" spans="2:10" x14ac:dyDescent="0.3">
      <c r="B303" s="366">
        <v>45971</v>
      </c>
      <c r="C303" s="367"/>
      <c r="D303" s="364" t="s">
        <v>1043</v>
      </c>
      <c r="E303" s="56" t="s">
        <v>410</v>
      </c>
      <c r="F303" s="359" t="s">
        <v>6</v>
      </c>
      <c r="G303" s="364" t="s">
        <v>1500</v>
      </c>
      <c r="H303" s="364" t="s">
        <v>1501</v>
      </c>
      <c r="I303" s="313"/>
      <c r="J303" s="313"/>
    </row>
    <row r="304" spans="2:10" x14ac:dyDescent="0.3">
      <c r="B304" s="366">
        <v>45972</v>
      </c>
      <c r="C304" s="367"/>
      <c r="D304" s="364" t="s">
        <v>1188</v>
      </c>
      <c r="E304" s="56" t="s">
        <v>410</v>
      </c>
      <c r="F304" s="359" t="s">
        <v>6</v>
      </c>
      <c r="G304" s="364" t="s">
        <v>1197</v>
      </c>
      <c r="H304" s="364" t="s">
        <v>1194</v>
      </c>
      <c r="I304" s="313"/>
      <c r="J304" s="313"/>
    </row>
    <row r="305" spans="2:10" x14ac:dyDescent="0.3">
      <c r="B305" s="366">
        <v>45973</v>
      </c>
      <c r="C305" s="367"/>
      <c r="D305" s="364" t="s">
        <v>1188</v>
      </c>
      <c r="E305" s="56" t="s">
        <v>410</v>
      </c>
      <c r="F305" s="359" t="s">
        <v>6</v>
      </c>
      <c r="G305" s="364" t="s">
        <v>1197</v>
      </c>
      <c r="H305" s="364" t="s">
        <v>1194</v>
      </c>
      <c r="I305" s="313"/>
      <c r="J305" s="313"/>
    </row>
    <row r="306" spans="2:10" x14ac:dyDescent="0.3">
      <c r="B306" s="366">
        <v>45974</v>
      </c>
      <c r="C306" s="367"/>
      <c r="D306" s="364" t="s">
        <v>1188</v>
      </c>
      <c r="E306" s="56" t="s">
        <v>410</v>
      </c>
      <c r="F306" s="359" t="s">
        <v>6</v>
      </c>
      <c r="G306" s="364" t="s">
        <v>1197</v>
      </c>
      <c r="H306" s="364" t="s">
        <v>1194</v>
      </c>
      <c r="I306" s="313"/>
      <c r="J306" s="313"/>
    </row>
    <row r="307" spans="2:10" x14ac:dyDescent="0.3">
      <c r="B307" s="366">
        <v>45974</v>
      </c>
      <c r="C307" s="367"/>
      <c r="D307" s="364" t="s">
        <v>1043</v>
      </c>
      <c r="E307" s="56" t="s">
        <v>410</v>
      </c>
      <c r="F307" s="359" t="s">
        <v>6</v>
      </c>
      <c r="G307" s="364" t="s">
        <v>1502</v>
      </c>
      <c r="H307" s="364" t="s">
        <v>1503</v>
      </c>
      <c r="I307" s="313"/>
      <c r="J307" s="313"/>
    </row>
    <row r="308" spans="2:10" x14ac:dyDescent="0.3">
      <c r="B308" s="366">
        <v>45974</v>
      </c>
      <c r="C308" s="367"/>
      <c r="D308" s="364" t="s">
        <v>1306</v>
      </c>
      <c r="E308" s="56" t="s">
        <v>410</v>
      </c>
      <c r="F308" s="359" t="s">
        <v>6</v>
      </c>
      <c r="G308" s="364" t="s">
        <v>1504</v>
      </c>
      <c r="H308" s="364" t="s">
        <v>1505</v>
      </c>
      <c r="I308" s="313"/>
      <c r="J308" s="313"/>
    </row>
    <row r="309" spans="2:10" x14ac:dyDescent="0.3">
      <c r="B309" s="366">
        <v>45975</v>
      </c>
      <c r="C309" s="367"/>
      <c r="D309" s="364" t="s">
        <v>1188</v>
      </c>
      <c r="E309" s="56" t="s">
        <v>410</v>
      </c>
      <c r="F309" s="359" t="s">
        <v>6</v>
      </c>
      <c r="G309" s="364" t="s">
        <v>1197</v>
      </c>
      <c r="H309" s="364" t="s">
        <v>1194</v>
      </c>
      <c r="I309" s="313"/>
      <c r="J309" s="313"/>
    </row>
    <row r="310" spans="2:10" x14ac:dyDescent="0.3">
      <c r="B310" s="366">
        <v>45975</v>
      </c>
      <c r="C310" s="367"/>
      <c r="D310" s="364" t="s">
        <v>1419</v>
      </c>
      <c r="E310" s="56" t="s">
        <v>410</v>
      </c>
      <c r="F310" s="359" t="s">
        <v>6</v>
      </c>
      <c r="G310" s="364" t="s">
        <v>1506</v>
      </c>
      <c r="H310" s="364" t="s">
        <v>1491</v>
      </c>
      <c r="I310" s="313"/>
      <c r="J310" s="313"/>
    </row>
    <row r="311" spans="2:10" x14ac:dyDescent="0.3">
      <c r="B311" s="366">
        <v>45975</v>
      </c>
      <c r="C311" s="367"/>
      <c r="D311" s="364" t="s">
        <v>1306</v>
      </c>
      <c r="E311" s="56" t="s">
        <v>410</v>
      </c>
      <c r="F311" s="359" t="s">
        <v>6</v>
      </c>
      <c r="G311" s="364" t="s">
        <v>1507</v>
      </c>
      <c r="H311" s="364" t="s">
        <v>1508</v>
      </c>
      <c r="I311" s="313"/>
      <c r="J311" s="313"/>
    </row>
    <row r="312" spans="2:10" x14ac:dyDescent="0.3">
      <c r="B312" s="366">
        <v>45978</v>
      </c>
      <c r="C312" s="367"/>
      <c r="D312" s="364" t="s">
        <v>1188</v>
      </c>
      <c r="E312" s="56" t="s">
        <v>410</v>
      </c>
      <c r="F312" s="359" t="s">
        <v>6</v>
      </c>
      <c r="G312" s="364" t="s">
        <v>1197</v>
      </c>
      <c r="H312" s="364" t="s">
        <v>1194</v>
      </c>
      <c r="I312" s="313"/>
      <c r="J312" s="313"/>
    </row>
    <row r="313" spans="2:10" x14ac:dyDescent="0.3">
      <c r="B313" s="366">
        <v>45979</v>
      </c>
      <c r="C313" s="367"/>
      <c r="D313" s="364" t="s">
        <v>1188</v>
      </c>
      <c r="E313" s="56" t="s">
        <v>410</v>
      </c>
      <c r="F313" s="359" t="s">
        <v>6</v>
      </c>
      <c r="G313" s="364" t="s">
        <v>1197</v>
      </c>
      <c r="H313" s="364" t="s">
        <v>1194</v>
      </c>
      <c r="I313" s="313"/>
      <c r="J313" s="313"/>
    </row>
    <row r="314" spans="2:10" x14ac:dyDescent="0.3">
      <c r="B314" s="366">
        <v>45979</v>
      </c>
      <c r="C314" s="367"/>
      <c r="D314" s="364" t="s">
        <v>1043</v>
      </c>
      <c r="E314" s="56" t="s">
        <v>410</v>
      </c>
      <c r="F314" s="359" t="s">
        <v>6</v>
      </c>
      <c r="G314" s="364" t="s">
        <v>1509</v>
      </c>
      <c r="H314" s="364" t="s">
        <v>1510</v>
      </c>
      <c r="I314" s="313"/>
      <c r="J314" s="313"/>
    </row>
    <row r="315" spans="2:10" x14ac:dyDescent="0.3">
      <c r="B315" s="366">
        <v>45979</v>
      </c>
      <c r="C315" s="367"/>
      <c r="D315" s="364" t="s">
        <v>1306</v>
      </c>
      <c r="E315" s="56" t="s">
        <v>410</v>
      </c>
      <c r="F315" s="359" t="s">
        <v>6</v>
      </c>
      <c r="G315" s="364" t="s">
        <v>1511</v>
      </c>
      <c r="H315" s="364" t="s">
        <v>1512</v>
      </c>
      <c r="I315" s="313"/>
      <c r="J315" s="313"/>
    </row>
    <row r="316" spans="2:10" x14ac:dyDescent="0.3">
      <c r="B316" s="366">
        <v>45980</v>
      </c>
      <c r="C316" s="367"/>
      <c r="D316" s="364" t="s">
        <v>1188</v>
      </c>
      <c r="E316" s="56" t="s">
        <v>410</v>
      </c>
      <c r="F316" s="359" t="s">
        <v>6</v>
      </c>
      <c r="G316" s="364" t="s">
        <v>1197</v>
      </c>
      <c r="H316" s="364" t="s">
        <v>1194</v>
      </c>
      <c r="I316" s="313"/>
      <c r="J316" s="313"/>
    </row>
    <row r="317" spans="2:10" x14ac:dyDescent="0.3">
      <c r="B317" s="366">
        <v>45980</v>
      </c>
      <c r="C317" s="367"/>
      <c r="D317" s="364" t="s">
        <v>1513</v>
      </c>
      <c r="E317" s="56" t="s">
        <v>410</v>
      </c>
      <c r="F317" s="359" t="s">
        <v>6</v>
      </c>
      <c r="G317" s="364" t="s">
        <v>1514</v>
      </c>
      <c r="H317" s="364" t="s">
        <v>1515</v>
      </c>
      <c r="I317" s="313"/>
      <c r="J317" s="313"/>
    </row>
    <row r="318" spans="2:10" x14ac:dyDescent="0.3">
      <c r="B318" s="366">
        <v>45980</v>
      </c>
      <c r="C318" s="367"/>
      <c r="D318" s="364" t="s">
        <v>1516</v>
      </c>
      <c r="E318" s="56" t="s">
        <v>410</v>
      </c>
      <c r="F318" s="359" t="s">
        <v>6</v>
      </c>
      <c r="G318" s="364" t="s">
        <v>1517</v>
      </c>
      <c r="H318" s="364" t="s">
        <v>1518</v>
      </c>
      <c r="I318" s="313"/>
      <c r="J318" s="313"/>
    </row>
    <row r="319" spans="2:10" x14ac:dyDescent="0.3">
      <c r="B319" s="366">
        <v>45981</v>
      </c>
      <c r="C319" s="367"/>
      <c r="D319" s="364" t="s">
        <v>1188</v>
      </c>
      <c r="E319" s="56" t="s">
        <v>410</v>
      </c>
      <c r="F319" s="359" t="s">
        <v>6</v>
      </c>
      <c r="G319" s="364" t="s">
        <v>1197</v>
      </c>
      <c r="H319" s="364" t="s">
        <v>1194</v>
      </c>
      <c r="I319" s="313"/>
      <c r="J319" s="313"/>
    </row>
    <row r="320" spans="2:10" x14ac:dyDescent="0.3">
      <c r="B320" s="366">
        <v>45981</v>
      </c>
      <c r="C320" s="367"/>
      <c r="D320" s="364" t="s">
        <v>1519</v>
      </c>
      <c r="E320" s="56" t="s">
        <v>410</v>
      </c>
      <c r="F320" s="359" t="s">
        <v>6</v>
      </c>
      <c r="G320" s="364" t="s">
        <v>1520</v>
      </c>
      <c r="H320" s="364" t="s">
        <v>1521</v>
      </c>
      <c r="I320" s="313"/>
      <c r="J320" s="313"/>
    </row>
    <row r="321" spans="2:10" x14ac:dyDescent="0.3">
      <c r="B321" s="366">
        <v>45981</v>
      </c>
      <c r="C321" s="367"/>
      <c r="D321" s="364" t="s">
        <v>1043</v>
      </c>
      <c r="E321" s="56" t="s">
        <v>410</v>
      </c>
      <c r="F321" s="359" t="s">
        <v>6</v>
      </c>
      <c r="G321" s="364" t="s">
        <v>1522</v>
      </c>
      <c r="H321" s="364" t="s">
        <v>1523</v>
      </c>
      <c r="I321" s="313"/>
      <c r="J321" s="313"/>
    </row>
    <row r="322" spans="2:10" x14ac:dyDescent="0.3">
      <c r="B322" s="366">
        <v>45981</v>
      </c>
      <c r="C322" s="367"/>
      <c r="D322" s="364" t="s">
        <v>1452</v>
      </c>
      <c r="E322" s="56" t="s">
        <v>410</v>
      </c>
      <c r="F322" s="359" t="s">
        <v>6</v>
      </c>
      <c r="G322" s="364" t="s">
        <v>1524</v>
      </c>
      <c r="H322" s="364" t="s">
        <v>1525</v>
      </c>
      <c r="I322" s="313"/>
      <c r="J322" s="313"/>
    </row>
    <row r="323" spans="2:10" x14ac:dyDescent="0.3">
      <c r="B323" s="366">
        <v>45982</v>
      </c>
      <c r="C323" s="367"/>
      <c r="D323" s="364" t="s">
        <v>1188</v>
      </c>
      <c r="E323" s="56" t="s">
        <v>410</v>
      </c>
      <c r="F323" s="359" t="s">
        <v>6</v>
      </c>
      <c r="G323" s="364" t="s">
        <v>1197</v>
      </c>
      <c r="H323" s="364" t="s">
        <v>1194</v>
      </c>
      <c r="I323" s="313"/>
      <c r="J323" s="313"/>
    </row>
    <row r="324" spans="2:10" x14ac:dyDescent="0.3">
      <c r="B324" s="366">
        <v>45982</v>
      </c>
      <c r="C324" s="367"/>
      <c r="D324" s="364" t="s">
        <v>1306</v>
      </c>
      <c r="E324" s="56" t="s">
        <v>410</v>
      </c>
      <c r="F324" s="359" t="s">
        <v>6</v>
      </c>
      <c r="G324" s="364" t="s">
        <v>1526</v>
      </c>
      <c r="H324" s="364" t="s">
        <v>1527</v>
      </c>
      <c r="I324" s="313"/>
      <c r="J324" s="313"/>
    </row>
    <row r="325" spans="2:10" x14ac:dyDescent="0.3">
      <c r="B325" s="366">
        <v>45982</v>
      </c>
      <c r="C325" s="367"/>
      <c r="D325" s="364" t="s">
        <v>1528</v>
      </c>
      <c r="E325" s="56" t="s">
        <v>410</v>
      </c>
      <c r="F325" s="359" t="s">
        <v>6</v>
      </c>
      <c r="G325" s="364" t="s">
        <v>1529</v>
      </c>
      <c r="H325" s="364" t="s">
        <v>1530</v>
      </c>
      <c r="I325" s="313"/>
      <c r="J325" s="313"/>
    </row>
    <row r="326" spans="2:10" x14ac:dyDescent="0.3">
      <c r="B326" s="366">
        <v>45985</v>
      </c>
      <c r="C326" s="367"/>
      <c r="D326" s="364" t="s">
        <v>1188</v>
      </c>
      <c r="E326" s="56" t="s">
        <v>410</v>
      </c>
      <c r="F326" s="359" t="s">
        <v>6</v>
      </c>
      <c r="G326" s="364" t="s">
        <v>1197</v>
      </c>
      <c r="H326" s="364" t="s">
        <v>1194</v>
      </c>
      <c r="I326" s="313"/>
      <c r="J326" s="313"/>
    </row>
    <row r="327" spans="2:10" x14ac:dyDescent="0.3">
      <c r="B327" s="366">
        <v>45986</v>
      </c>
      <c r="C327" s="367"/>
      <c r="D327" s="364" t="s">
        <v>1188</v>
      </c>
      <c r="E327" s="56" t="s">
        <v>410</v>
      </c>
      <c r="F327" s="359" t="s">
        <v>6</v>
      </c>
      <c r="G327" s="364" t="s">
        <v>1197</v>
      </c>
      <c r="H327" s="364" t="s">
        <v>1194</v>
      </c>
      <c r="I327" s="313"/>
      <c r="J327" s="313"/>
    </row>
    <row r="328" spans="2:10" x14ac:dyDescent="0.3">
      <c r="B328" s="366">
        <v>45986</v>
      </c>
      <c r="C328" s="367"/>
      <c r="D328" s="364" t="s">
        <v>1349</v>
      </c>
      <c r="E328" s="56" t="s">
        <v>410</v>
      </c>
      <c r="F328" s="359" t="s">
        <v>6</v>
      </c>
      <c r="G328" s="364" t="s">
        <v>1531</v>
      </c>
      <c r="H328" s="364" t="s">
        <v>1532</v>
      </c>
      <c r="I328" s="313"/>
      <c r="J328" s="313"/>
    </row>
    <row r="329" spans="2:10" x14ac:dyDescent="0.3">
      <c r="B329" s="366">
        <v>45987</v>
      </c>
      <c r="C329" s="367"/>
      <c r="D329" s="364" t="s">
        <v>1188</v>
      </c>
      <c r="E329" s="56" t="s">
        <v>410</v>
      </c>
      <c r="F329" s="359" t="s">
        <v>6</v>
      </c>
      <c r="G329" s="364" t="s">
        <v>1197</v>
      </c>
      <c r="H329" s="364" t="s">
        <v>1194</v>
      </c>
      <c r="I329" s="313"/>
      <c r="J329" s="313"/>
    </row>
    <row r="330" spans="2:10" x14ac:dyDescent="0.3">
      <c r="B330" s="366">
        <v>45987</v>
      </c>
      <c r="C330" s="367"/>
      <c r="D330" s="364" t="s">
        <v>1349</v>
      </c>
      <c r="E330" s="56" t="s">
        <v>410</v>
      </c>
      <c r="F330" s="359" t="s">
        <v>6</v>
      </c>
      <c r="G330" s="364" t="s">
        <v>1533</v>
      </c>
      <c r="H330" s="364" t="s">
        <v>1534</v>
      </c>
      <c r="I330" s="313"/>
      <c r="J330" s="313"/>
    </row>
    <row r="331" spans="2:10" ht="27.75" x14ac:dyDescent="0.3">
      <c r="B331" s="366">
        <v>45987</v>
      </c>
      <c r="C331" s="367"/>
      <c r="D331" s="364" t="s">
        <v>1349</v>
      </c>
      <c r="E331" s="56" t="s">
        <v>410</v>
      </c>
      <c r="F331" s="359" t="s">
        <v>6</v>
      </c>
      <c r="G331" s="364" t="s">
        <v>1535</v>
      </c>
      <c r="H331" s="364" t="s">
        <v>1536</v>
      </c>
      <c r="I331" s="313"/>
      <c r="J331" s="313"/>
    </row>
    <row r="332" spans="2:10" x14ac:dyDescent="0.3">
      <c r="B332" s="366">
        <v>45987</v>
      </c>
      <c r="C332" s="367"/>
      <c r="D332" s="364" t="s">
        <v>1513</v>
      </c>
      <c r="E332" s="56" t="s">
        <v>410</v>
      </c>
      <c r="F332" s="359" t="s">
        <v>6</v>
      </c>
      <c r="G332" s="364" t="s">
        <v>1537</v>
      </c>
      <c r="H332" s="364" t="s">
        <v>1538</v>
      </c>
      <c r="I332" s="313"/>
      <c r="J332" s="313"/>
    </row>
    <row r="333" spans="2:10" x14ac:dyDescent="0.3">
      <c r="B333" s="366">
        <v>45987</v>
      </c>
      <c r="C333" s="367"/>
      <c r="D333" s="364" t="s">
        <v>1539</v>
      </c>
      <c r="E333" s="56" t="s">
        <v>410</v>
      </c>
      <c r="F333" s="359" t="s">
        <v>6</v>
      </c>
      <c r="G333" s="364" t="s">
        <v>1540</v>
      </c>
      <c r="H333" s="364" t="s">
        <v>1541</v>
      </c>
      <c r="I333" s="313"/>
      <c r="J333" s="313"/>
    </row>
    <row r="334" spans="2:10" x14ac:dyDescent="0.3">
      <c r="B334" s="366">
        <v>45988</v>
      </c>
      <c r="C334" s="367"/>
      <c r="D334" s="364" t="s">
        <v>1188</v>
      </c>
      <c r="E334" s="56" t="s">
        <v>410</v>
      </c>
      <c r="F334" s="359" t="s">
        <v>6</v>
      </c>
      <c r="G334" s="364" t="s">
        <v>1197</v>
      </c>
      <c r="H334" s="364" t="s">
        <v>1194</v>
      </c>
      <c r="I334" s="313"/>
      <c r="J334" s="313"/>
    </row>
    <row r="335" spans="2:10" x14ac:dyDescent="0.3">
      <c r="B335" s="366">
        <v>45988</v>
      </c>
      <c r="C335" s="367"/>
      <c r="D335" s="364" t="s">
        <v>1542</v>
      </c>
      <c r="E335" s="56" t="s">
        <v>410</v>
      </c>
      <c r="F335" s="359" t="s">
        <v>6</v>
      </c>
      <c r="G335" s="364" t="s">
        <v>1543</v>
      </c>
      <c r="H335" s="364" t="s">
        <v>1544</v>
      </c>
      <c r="I335" s="313"/>
      <c r="J335" s="313"/>
    </row>
    <row r="336" spans="2:10" x14ac:dyDescent="0.3">
      <c r="B336" s="366">
        <v>45989</v>
      </c>
      <c r="C336" s="367"/>
      <c r="D336" s="364" t="s">
        <v>1188</v>
      </c>
      <c r="E336" s="56" t="s">
        <v>410</v>
      </c>
      <c r="F336" s="359" t="s">
        <v>6</v>
      </c>
      <c r="G336" s="364" t="s">
        <v>1197</v>
      </c>
      <c r="H336" s="364" t="s">
        <v>1194</v>
      </c>
      <c r="I336" s="313"/>
      <c r="J336" s="313"/>
    </row>
    <row r="337" spans="2:10" x14ac:dyDescent="0.3">
      <c r="B337" s="366">
        <v>45989</v>
      </c>
      <c r="C337" s="367"/>
      <c r="D337" s="364" t="s">
        <v>1043</v>
      </c>
      <c r="E337" s="56" t="s">
        <v>410</v>
      </c>
      <c r="F337" s="359" t="s">
        <v>6</v>
      </c>
      <c r="G337" s="364" t="s">
        <v>1545</v>
      </c>
      <c r="H337" s="364" t="s">
        <v>1546</v>
      </c>
      <c r="I337" s="313"/>
      <c r="J337" s="313"/>
    </row>
    <row r="338" spans="2:10" x14ac:dyDescent="0.3">
      <c r="B338" s="366">
        <v>45989</v>
      </c>
      <c r="C338" s="367"/>
      <c r="D338" s="364" t="s">
        <v>1306</v>
      </c>
      <c r="E338" s="56" t="s">
        <v>410</v>
      </c>
      <c r="F338" s="359" t="s">
        <v>6</v>
      </c>
      <c r="G338" s="364" t="s">
        <v>1547</v>
      </c>
      <c r="H338" s="364" t="s">
        <v>1547</v>
      </c>
      <c r="I338" s="313"/>
      <c r="J338" s="313"/>
    </row>
    <row r="339" spans="2:10" x14ac:dyDescent="0.3">
      <c r="B339" s="367"/>
      <c r="C339" s="367"/>
      <c r="D339" s="88"/>
      <c r="E339" s="88"/>
      <c r="F339" s="88"/>
      <c r="G339" s="88"/>
      <c r="H339" s="88"/>
      <c r="I339" s="313"/>
      <c r="J339" s="313"/>
    </row>
    <row r="340" spans="2:10" x14ac:dyDescent="0.3">
      <c r="B340" s="367"/>
      <c r="C340" s="367"/>
      <c r="D340" s="88"/>
      <c r="E340" s="88"/>
      <c r="F340" s="88"/>
      <c r="G340" s="88"/>
      <c r="H340" s="88"/>
      <c r="I340" s="313"/>
      <c r="J340" s="313"/>
    </row>
    <row r="341" spans="2:10" x14ac:dyDescent="0.3">
      <c r="B341" s="366">
        <v>45992</v>
      </c>
      <c r="C341" s="367"/>
      <c r="D341" s="364" t="s">
        <v>1188</v>
      </c>
      <c r="E341" s="56" t="s">
        <v>410</v>
      </c>
      <c r="F341" s="359" t="s">
        <v>6</v>
      </c>
      <c r="G341" s="364" t="s">
        <v>1197</v>
      </c>
      <c r="H341" s="364" t="s">
        <v>1194</v>
      </c>
      <c r="I341" s="313"/>
      <c r="J341" s="313"/>
    </row>
    <row r="342" spans="2:10" x14ac:dyDescent="0.3">
      <c r="B342" s="366">
        <v>45992</v>
      </c>
      <c r="C342" s="367"/>
      <c r="D342" s="364" t="s">
        <v>1542</v>
      </c>
      <c r="E342" s="56" t="s">
        <v>410</v>
      </c>
      <c r="F342" s="359" t="s">
        <v>6</v>
      </c>
      <c r="G342" s="364" t="s">
        <v>1548</v>
      </c>
      <c r="H342" s="364" t="s">
        <v>1549</v>
      </c>
      <c r="I342" s="313"/>
      <c r="J342" s="313"/>
    </row>
    <row r="343" spans="2:10" ht="27.75" x14ac:dyDescent="0.3">
      <c r="B343" s="366">
        <v>45992</v>
      </c>
      <c r="C343" s="367"/>
      <c r="D343" s="364" t="s">
        <v>1542</v>
      </c>
      <c r="E343" s="56" t="s">
        <v>410</v>
      </c>
      <c r="F343" s="359" t="s">
        <v>6</v>
      </c>
      <c r="G343" s="364" t="s">
        <v>1550</v>
      </c>
      <c r="H343" s="364" t="s">
        <v>1551</v>
      </c>
      <c r="I343" s="313"/>
      <c r="J343" s="313"/>
    </row>
    <row r="344" spans="2:10" x14ac:dyDescent="0.3">
      <c r="B344" s="366">
        <v>45992</v>
      </c>
      <c r="C344" s="367"/>
      <c r="D344" s="364" t="s">
        <v>1043</v>
      </c>
      <c r="E344" s="56" t="s">
        <v>410</v>
      </c>
      <c r="F344" s="359" t="s">
        <v>6</v>
      </c>
      <c r="G344" s="364" t="s">
        <v>1552</v>
      </c>
      <c r="H344" s="364" t="s">
        <v>1553</v>
      </c>
      <c r="I344" s="313"/>
      <c r="J344" s="313"/>
    </row>
    <row r="345" spans="2:10" x14ac:dyDescent="0.3">
      <c r="B345" s="366">
        <v>45992</v>
      </c>
      <c r="C345" s="367"/>
      <c r="D345" s="364" t="s">
        <v>1043</v>
      </c>
      <c r="E345" s="56" t="s">
        <v>410</v>
      </c>
      <c r="F345" s="359" t="s">
        <v>6</v>
      </c>
      <c r="G345" s="364" t="s">
        <v>1554</v>
      </c>
      <c r="H345" s="364" t="s">
        <v>1555</v>
      </c>
      <c r="I345" s="313"/>
      <c r="J345" s="313"/>
    </row>
    <row r="346" spans="2:10" x14ac:dyDescent="0.3">
      <c r="B346" s="366">
        <v>45993</v>
      </c>
      <c r="C346" s="367"/>
      <c r="D346" s="364" t="s">
        <v>1306</v>
      </c>
      <c r="E346" s="56" t="s">
        <v>410</v>
      </c>
      <c r="F346" s="359" t="s">
        <v>6</v>
      </c>
      <c r="G346" s="364" t="s">
        <v>1556</v>
      </c>
      <c r="H346" s="364" t="s">
        <v>1557</v>
      </c>
      <c r="I346" s="313"/>
      <c r="J346" s="313"/>
    </row>
    <row r="347" spans="2:10" x14ac:dyDescent="0.3">
      <c r="B347" s="366">
        <v>45994</v>
      </c>
      <c r="C347" s="367"/>
      <c r="D347" s="364" t="s">
        <v>1188</v>
      </c>
      <c r="E347" s="56" t="s">
        <v>410</v>
      </c>
      <c r="F347" s="359" t="s">
        <v>6</v>
      </c>
      <c r="G347" s="364" t="s">
        <v>1197</v>
      </c>
      <c r="H347" s="364" t="s">
        <v>1194</v>
      </c>
      <c r="I347" s="313"/>
      <c r="J347" s="313"/>
    </row>
    <row r="348" spans="2:10" x14ac:dyDescent="0.3">
      <c r="B348" s="366">
        <v>45994</v>
      </c>
      <c r="C348" s="367"/>
      <c r="D348" s="364" t="s">
        <v>1306</v>
      </c>
      <c r="E348" s="56" t="s">
        <v>410</v>
      </c>
      <c r="F348" s="359" t="s">
        <v>6</v>
      </c>
      <c r="G348" s="364" t="s">
        <v>1558</v>
      </c>
      <c r="H348" s="364" t="s">
        <v>1559</v>
      </c>
      <c r="I348" s="313"/>
      <c r="J348" s="313"/>
    </row>
    <row r="349" spans="2:10" x14ac:dyDescent="0.3">
      <c r="B349" s="366">
        <v>45995</v>
      </c>
      <c r="C349" s="367"/>
      <c r="D349" s="364" t="s">
        <v>1188</v>
      </c>
      <c r="E349" s="56" t="s">
        <v>410</v>
      </c>
      <c r="F349" s="359" t="s">
        <v>6</v>
      </c>
      <c r="G349" s="364" t="s">
        <v>1197</v>
      </c>
      <c r="H349" s="364" t="s">
        <v>1194</v>
      </c>
      <c r="I349" s="313"/>
      <c r="J349" s="313"/>
    </row>
    <row r="350" spans="2:10" x14ac:dyDescent="0.3">
      <c r="B350" s="366">
        <v>45996</v>
      </c>
      <c r="C350" s="367"/>
      <c r="D350" s="364" t="s">
        <v>1188</v>
      </c>
      <c r="E350" s="56" t="s">
        <v>410</v>
      </c>
      <c r="F350" s="359" t="s">
        <v>6</v>
      </c>
      <c r="G350" s="364" t="s">
        <v>1197</v>
      </c>
      <c r="H350" s="364" t="s">
        <v>1194</v>
      </c>
      <c r="I350" s="313"/>
      <c r="J350" s="313"/>
    </row>
    <row r="351" spans="2:10" ht="27.75" x14ac:dyDescent="0.3">
      <c r="B351" s="366">
        <v>45996</v>
      </c>
      <c r="C351" s="367"/>
      <c r="D351" s="364" t="s">
        <v>1560</v>
      </c>
      <c r="E351" s="56" t="s">
        <v>410</v>
      </c>
      <c r="F351" s="359" t="s">
        <v>6</v>
      </c>
      <c r="G351" s="364" t="s">
        <v>1561</v>
      </c>
      <c r="H351" s="364" t="s">
        <v>1562</v>
      </c>
      <c r="I351" s="313"/>
      <c r="J351" s="313"/>
    </row>
    <row r="352" spans="2:10" x14ac:dyDescent="0.3">
      <c r="B352" s="366">
        <v>45996</v>
      </c>
      <c r="C352" s="367"/>
      <c r="D352" s="364" t="s">
        <v>1306</v>
      </c>
      <c r="E352" s="56" t="s">
        <v>410</v>
      </c>
      <c r="F352" s="359" t="s">
        <v>6</v>
      </c>
      <c r="G352" s="364" t="s">
        <v>1547</v>
      </c>
      <c r="H352" s="364" t="s">
        <v>1563</v>
      </c>
      <c r="I352" s="313"/>
      <c r="J352" s="313"/>
    </row>
    <row r="353" spans="2:10" x14ac:dyDescent="0.3">
      <c r="B353" s="366">
        <v>45999</v>
      </c>
      <c r="C353" s="367"/>
      <c r="D353" s="364" t="s">
        <v>1188</v>
      </c>
      <c r="E353" s="56" t="s">
        <v>410</v>
      </c>
      <c r="F353" s="359" t="s">
        <v>6</v>
      </c>
      <c r="G353" s="364" t="s">
        <v>1197</v>
      </c>
      <c r="H353" s="364" t="s">
        <v>1194</v>
      </c>
      <c r="I353" s="313"/>
      <c r="J353" s="313"/>
    </row>
    <row r="354" spans="2:10" ht="27.75" x14ac:dyDescent="0.3">
      <c r="B354" s="366">
        <v>46000</v>
      </c>
      <c r="C354" s="367"/>
      <c r="D354" s="364" t="s">
        <v>1564</v>
      </c>
      <c r="E354" s="56" t="s">
        <v>410</v>
      </c>
      <c r="F354" s="359" t="s">
        <v>6</v>
      </c>
      <c r="G354" s="364" t="s">
        <v>1565</v>
      </c>
      <c r="H354" s="364" t="s">
        <v>1566</v>
      </c>
      <c r="I354" s="313"/>
      <c r="J354" s="313"/>
    </row>
    <row r="355" spans="2:10" x14ac:dyDescent="0.3">
      <c r="B355" s="366">
        <v>46000</v>
      </c>
      <c r="C355" s="367"/>
      <c r="D355" s="364" t="s">
        <v>1188</v>
      </c>
      <c r="E355" s="56" t="s">
        <v>410</v>
      </c>
      <c r="F355" s="359" t="s">
        <v>6</v>
      </c>
      <c r="G355" s="364" t="s">
        <v>1197</v>
      </c>
      <c r="H355" s="364" t="s">
        <v>1194</v>
      </c>
      <c r="I355" s="313"/>
      <c r="J355" s="313"/>
    </row>
    <row r="356" spans="2:10" x14ac:dyDescent="0.3">
      <c r="B356" s="366">
        <v>46001</v>
      </c>
      <c r="C356" s="367"/>
      <c r="D356" s="364" t="s">
        <v>1043</v>
      </c>
      <c r="E356" s="56" t="s">
        <v>410</v>
      </c>
      <c r="F356" s="359" t="s">
        <v>6</v>
      </c>
      <c r="G356" s="364" t="s">
        <v>1554</v>
      </c>
      <c r="H356" s="364" t="s">
        <v>1567</v>
      </c>
      <c r="I356" s="313"/>
      <c r="J356" s="313"/>
    </row>
    <row r="357" spans="2:10" x14ac:dyDescent="0.3">
      <c r="B357" s="366">
        <v>46001</v>
      </c>
      <c r="C357" s="367"/>
      <c r="D357" s="364" t="s">
        <v>1306</v>
      </c>
      <c r="E357" s="56" t="s">
        <v>410</v>
      </c>
      <c r="F357" s="359" t="s">
        <v>6</v>
      </c>
      <c r="G357" s="364" t="s">
        <v>1547</v>
      </c>
      <c r="H357" s="364" t="s">
        <v>1563</v>
      </c>
      <c r="I357" s="313"/>
      <c r="J357" s="313"/>
    </row>
    <row r="358" spans="2:10" x14ac:dyDescent="0.3">
      <c r="B358" s="367"/>
      <c r="C358" s="367"/>
      <c r="D358" s="88"/>
      <c r="E358" s="88"/>
      <c r="F358" s="88"/>
      <c r="G358" s="88"/>
      <c r="H358" s="88"/>
      <c r="I358" s="313"/>
      <c r="J358" s="313"/>
    </row>
    <row r="359" spans="2:10" x14ac:dyDescent="0.3">
      <c r="B359" s="367"/>
      <c r="C359" s="367"/>
      <c r="D359" s="88"/>
      <c r="E359" s="88"/>
      <c r="F359" s="88"/>
      <c r="G359" s="88"/>
      <c r="H359" s="88"/>
      <c r="I359" s="313"/>
      <c r="J359" s="313"/>
    </row>
    <row r="360" spans="2:10" x14ac:dyDescent="0.3">
      <c r="B360" s="366">
        <v>46024</v>
      </c>
      <c r="C360" s="367"/>
      <c r="D360" s="364" t="s">
        <v>1188</v>
      </c>
      <c r="E360" s="56" t="s">
        <v>410</v>
      </c>
      <c r="F360" s="359" t="s">
        <v>6</v>
      </c>
      <c r="G360" s="364" t="s">
        <v>1197</v>
      </c>
      <c r="H360" s="364" t="s">
        <v>1194</v>
      </c>
      <c r="I360" s="313"/>
      <c r="J360" s="313"/>
    </row>
    <row r="361" spans="2:10" x14ac:dyDescent="0.3">
      <c r="B361" s="366">
        <v>46027</v>
      </c>
      <c r="C361" s="367"/>
      <c r="D361" s="364" t="s">
        <v>1188</v>
      </c>
      <c r="E361" s="56" t="s">
        <v>410</v>
      </c>
      <c r="F361" s="359" t="s">
        <v>6</v>
      </c>
      <c r="G361" s="364" t="s">
        <v>1197</v>
      </c>
      <c r="H361" s="364" t="s">
        <v>1194</v>
      </c>
      <c r="I361" s="313"/>
      <c r="J361" s="313"/>
    </row>
    <row r="362" spans="2:10" x14ac:dyDescent="0.3">
      <c r="B362" s="366">
        <v>46027</v>
      </c>
      <c r="C362" s="367"/>
      <c r="D362" s="364" t="s">
        <v>1306</v>
      </c>
      <c r="E362" s="56" t="s">
        <v>410</v>
      </c>
      <c r="F362" s="359" t="s">
        <v>6</v>
      </c>
      <c r="G362" s="364" t="s">
        <v>1568</v>
      </c>
      <c r="H362" s="364" t="s">
        <v>1569</v>
      </c>
      <c r="I362" s="313"/>
      <c r="J362" s="313"/>
    </row>
    <row r="363" spans="2:10" x14ac:dyDescent="0.3">
      <c r="B363" s="366">
        <v>46027</v>
      </c>
      <c r="C363" s="367"/>
      <c r="D363" s="364" t="s">
        <v>1043</v>
      </c>
      <c r="E363" s="56" t="s">
        <v>410</v>
      </c>
      <c r="F363" s="359" t="s">
        <v>6</v>
      </c>
      <c r="G363" s="364" t="s">
        <v>1570</v>
      </c>
      <c r="H363" s="364" t="s">
        <v>1571</v>
      </c>
      <c r="I363" s="313"/>
      <c r="J363" s="313"/>
    </row>
    <row r="364" spans="2:10" x14ac:dyDescent="0.3">
      <c r="B364" s="366">
        <v>46028</v>
      </c>
      <c r="C364" s="367"/>
      <c r="D364" s="364" t="s">
        <v>1043</v>
      </c>
      <c r="E364" s="56" t="s">
        <v>410</v>
      </c>
      <c r="F364" s="359" t="s">
        <v>6</v>
      </c>
      <c r="G364" s="364" t="s">
        <v>1570</v>
      </c>
      <c r="H364" s="364" t="s">
        <v>1571</v>
      </c>
      <c r="I364" s="313"/>
      <c r="J364" s="313"/>
    </row>
    <row r="365" spans="2:10" x14ac:dyDescent="0.3">
      <c r="B365" s="366">
        <v>46028</v>
      </c>
      <c r="C365" s="367"/>
      <c r="D365" s="364" t="s">
        <v>1043</v>
      </c>
      <c r="E365" s="56" t="s">
        <v>410</v>
      </c>
      <c r="F365" s="359" t="s">
        <v>6</v>
      </c>
      <c r="G365" s="364" t="s">
        <v>1572</v>
      </c>
      <c r="H365" s="364" t="s">
        <v>1573</v>
      </c>
      <c r="I365" s="313"/>
      <c r="J365" s="313"/>
    </row>
    <row r="366" spans="2:10" x14ac:dyDescent="0.3">
      <c r="B366" s="366">
        <v>46029</v>
      </c>
      <c r="C366" s="367"/>
      <c r="D366" s="364" t="s">
        <v>1188</v>
      </c>
      <c r="E366" s="56" t="s">
        <v>410</v>
      </c>
      <c r="F366" s="359" t="s">
        <v>6</v>
      </c>
      <c r="G366" s="364" t="s">
        <v>1197</v>
      </c>
      <c r="H366" s="364" t="s">
        <v>1194</v>
      </c>
      <c r="I366" s="313"/>
      <c r="J366" s="313"/>
    </row>
    <row r="367" spans="2:10" x14ac:dyDescent="0.3">
      <c r="B367" s="366">
        <v>46029</v>
      </c>
      <c r="C367" s="367"/>
      <c r="D367" s="364" t="s">
        <v>1306</v>
      </c>
      <c r="E367" s="56" t="s">
        <v>410</v>
      </c>
      <c r="F367" s="359" t="s">
        <v>6</v>
      </c>
      <c r="G367" s="364" t="s">
        <v>1574</v>
      </c>
      <c r="H367" s="364" t="s">
        <v>1575</v>
      </c>
      <c r="I367" s="313"/>
      <c r="J367" s="313"/>
    </row>
    <row r="368" spans="2:10" x14ac:dyDescent="0.3">
      <c r="B368" s="366">
        <v>46029</v>
      </c>
      <c r="C368" s="367"/>
      <c r="D368" s="364" t="s">
        <v>1306</v>
      </c>
      <c r="E368" s="56" t="s">
        <v>410</v>
      </c>
      <c r="F368" s="359" t="s">
        <v>6</v>
      </c>
      <c r="G368" s="364" t="s">
        <v>1547</v>
      </c>
      <c r="H368" s="364" t="s">
        <v>1563</v>
      </c>
      <c r="I368" s="313"/>
      <c r="J368" s="313"/>
    </row>
    <row r="369" spans="2:10" x14ac:dyDescent="0.3">
      <c r="B369" s="366">
        <v>46030</v>
      </c>
      <c r="C369" s="367"/>
      <c r="D369" s="364" t="s">
        <v>1188</v>
      </c>
      <c r="E369" s="56" t="s">
        <v>410</v>
      </c>
      <c r="F369" s="359" t="s">
        <v>6</v>
      </c>
      <c r="G369" s="364" t="s">
        <v>1197</v>
      </c>
      <c r="H369" s="364" t="s">
        <v>1194</v>
      </c>
      <c r="I369" s="313"/>
      <c r="J369" s="313"/>
    </row>
    <row r="370" spans="2:10" x14ac:dyDescent="0.3">
      <c r="B370" s="366">
        <v>46030</v>
      </c>
      <c r="C370" s="367"/>
      <c r="D370" s="364" t="s">
        <v>1419</v>
      </c>
      <c r="E370" s="56" t="s">
        <v>410</v>
      </c>
      <c r="F370" s="359" t="s">
        <v>6</v>
      </c>
      <c r="G370" s="364" t="s">
        <v>1576</v>
      </c>
      <c r="H370" s="364" t="s">
        <v>1576</v>
      </c>
      <c r="I370" s="313"/>
      <c r="J370" s="313"/>
    </row>
    <row r="371" spans="2:10" x14ac:dyDescent="0.3">
      <c r="B371" s="366">
        <v>46030</v>
      </c>
      <c r="C371" s="367"/>
      <c r="D371" s="364" t="s">
        <v>1419</v>
      </c>
      <c r="E371" s="56" t="s">
        <v>410</v>
      </c>
      <c r="F371" s="359" t="s">
        <v>6</v>
      </c>
      <c r="G371" s="364" t="s">
        <v>1577</v>
      </c>
      <c r="H371" s="364" t="s">
        <v>1577</v>
      </c>
      <c r="I371" s="313"/>
      <c r="J371" s="313"/>
    </row>
    <row r="372" spans="2:10" x14ac:dyDescent="0.3">
      <c r="B372" s="366">
        <v>46034</v>
      </c>
      <c r="C372" s="367"/>
      <c r="D372" s="364" t="s">
        <v>1188</v>
      </c>
      <c r="E372" s="56" t="s">
        <v>410</v>
      </c>
      <c r="F372" s="359" t="s">
        <v>6</v>
      </c>
      <c r="G372" s="364" t="s">
        <v>1197</v>
      </c>
      <c r="H372" s="364" t="s">
        <v>1194</v>
      </c>
      <c r="I372" s="313"/>
      <c r="J372" s="313"/>
    </row>
    <row r="373" spans="2:10" x14ac:dyDescent="0.3">
      <c r="B373" s="366">
        <v>46035</v>
      </c>
      <c r="C373" s="367"/>
      <c r="D373" s="364" t="s">
        <v>1188</v>
      </c>
      <c r="E373" s="56" t="s">
        <v>410</v>
      </c>
      <c r="F373" s="359" t="s">
        <v>6</v>
      </c>
      <c r="G373" s="364" t="s">
        <v>1197</v>
      </c>
      <c r="H373" s="364" t="s">
        <v>1194</v>
      </c>
      <c r="I373" s="313"/>
      <c r="J373" s="313"/>
    </row>
    <row r="374" spans="2:10" x14ac:dyDescent="0.3">
      <c r="B374" s="366">
        <v>46035</v>
      </c>
      <c r="C374" s="367"/>
      <c r="D374" s="364" t="s">
        <v>1578</v>
      </c>
      <c r="E374" s="56" t="s">
        <v>410</v>
      </c>
      <c r="F374" s="359" t="s">
        <v>6</v>
      </c>
      <c r="G374" s="364" t="s">
        <v>1579</v>
      </c>
      <c r="H374" s="364" t="s">
        <v>1580</v>
      </c>
      <c r="I374" s="313"/>
      <c r="J374" s="313"/>
    </row>
    <row r="375" spans="2:10" x14ac:dyDescent="0.3">
      <c r="B375" s="366">
        <v>46035</v>
      </c>
      <c r="C375" s="367"/>
      <c r="D375" s="364" t="s">
        <v>1419</v>
      </c>
      <c r="E375" s="56" t="s">
        <v>410</v>
      </c>
      <c r="F375" s="359" t="s">
        <v>6</v>
      </c>
      <c r="G375" s="364" t="s">
        <v>1577</v>
      </c>
      <c r="H375" s="364" t="s">
        <v>1577</v>
      </c>
      <c r="I375" s="313"/>
      <c r="J375" s="313"/>
    </row>
    <row r="376" spans="2:10" x14ac:dyDescent="0.3">
      <c r="B376" s="366">
        <v>46036</v>
      </c>
      <c r="C376" s="367"/>
      <c r="D376" s="364" t="s">
        <v>1188</v>
      </c>
      <c r="E376" s="56" t="s">
        <v>410</v>
      </c>
      <c r="F376" s="359" t="s">
        <v>6</v>
      </c>
      <c r="G376" s="364" t="s">
        <v>1197</v>
      </c>
      <c r="H376" s="364" t="s">
        <v>1194</v>
      </c>
      <c r="I376" s="313"/>
      <c r="J376" s="313"/>
    </row>
    <row r="377" spans="2:10" x14ac:dyDescent="0.3">
      <c r="B377" s="366">
        <v>46036</v>
      </c>
      <c r="C377" s="367"/>
      <c r="D377" s="364" t="s">
        <v>1306</v>
      </c>
      <c r="E377" s="56" t="s">
        <v>410</v>
      </c>
      <c r="F377" s="359" t="s">
        <v>6</v>
      </c>
      <c r="G377" s="364" t="s">
        <v>1581</v>
      </c>
      <c r="H377" s="364" t="s">
        <v>1582</v>
      </c>
      <c r="I377" s="313"/>
      <c r="J377" s="313"/>
    </row>
    <row r="378" spans="2:10" x14ac:dyDescent="0.3">
      <c r="B378" s="366">
        <v>46036</v>
      </c>
      <c r="C378" s="367"/>
      <c r="D378" s="364" t="s">
        <v>1306</v>
      </c>
      <c r="E378" s="56" t="s">
        <v>410</v>
      </c>
      <c r="F378" s="359" t="s">
        <v>6</v>
      </c>
      <c r="G378" s="364" t="s">
        <v>1547</v>
      </c>
      <c r="H378" s="364" t="s">
        <v>1563</v>
      </c>
      <c r="I378" s="313"/>
      <c r="J378" s="313"/>
    </row>
    <row r="379" spans="2:10" x14ac:dyDescent="0.3">
      <c r="B379" s="366">
        <v>46037</v>
      </c>
      <c r="C379" s="367"/>
      <c r="D379" s="364" t="s">
        <v>1188</v>
      </c>
      <c r="E379" s="56" t="s">
        <v>410</v>
      </c>
      <c r="F379" s="359" t="s">
        <v>6</v>
      </c>
      <c r="G379" s="364" t="s">
        <v>1197</v>
      </c>
      <c r="H379" s="364" t="s">
        <v>1194</v>
      </c>
      <c r="I379" s="313"/>
      <c r="J379" s="313"/>
    </row>
    <row r="380" spans="2:10" x14ac:dyDescent="0.3">
      <c r="B380" s="366">
        <v>46037</v>
      </c>
      <c r="C380" s="367"/>
      <c r="D380" s="364" t="s">
        <v>1188</v>
      </c>
      <c r="E380" s="56" t="s">
        <v>410</v>
      </c>
      <c r="F380" s="359" t="s">
        <v>6</v>
      </c>
      <c r="G380" s="364" t="s">
        <v>1583</v>
      </c>
      <c r="H380" s="364" t="s">
        <v>1584</v>
      </c>
      <c r="I380" s="313"/>
      <c r="J380" s="313"/>
    </row>
    <row r="381" spans="2:10" x14ac:dyDescent="0.3">
      <c r="B381" s="366">
        <v>46037</v>
      </c>
      <c r="C381" s="367"/>
      <c r="D381" s="364" t="s">
        <v>1419</v>
      </c>
      <c r="E381" s="56" t="s">
        <v>410</v>
      </c>
      <c r="F381" s="359" t="s">
        <v>6</v>
      </c>
      <c r="G381" s="364" t="s">
        <v>1585</v>
      </c>
      <c r="H381" s="364" t="s">
        <v>1576</v>
      </c>
      <c r="I381" s="313"/>
      <c r="J381" s="313"/>
    </row>
    <row r="382" spans="2:10" x14ac:dyDescent="0.3">
      <c r="B382" s="366">
        <v>46038</v>
      </c>
      <c r="C382" s="367"/>
      <c r="D382" s="364" t="s">
        <v>1188</v>
      </c>
      <c r="E382" s="56" t="s">
        <v>410</v>
      </c>
      <c r="F382" s="359" t="s">
        <v>6</v>
      </c>
      <c r="G382" s="364" t="s">
        <v>1197</v>
      </c>
      <c r="H382" s="364" t="s">
        <v>1194</v>
      </c>
      <c r="I382" s="313"/>
      <c r="J382" s="313"/>
    </row>
    <row r="383" spans="2:10" x14ac:dyDescent="0.3">
      <c r="B383" s="366">
        <v>46041</v>
      </c>
      <c r="C383" s="367"/>
      <c r="D383" s="364" t="s">
        <v>1188</v>
      </c>
      <c r="E383" s="56" t="s">
        <v>410</v>
      </c>
      <c r="F383" s="359" t="s">
        <v>6</v>
      </c>
      <c r="G383" s="364" t="s">
        <v>1197</v>
      </c>
      <c r="H383" s="364" t="s">
        <v>1194</v>
      </c>
      <c r="I383" s="313"/>
      <c r="J383" s="313"/>
    </row>
    <row r="384" spans="2:10" x14ac:dyDescent="0.3">
      <c r="B384" s="366">
        <v>46042</v>
      </c>
      <c r="C384" s="367"/>
      <c r="D384" s="364" t="s">
        <v>1306</v>
      </c>
      <c r="E384" s="56" t="s">
        <v>410</v>
      </c>
      <c r="F384" s="359" t="s">
        <v>6</v>
      </c>
      <c r="G384" s="364" t="s">
        <v>1581</v>
      </c>
      <c r="H384" s="364" t="s">
        <v>1586</v>
      </c>
      <c r="I384" s="313"/>
      <c r="J384" s="313"/>
    </row>
    <row r="385" spans="2:10" x14ac:dyDescent="0.3">
      <c r="B385" s="366">
        <v>46042</v>
      </c>
      <c r="C385" s="367"/>
      <c r="D385" s="364" t="s">
        <v>1043</v>
      </c>
      <c r="E385" s="56" t="s">
        <v>410</v>
      </c>
      <c r="F385" s="359" t="s">
        <v>6</v>
      </c>
      <c r="G385" s="364" t="s">
        <v>1587</v>
      </c>
      <c r="H385" s="364" t="s">
        <v>1588</v>
      </c>
      <c r="I385" s="313"/>
      <c r="J385" s="313"/>
    </row>
    <row r="386" spans="2:10" x14ac:dyDescent="0.3">
      <c r="B386" s="366">
        <v>46043</v>
      </c>
      <c r="C386" s="367"/>
      <c r="D386" s="364" t="s">
        <v>1188</v>
      </c>
      <c r="E386" s="56" t="s">
        <v>410</v>
      </c>
      <c r="F386" s="359" t="s">
        <v>6</v>
      </c>
      <c r="G386" s="364" t="s">
        <v>1197</v>
      </c>
      <c r="H386" s="364" t="s">
        <v>1194</v>
      </c>
      <c r="I386" s="313"/>
      <c r="J386" s="313"/>
    </row>
    <row r="387" spans="2:10" ht="27.75" x14ac:dyDescent="0.3">
      <c r="B387" s="366">
        <v>46043</v>
      </c>
      <c r="C387" s="367"/>
      <c r="D387" s="364" t="s">
        <v>1349</v>
      </c>
      <c r="E387" s="56" t="s">
        <v>410</v>
      </c>
      <c r="F387" s="359" t="s">
        <v>6</v>
      </c>
      <c r="G387" s="364" t="s">
        <v>1589</v>
      </c>
      <c r="H387" s="364" t="s">
        <v>1590</v>
      </c>
      <c r="I387" s="313"/>
      <c r="J387" s="313"/>
    </row>
    <row r="388" spans="2:10" x14ac:dyDescent="0.3">
      <c r="B388" s="366">
        <v>46043</v>
      </c>
      <c r="C388" s="367"/>
      <c r="D388" s="364" t="s">
        <v>1306</v>
      </c>
      <c r="E388" s="56" t="s">
        <v>410</v>
      </c>
      <c r="F388" s="359" t="s">
        <v>6</v>
      </c>
      <c r="G388" s="364" t="s">
        <v>1547</v>
      </c>
      <c r="H388" s="364" t="s">
        <v>1563</v>
      </c>
      <c r="I388" s="313"/>
      <c r="J388" s="313"/>
    </row>
    <row r="389" spans="2:10" x14ac:dyDescent="0.3">
      <c r="B389" s="366">
        <v>46044</v>
      </c>
      <c r="C389" s="367"/>
      <c r="D389" s="364" t="s">
        <v>1188</v>
      </c>
      <c r="E389" s="56" t="s">
        <v>410</v>
      </c>
      <c r="F389" s="359" t="s">
        <v>6</v>
      </c>
      <c r="G389" s="364" t="s">
        <v>1197</v>
      </c>
      <c r="H389" s="364" t="s">
        <v>1194</v>
      </c>
      <c r="I389" s="313"/>
      <c r="J389" s="313"/>
    </row>
    <row r="390" spans="2:10" x14ac:dyDescent="0.3">
      <c r="B390" s="366">
        <v>46045</v>
      </c>
      <c r="C390" s="367"/>
      <c r="D390" s="364" t="s">
        <v>1306</v>
      </c>
      <c r="E390" s="56" t="s">
        <v>410</v>
      </c>
      <c r="F390" s="359" t="s">
        <v>6</v>
      </c>
      <c r="G390" s="364" t="s">
        <v>1591</v>
      </c>
      <c r="H390" s="364" t="s">
        <v>1592</v>
      </c>
      <c r="I390" s="313"/>
      <c r="J390" s="313"/>
    </row>
    <row r="391" spans="2:10" x14ac:dyDescent="0.3">
      <c r="B391" s="366">
        <v>46048</v>
      </c>
      <c r="C391" s="367"/>
      <c r="D391" s="364" t="s">
        <v>1578</v>
      </c>
      <c r="E391" s="56" t="s">
        <v>410</v>
      </c>
      <c r="F391" s="359" t="s">
        <v>6</v>
      </c>
      <c r="G391" s="364" t="s">
        <v>1593</v>
      </c>
      <c r="H391" s="364" t="s">
        <v>1594</v>
      </c>
      <c r="I391" s="313"/>
      <c r="J391" s="313"/>
    </row>
    <row r="392" spans="2:10" x14ac:dyDescent="0.3">
      <c r="B392" s="366">
        <v>46048</v>
      </c>
      <c r="C392" s="367"/>
      <c r="D392" s="364" t="s">
        <v>1306</v>
      </c>
      <c r="E392" s="56" t="s">
        <v>410</v>
      </c>
      <c r="F392" s="359" t="s">
        <v>6</v>
      </c>
      <c r="G392" s="364" t="s">
        <v>1595</v>
      </c>
      <c r="H392" s="364" t="s">
        <v>1596</v>
      </c>
      <c r="I392" s="313"/>
      <c r="J392" s="313"/>
    </row>
    <row r="393" spans="2:10" x14ac:dyDescent="0.3">
      <c r="B393" s="366">
        <v>46049</v>
      </c>
      <c r="C393" s="367"/>
      <c r="D393" s="364" t="s">
        <v>1188</v>
      </c>
      <c r="E393" s="56" t="s">
        <v>410</v>
      </c>
      <c r="F393" s="359" t="s">
        <v>6</v>
      </c>
      <c r="G393" s="364" t="s">
        <v>1197</v>
      </c>
      <c r="H393" s="364" t="s">
        <v>1194</v>
      </c>
      <c r="I393" s="313"/>
      <c r="J393" s="313"/>
    </row>
    <row r="394" spans="2:10" x14ac:dyDescent="0.3">
      <c r="B394" s="366">
        <v>46049</v>
      </c>
      <c r="C394" s="367"/>
      <c r="D394" s="364" t="s">
        <v>1419</v>
      </c>
      <c r="E394" s="56" t="s">
        <v>410</v>
      </c>
      <c r="F394" s="359" t="s">
        <v>6</v>
      </c>
      <c r="G394" s="364" t="s">
        <v>1597</v>
      </c>
      <c r="H394" s="364" t="s">
        <v>1598</v>
      </c>
      <c r="I394" s="313"/>
      <c r="J394" s="313"/>
    </row>
    <row r="395" spans="2:10" x14ac:dyDescent="0.3">
      <c r="B395" s="366">
        <v>46050</v>
      </c>
      <c r="C395" s="367"/>
      <c r="D395" s="364" t="s">
        <v>1306</v>
      </c>
      <c r="E395" s="56" t="s">
        <v>410</v>
      </c>
      <c r="F395" s="359" t="s">
        <v>6</v>
      </c>
      <c r="G395" s="364" t="s">
        <v>1599</v>
      </c>
      <c r="H395" s="364" t="s">
        <v>1600</v>
      </c>
      <c r="I395" s="313"/>
      <c r="J395" s="313"/>
    </row>
    <row r="396" spans="2:10" x14ac:dyDescent="0.3">
      <c r="B396" s="366">
        <v>46050</v>
      </c>
      <c r="C396" s="367"/>
      <c r="D396" s="364" t="s">
        <v>1306</v>
      </c>
      <c r="E396" s="56" t="s">
        <v>410</v>
      </c>
      <c r="F396" s="359" t="s">
        <v>6</v>
      </c>
      <c r="G396" s="364" t="s">
        <v>1547</v>
      </c>
      <c r="H396" s="364" t="s">
        <v>1563</v>
      </c>
      <c r="I396" s="313"/>
      <c r="J396" s="313"/>
    </row>
    <row r="397" spans="2:10" x14ac:dyDescent="0.3">
      <c r="B397" s="366">
        <v>46051</v>
      </c>
      <c r="C397" s="367"/>
      <c r="D397" s="364" t="s">
        <v>1188</v>
      </c>
      <c r="E397" s="56" t="s">
        <v>410</v>
      </c>
      <c r="F397" s="359" t="s">
        <v>6</v>
      </c>
      <c r="G397" s="364" t="s">
        <v>1197</v>
      </c>
      <c r="H397" s="364" t="s">
        <v>1194</v>
      </c>
      <c r="I397" s="313"/>
      <c r="J397" s="313"/>
    </row>
    <row r="398" spans="2:10" x14ac:dyDescent="0.3">
      <c r="B398" s="366">
        <v>46051</v>
      </c>
      <c r="C398" s="367"/>
      <c r="D398" s="364" t="s">
        <v>1306</v>
      </c>
      <c r="E398" s="56" t="s">
        <v>410</v>
      </c>
      <c r="F398" s="359" t="s">
        <v>6</v>
      </c>
      <c r="G398" s="364" t="s">
        <v>1601</v>
      </c>
      <c r="H398" s="364" t="s">
        <v>1602</v>
      </c>
      <c r="I398" s="313"/>
      <c r="J398" s="313"/>
    </row>
    <row r="399" spans="2:10" x14ac:dyDescent="0.3">
      <c r="B399" s="366">
        <v>46051</v>
      </c>
      <c r="C399" s="367"/>
      <c r="D399" s="364" t="s">
        <v>1603</v>
      </c>
      <c r="E399" s="56" t="s">
        <v>410</v>
      </c>
      <c r="F399" s="359" t="s">
        <v>6</v>
      </c>
      <c r="G399" s="364" t="s">
        <v>1604</v>
      </c>
      <c r="H399" s="364" t="s">
        <v>1605</v>
      </c>
      <c r="I399" s="313"/>
      <c r="J399" s="313"/>
    </row>
    <row r="400" spans="2:10" x14ac:dyDescent="0.3">
      <c r="B400" s="366">
        <v>46052</v>
      </c>
      <c r="C400" s="367"/>
      <c r="D400" s="364" t="s">
        <v>1290</v>
      </c>
      <c r="E400" s="56" t="s">
        <v>410</v>
      </c>
      <c r="F400" s="359" t="s">
        <v>6</v>
      </c>
      <c r="G400" s="364" t="s">
        <v>1606</v>
      </c>
      <c r="H400" s="364" t="s">
        <v>1607</v>
      </c>
      <c r="I400" s="313"/>
      <c r="J400" s="313"/>
    </row>
    <row r="401" spans="2:10" x14ac:dyDescent="0.3">
      <c r="B401" s="366">
        <v>46052</v>
      </c>
      <c r="C401" s="367"/>
      <c r="D401" s="364" t="s">
        <v>1306</v>
      </c>
      <c r="E401" s="56" t="s">
        <v>410</v>
      </c>
      <c r="F401" s="359" t="s">
        <v>6</v>
      </c>
      <c r="G401" s="364" t="s">
        <v>1547</v>
      </c>
      <c r="H401" s="364" t="s">
        <v>1563</v>
      </c>
      <c r="I401" s="313"/>
      <c r="J401" s="313"/>
    </row>
    <row r="402" spans="2:10" x14ac:dyDescent="0.3">
      <c r="B402" s="367"/>
      <c r="C402" s="367"/>
      <c r="D402" s="88"/>
      <c r="E402" s="88"/>
      <c r="F402" s="88"/>
      <c r="G402" s="88"/>
      <c r="H402" s="88"/>
      <c r="I402" s="313"/>
      <c r="J402" s="313"/>
    </row>
    <row r="403" spans="2:10" x14ac:dyDescent="0.3">
      <c r="B403" s="366">
        <v>46055</v>
      </c>
      <c r="C403" s="367"/>
      <c r="D403" s="364" t="s">
        <v>1043</v>
      </c>
      <c r="E403" s="56" t="s">
        <v>410</v>
      </c>
      <c r="F403" s="359" t="s">
        <v>6</v>
      </c>
      <c r="G403" s="364" t="s">
        <v>1608</v>
      </c>
      <c r="H403" s="364" t="s">
        <v>1609</v>
      </c>
      <c r="I403" s="313"/>
      <c r="J403" s="313"/>
    </row>
    <row r="404" spans="2:10" x14ac:dyDescent="0.3">
      <c r="B404" s="366">
        <v>46056</v>
      </c>
      <c r="C404" s="367"/>
      <c r="D404" s="364" t="s">
        <v>1188</v>
      </c>
      <c r="E404" s="56" t="s">
        <v>410</v>
      </c>
      <c r="F404" s="359" t="s">
        <v>6</v>
      </c>
      <c r="G404" s="364" t="s">
        <v>1197</v>
      </c>
      <c r="H404" s="364" t="s">
        <v>1194</v>
      </c>
      <c r="I404" s="313"/>
      <c r="J404" s="313"/>
    </row>
    <row r="405" spans="2:10" x14ac:dyDescent="0.3">
      <c r="B405" s="366">
        <v>46056</v>
      </c>
      <c r="C405" s="367"/>
      <c r="D405" s="364" t="s">
        <v>1188</v>
      </c>
      <c r="E405" s="56" t="s">
        <v>410</v>
      </c>
      <c r="F405" s="359" t="s">
        <v>6</v>
      </c>
      <c r="G405" s="364" t="s">
        <v>1610</v>
      </c>
      <c r="H405" s="364" t="s">
        <v>1610</v>
      </c>
      <c r="I405" s="313"/>
      <c r="J405" s="313"/>
    </row>
    <row r="406" spans="2:10" x14ac:dyDescent="0.3">
      <c r="B406" s="366">
        <v>46056</v>
      </c>
      <c r="C406" s="367"/>
      <c r="D406" s="364" t="s">
        <v>1611</v>
      </c>
      <c r="E406" s="56" t="s">
        <v>410</v>
      </c>
      <c r="F406" s="359" t="s">
        <v>6</v>
      </c>
      <c r="G406" s="364" t="s">
        <v>1612</v>
      </c>
      <c r="H406" s="364" t="s">
        <v>1613</v>
      </c>
      <c r="I406" s="313"/>
      <c r="J406" s="313"/>
    </row>
    <row r="407" spans="2:10" x14ac:dyDescent="0.3">
      <c r="B407" s="366">
        <v>46057</v>
      </c>
      <c r="C407" s="367"/>
      <c r="D407" s="364" t="s">
        <v>1614</v>
      </c>
      <c r="E407" s="56" t="s">
        <v>410</v>
      </c>
      <c r="F407" s="359" t="s">
        <v>6</v>
      </c>
      <c r="G407" s="364" t="s">
        <v>1615</v>
      </c>
      <c r="H407" s="364" t="s">
        <v>1616</v>
      </c>
      <c r="I407" s="313"/>
      <c r="J407" s="313"/>
    </row>
    <row r="408" spans="2:10" ht="27.75" x14ac:dyDescent="0.3">
      <c r="B408" s="366">
        <v>46057</v>
      </c>
      <c r="C408" s="367"/>
      <c r="D408" s="364" t="s">
        <v>1617</v>
      </c>
      <c r="E408" s="56" t="s">
        <v>410</v>
      </c>
      <c r="F408" s="359" t="s">
        <v>6</v>
      </c>
      <c r="G408" s="364" t="s">
        <v>1618</v>
      </c>
      <c r="H408" s="364" t="s">
        <v>1619</v>
      </c>
      <c r="I408" s="313"/>
      <c r="J408" s="313"/>
    </row>
    <row r="409" spans="2:10" x14ac:dyDescent="0.3">
      <c r="B409" s="366">
        <v>46057</v>
      </c>
      <c r="C409" s="367"/>
      <c r="D409" s="364" t="s">
        <v>1306</v>
      </c>
      <c r="E409" s="56" t="s">
        <v>410</v>
      </c>
      <c r="F409" s="359" t="s">
        <v>6</v>
      </c>
      <c r="G409" s="364" t="s">
        <v>1547</v>
      </c>
      <c r="H409" s="364" t="s">
        <v>1563</v>
      </c>
      <c r="I409" s="313"/>
      <c r="J409" s="313"/>
    </row>
    <row r="410" spans="2:10" x14ac:dyDescent="0.3">
      <c r="B410" s="366">
        <v>46057</v>
      </c>
      <c r="C410" s="367"/>
      <c r="D410" s="364" t="s">
        <v>1043</v>
      </c>
      <c r="E410" s="56" t="s">
        <v>410</v>
      </c>
      <c r="F410" s="359" t="s">
        <v>6</v>
      </c>
      <c r="G410" s="364" t="s">
        <v>1620</v>
      </c>
      <c r="H410" s="364" t="s">
        <v>1621</v>
      </c>
      <c r="I410" s="313"/>
      <c r="J410" s="313"/>
    </row>
    <row r="411" spans="2:10" x14ac:dyDescent="0.3">
      <c r="B411" s="366">
        <v>46058</v>
      </c>
      <c r="C411" s="367"/>
      <c r="D411" s="364" t="s">
        <v>1564</v>
      </c>
      <c r="E411" s="56" t="s">
        <v>410</v>
      </c>
      <c r="F411" s="359" t="s">
        <v>6</v>
      </c>
      <c r="G411" s="364" t="s">
        <v>1622</v>
      </c>
      <c r="H411" s="364" t="s">
        <v>1622</v>
      </c>
      <c r="I411" s="313"/>
      <c r="J411" s="313"/>
    </row>
    <row r="412" spans="2:10" x14ac:dyDescent="0.3">
      <c r="B412" s="366">
        <v>46058</v>
      </c>
      <c r="C412" s="367"/>
      <c r="D412" s="364" t="s">
        <v>1188</v>
      </c>
      <c r="E412" s="56" t="s">
        <v>410</v>
      </c>
      <c r="F412" s="359" t="s">
        <v>6</v>
      </c>
      <c r="G412" s="364" t="s">
        <v>1197</v>
      </c>
      <c r="H412" s="364" t="s">
        <v>1194</v>
      </c>
      <c r="I412" s="313"/>
      <c r="J412" s="313"/>
    </row>
    <row r="413" spans="2:10" ht="27.75" x14ac:dyDescent="0.3">
      <c r="B413" s="366">
        <v>46058</v>
      </c>
      <c r="C413" s="367"/>
      <c r="D413" s="364" t="s">
        <v>1617</v>
      </c>
      <c r="E413" s="56" t="s">
        <v>410</v>
      </c>
      <c r="F413" s="359" t="s">
        <v>6</v>
      </c>
      <c r="G413" s="364" t="s">
        <v>1618</v>
      </c>
      <c r="H413" s="364" t="s">
        <v>1623</v>
      </c>
      <c r="I413" s="313"/>
      <c r="J413" s="313"/>
    </row>
    <row r="414" spans="2:10" ht="27.75" x14ac:dyDescent="0.3">
      <c r="B414" s="366">
        <v>46058</v>
      </c>
      <c r="C414" s="367"/>
      <c r="D414" s="364" t="s">
        <v>1624</v>
      </c>
      <c r="E414" s="56" t="s">
        <v>410</v>
      </c>
      <c r="F414" s="359" t="s">
        <v>6</v>
      </c>
      <c r="G414" s="364" t="s">
        <v>1625</v>
      </c>
      <c r="H414" s="364" t="s">
        <v>1626</v>
      </c>
      <c r="I414" s="313"/>
      <c r="J414" s="313"/>
    </row>
    <row r="415" spans="2:10" ht="27.75" x14ac:dyDescent="0.3">
      <c r="B415" s="366">
        <v>46058</v>
      </c>
      <c r="C415" s="367"/>
      <c r="D415" s="364" t="s">
        <v>1624</v>
      </c>
      <c r="E415" s="56" t="s">
        <v>410</v>
      </c>
      <c r="F415" s="359" t="s">
        <v>6</v>
      </c>
      <c r="G415" s="364" t="s">
        <v>1627</v>
      </c>
      <c r="H415" s="364" t="s">
        <v>1628</v>
      </c>
      <c r="I415" s="313"/>
      <c r="J415" s="313"/>
    </row>
    <row r="416" spans="2:10" x14ac:dyDescent="0.3">
      <c r="B416" s="366">
        <v>46059</v>
      </c>
      <c r="C416" s="367"/>
      <c r="D416" s="364" t="s">
        <v>1306</v>
      </c>
      <c r="E416" s="56" t="s">
        <v>410</v>
      </c>
      <c r="F416" s="359" t="s">
        <v>6</v>
      </c>
      <c r="G416" s="364" t="s">
        <v>1547</v>
      </c>
      <c r="H416" s="364" t="s">
        <v>1563</v>
      </c>
      <c r="I416" s="313"/>
      <c r="J416" s="313"/>
    </row>
    <row r="417" spans="2:10" x14ac:dyDescent="0.3">
      <c r="B417" s="366">
        <v>46059</v>
      </c>
      <c r="C417" s="367"/>
      <c r="D417" s="364" t="s">
        <v>1629</v>
      </c>
      <c r="E417" s="56" t="s">
        <v>410</v>
      </c>
      <c r="F417" s="359" t="s">
        <v>6</v>
      </c>
      <c r="G417" s="364" t="s">
        <v>1630</v>
      </c>
      <c r="H417" s="364" t="s">
        <v>1631</v>
      </c>
      <c r="I417" s="313"/>
      <c r="J417" s="313"/>
    </row>
    <row r="418" spans="2:10" x14ac:dyDescent="0.3">
      <c r="B418" s="366">
        <v>46062</v>
      </c>
      <c r="C418" s="367"/>
      <c r="D418" s="364" t="s">
        <v>1632</v>
      </c>
      <c r="E418" s="56" t="s">
        <v>410</v>
      </c>
      <c r="F418" s="359" t="s">
        <v>6</v>
      </c>
      <c r="G418" s="364" t="s">
        <v>1633</v>
      </c>
      <c r="H418" s="364" t="s">
        <v>1634</v>
      </c>
      <c r="I418" s="313"/>
      <c r="J418" s="313"/>
    </row>
    <row r="419" spans="2:10" x14ac:dyDescent="0.3">
      <c r="B419" s="366">
        <v>46062</v>
      </c>
      <c r="C419" s="367"/>
      <c r="D419" s="364" t="s">
        <v>1632</v>
      </c>
      <c r="E419" s="56" t="s">
        <v>410</v>
      </c>
      <c r="F419" s="359" t="s">
        <v>6</v>
      </c>
      <c r="G419" s="364" t="s">
        <v>1635</v>
      </c>
      <c r="H419" s="364" t="s">
        <v>1636</v>
      </c>
      <c r="I419" s="313"/>
      <c r="J419" s="313"/>
    </row>
    <row r="420" spans="2:10" x14ac:dyDescent="0.3">
      <c r="B420" s="366">
        <v>46062</v>
      </c>
      <c r="C420" s="367"/>
      <c r="D420" s="364" t="s">
        <v>1637</v>
      </c>
      <c r="E420" s="56" t="s">
        <v>410</v>
      </c>
      <c r="F420" s="359" t="s">
        <v>6</v>
      </c>
      <c r="G420" s="364" t="s">
        <v>1638</v>
      </c>
      <c r="H420" s="364" t="s">
        <v>1639</v>
      </c>
      <c r="I420" s="313"/>
      <c r="J420" s="313"/>
    </row>
    <row r="421" spans="2:10" x14ac:dyDescent="0.3">
      <c r="B421" s="366">
        <v>46063</v>
      </c>
      <c r="C421" s="367"/>
      <c r="D421" s="364" t="s">
        <v>1188</v>
      </c>
      <c r="E421" s="56" t="s">
        <v>410</v>
      </c>
      <c r="F421" s="359" t="s">
        <v>6</v>
      </c>
      <c r="G421" s="364" t="s">
        <v>1197</v>
      </c>
      <c r="H421" s="364" t="s">
        <v>1194</v>
      </c>
      <c r="I421" s="313"/>
      <c r="J421" s="313"/>
    </row>
    <row r="422" spans="2:10" x14ac:dyDescent="0.3">
      <c r="B422" s="366">
        <v>46065</v>
      </c>
      <c r="C422" s="367"/>
      <c r="D422" s="364" t="s">
        <v>1188</v>
      </c>
      <c r="E422" s="56" t="s">
        <v>410</v>
      </c>
      <c r="F422" s="359" t="s">
        <v>6</v>
      </c>
      <c r="G422" s="364" t="s">
        <v>1197</v>
      </c>
      <c r="H422" s="364" t="s">
        <v>1194</v>
      </c>
      <c r="I422" s="313"/>
      <c r="J422" s="313"/>
    </row>
    <row r="423" spans="2:10" x14ac:dyDescent="0.3">
      <c r="B423" s="403" t="s">
        <v>1640</v>
      </c>
      <c r="C423" s="403"/>
      <c r="D423" s="403"/>
      <c r="E423" s="403"/>
      <c r="F423" s="403"/>
      <c r="G423" s="403"/>
      <c r="H423" s="403"/>
      <c r="I423" s="313"/>
      <c r="J423" s="313"/>
    </row>
    <row r="424" spans="2:10" x14ac:dyDescent="0.3">
      <c r="B424" s="366">
        <v>46077</v>
      </c>
      <c r="C424" s="367"/>
      <c r="D424" s="364" t="s">
        <v>1188</v>
      </c>
      <c r="E424" s="56" t="s">
        <v>410</v>
      </c>
      <c r="F424" s="359" t="s">
        <v>6</v>
      </c>
      <c r="G424" s="364" t="s">
        <v>1197</v>
      </c>
      <c r="H424" s="364" t="s">
        <v>1194</v>
      </c>
      <c r="I424" s="313"/>
      <c r="J424" s="313"/>
    </row>
    <row r="425" spans="2:10" x14ac:dyDescent="0.3">
      <c r="B425" s="366">
        <v>46077</v>
      </c>
      <c r="C425" s="367"/>
      <c r="D425" s="364" t="s">
        <v>1641</v>
      </c>
      <c r="E425" s="56" t="s">
        <v>410</v>
      </c>
      <c r="F425" s="359" t="s">
        <v>6</v>
      </c>
      <c r="G425" s="364" t="s">
        <v>1642</v>
      </c>
      <c r="H425" s="364" t="s">
        <v>1643</v>
      </c>
      <c r="I425" s="313"/>
      <c r="J425" s="313"/>
    </row>
    <row r="426" spans="2:10" x14ac:dyDescent="0.3">
      <c r="B426" s="366">
        <v>46077</v>
      </c>
      <c r="C426" s="367"/>
      <c r="D426" s="364" t="s">
        <v>1306</v>
      </c>
      <c r="E426" s="56" t="s">
        <v>410</v>
      </c>
      <c r="F426" s="359" t="s">
        <v>6</v>
      </c>
      <c r="G426" s="364" t="s">
        <v>1547</v>
      </c>
      <c r="H426" s="364" t="s">
        <v>1563</v>
      </c>
      <c r="I426" s="313"/>
      <c r="J426" s="313"/>
    </row>
    <row r="427" spans="2:10" x14ac:dyDescent="0.3">
      <c r="B427" s="366">
        <v>46078</v>
      </c>
      <c r="C427" s="367"/>
      <c r="D427" s="364" t="s">
        <v>1306</v>
      </c>
      <c r="E427" s="56" t="s">
        <v>410</v>
      </c>
      <c r="F427" s="359" t="s">
        <v>6</v>
      </c>
      <c r="G427" s="364" t="s">
        <v>1644</v>
      </c>
      <c r="H427" s="364" t="s">
        <v>1645</v>
      </c>
      <c r="I427" s="313"/>
      <c r="J427" s="313"/>
    </row>
    <row r="428" spans="2:10" x14ac:dyDescent="0.3">
      <c r="B428" s="366">
        <v>46078</v>
      </c>
      <c r="C428" s="367"/>
      <c r="D428" s="364" t="s">
        <v>1629</v>
      </c>
      <c r="E428" s="56" t="s">
        <v>410</v>
      </c>
      <c r="F428" s="359" t="s">
        <v>6</v>
      </c>
      <c r="G428" s="364" t="s">
        <v>1646</v>
      </c>
      <c r="H428" s="364" t="s">
        <v>1647</v>
      </c>
      <c r="I428" s="313"/>
      <c r="J428" s="313"/>
    </row>
    <row r="429" spans="2:10" x14ac:dyDescent="0.3">
      <c r="B429" s="366">
        <v>46078</v>
      </c>
      <c r="C429" s="367"/>
      <c r="D429" s="364" t="s">
        <v>1306</v>
      </c>
      <c r="E429" s="56" t="s">
        <v>410</v>
      </c>
      <c r="F429" s="359" t="s">
        <v>6</v>
      </c>
      <c r="G429" s="364" t="s">
        <v>1648</v>
      </c>
      <c r="H429" s="364" t="s">
        <v>1649</v>
      </c>
      <c r="I429" s="313"/>
      <c r="J429" s="313"/>
    </row>
    <row r="430" spans="2:10" x14ac:dyDescent="0.3">
      <c r="B430" s="366">
        <v>46078</v>
      </c>
      <c r="C430" s="367"/>
      <c r="D430" s="364" t="s">
        <v>1188</v>
      </c>
      <c r="E430" s="56" t="s">
        <v>410</v>
      </c>
      <c r="F430" s="359" t="s">
        <v>6</v>
      </c>
      <c r="G430" s="364" t="s">
        <v>1197</v>
      </c>
      <c r="H430" s="364" t="s">
        <v>1194</v>
      </c>
      <c r="I430" s="313"/>
      <c r="J430" s="313"/>
    </row>
    <row r="431" spans="2:10" x14ac:dyDescent="0.3">
      <c r="B431" s="366">
        <v>46079</v>
      </c>
      <c r="C431" s="367"/>
      <c r="D431" s="364" t="s">
        <v>1629</v>
      </c>
      <c r="E431" s="56" t="s">
        <v>410</v>
      </c>
      <c r="F431" s="359" t="s">
        <v>6</v>
      </c>
      <c r="G431" s="364" t="s">
        <v>1646</v>
      </c>
      <c r="H431" s="364" t="s">
        <v>1650</v>
      </c>
      <c r="I431" s="313"/>
      <c r="J431" s="313"/>
    </row>
    <row r="432" spans="2:10" x14ac:dyDescent="0.3">
      <c r="B432" s="366">
        <v>46080</v>
      </c>
      <c r="C432" s="367"/>
      <c r="D432" s="364" t="s">
        <v>1629</v>
      </c>
      <c r="E432" s="56" t="s">
        <v>410</v>
      </c>
      <c r="F432" s="359" t="s">
        <v>6</v>
      </c>
      <c r="G432" s="364" t="s">
        <v>1646</v>
      </c>
      <c r="H432" s="364" t="s">
        <v>1650</v>
      </c>
      <c r="I432" s="313"/>
      <c r="J432" s="313"/>
    </row>
    <row r="433" spans="2:10" x14ac:dyDescent="0.3">
      <c r="B433" s="366">
        <v>46080</v>
      </c>
      <c r="C433" s="367"/>
      <c r="D433" s="364" t="s">
        <v>1651</v>
      </c>
      <c r="E433" s="56" t="s">
        <v>410</v>
      </c>
      <c r="F433" s="359" t="s">
        <v>6</v>
      </c>
      <c r="G433" s="364" t="s">
        <v>1652</v>
      </c>
      <c r="H433" s="364" t="s">
        <v>1653</v>
      </c>
      <c r="I433" s="313"/>
      <c r="J433" s="313"/>
    </row>
    <row r="434" spans="2:10" x14ac:dyDescent="0.3">
      <c r="B434" s="367"/>
      <c r="C434" s="367"/>
      <c r="D434" s="88"/>
      <c r="E434" s="88"/>
      <c r="F434" s="88"/>
      <c r="G434" s="88"/>
      <c r="H434" s="88"/>
      <c r="I434" s="313"/>
      <c r="J434" s="313"/>
    </row>
    <row r="435" spans="2:10" x14ac:dyDescent="0.3">
      <c r="B435" s="366">
        <v>46083</v>
      </c>
      <c r="C435" s="367"/>
      <c r="D435" s="364" t="s">
        <v>1651</v>
      </c>
      <c r="E435" s="56" t="s">
        <v>410</v>
      </c>
      <c r="F435" s="359" t="s">
        <v>6</v>
      </c>
      <c r="G435" s="364" t="s">
        <v>1652</v>
      </c>
      <c r="H435" s="364" t="s">
        <v>1654</v>
      </c>
      <c r="I435" s="313"/>
      <c r="J435" s="313"/>
    </row>
    <row r="436" spans="2:10" x14ac:dyDescent="0.3">
      <c r="B436" s="366">
        <v>46083</v>
      </c>
      <c r="C436" s="367"/>
      <c r="D436" s="364" t="s">
        <v>1076</v>
      </c>
      <c r="E436" s="56" t="s">
        <v>410</v>
      </c>
      <c r="F436" s="359" t="s">
        <v>6</v>
      </c>
      <c r="G436" s="364" t="s">
        <v>1655</v>
      </c>
      <c r="H436" s="364" t="s">
        <v>1656</v>
      </c>
      <c r="I436" s="313"/>
      <c r="J436" s="313"/>
    </row>
    <row r="437" spans="2:10" x14ac:dyDescent="0.3">
      <c r="B437" s="366">
        <v>46084</v>
      </c>
      <c r="C437" s="367"/>
      <c r="D437" s="364" t="s">
        <v>1188</v>
      </c>
      <c r="E437" s="56" t="s">
        <v>410</v>
      </c>
      <c r="F437" s="359" t="s">
        <v>6</v>
      </c>
      <c r="G437" s="364" t="s">
        <v>1197</v>
      </c>
      <c r="H437" s="364" t="s">
        <v>1194</v>
      </c>
      <c r="I437" s="313"/>
      <c r="J437" s="313"/>
    </row>
    <row r="438" spans="2:10" x14ac:dyDescent="0.3">
      <c r="B438" s="366">
        <v>46084</v>
      </c>
      <c r="C438" s="367"/>
      <c r="D438" s="364" t="s">
        <v>1188</v>
      </c>
      <c r="E438" s="56" t="s">
        <v>410</v>
      </c>
      <c r="F438" s="359" t="s">
        <v>6</v>
      </c>
      <c r="G438" s="364" t="s">
        <v>1610</v>
      </c>
      <c r="H438" s="364" t="s">
        <v>1610</v>
      </c>
      <c r="I438" s="313"/>
      <c r="J438" s="313"/>
    </row>
    <row r="439" spans="2:10" x14ac:dyDescent="0.3">
      <c r="B439" s="366">
        <v>46084</v>
      </c>
      <c r="C439" s="367"/>
      <c r="D439" s="364" t="s">
        <v>1306</v>
      </c>
      <c r="E439" s="56" t="s">
        <v>410</v>
      </c>
      <c r="F439" s="359" t="s">
        <v>6</v>
      </c>
      <c r="G439" s="364" t="s">
        <v>1547</v>
      </c>
      <c r="H439" s="364" t="s">
        <v>1563</v>
      </c>
      <c r="I439" s="313"/>
      <c r="J439" s="313"/>
    </row>
    <row r="440" spans="2:10" x14ac:dyDescent="0.3">
      <c r="B440" s="366">
        <v>46085</v>
      </c>
      <c r="C440" s="367"/>
      <c r="D440" s="364" t="s">
        <v>1169</v>
      </c>
      <c r="E440" s="56" t="s">
        <v>410</v>
      </c>
      <c r="F440" s="359" t="s">
        <v>6</v>
      </c>
      <c r="G440" s="364" t="s">
        <v>1657</v>
      </c>
      <c r="H440" s="364" t="s">
        <v>1658</v>
      </c>
      <c r="I440" s="313"/>
      <c r="J440" s="313"/>
    </row>
    <row r="441" spans="2:10" x14ac:dyDescent="0.3">
      <c r="B441" s="366">
        <v>46086</v>
      </c>
      <c r="C441" s="367"/>
      <c r="D441" s="364" t="s">
        <v>1188</v>
      </c>
      <c r="E441" s="56" t="s">
        <v>410</v>
      </c>
      <c r="F441" s="359" t="s">
        <v>6</v>
      </c>
      <c r="G441" s="364" t="s">
        <v>1197</v>
      </c>
      <c r="H441" s="364" t="s">
        <v>1194</v>
      </c>
      <c r="I441" s="313"/>
      <c r="J441" s="313"/>
    </row>
    <row r="442" spans="2:10" ht="27.75" x14ac:dyDescent="0.3">
      <c r="B442" s="366">
        <v>46086</v>
      </c>
      <c r="C442" s="367"/>
      <c r="D442" s="364" t="s">
        <v>1659</v>
      </c>
      <c r="E442" s="56" t="s">
        <v>410</v>
      </c>
      <c r="F442" s="359" t="s">
        <v>6</v>
      </c>
      <c r="G442" s="364" t="s">
        <v>1660</v>
      </c>
      <c r="H442" s="364" t="s">
        <v>1661</v>
      </c>
      <c r="I442" s="313"/>
      <c r="J442" s="313"/>
    </row>
    <row r="443" spans="2:10" ht="35.25" customHeight="1" x14ac:dyDescent="0.3">
      <c r="B443" s="366">
        <v>46086</v>
      </c>
      <c r="C443" s="367"/>
      <c r="D443" s="364" t="s">
        <v>1662</v>
      </c>
      <c r="E443" s="56" t="s">
        <v>410</v>
      </c>
      <c r="F443" s="359" t="s">
        <v>6</v>
      </c>
      <c r="G443" s="364" t="s">
        <v>1663</v>
      </c>
      <c r="H443" s="364" t="s">
        <v>1664</v>
      </c>
      <c r="I443" s="313"/>
      <c r="J443" s="313"/>
    </row>
    <row r="444" spans="2:10" ht="27.75" customHeight="1" x14ac:dyDescent="0.3">
      <c r="B444" s="366">
        <v>46087</v>
      </c>
      <c r="C444" s="367"/>
      <c r="D444" s="364" t="s">
        <v>1665</v>
      </c>
      <c r="E444" s="56" t="s">
        <v>410</v>
      </c>
      <c r="F444" s="359" t="s">
        <v>6</v>
      </c>
      <c r="G444" s="364" t="s">
        <v>1666</v>
      </c>
      <c r="H444" s="364" t="s">
        <v>1667</v>
      </c>
      <c r="I444" s="313"/>
      <c r="J444" s="313"/>
    </row>
    <row r="445" spans="2:10" ht="27.75" x14ac:dyDescent="0.3">
      <c r="B445" s="366">
        <v>46087</v>
      </c>
      <c r="C445" s="367"/>
      <c r="D445" s="364" t="s">
        <v>1043</v>
      </c>
      <c r="E445" s="56" t="s">
        <v>410</v>
      </c>
      <c r="F445" s="359" t="s">
        <v>6</v>
      </c>
      <c r="G445" s="364" t="s">
        <v>1668</v>
      </c>
      <c r="H445" s="364" t="s">
        <v>1669</v>
      </c>
      <c r="I445" s="313"/>
      <c r="J445" s="313"/>
    </row>
    <row r="446" spans="2:10" x14ac:dyDescent="0.3">
      <c r="B446" s="368">
        <v>46091</v>
      </c>
      <c r="C446" s="367"/>
      <c r="D446" s="369" t="s">
        <v>1188</v>
      </c>
      <c r="E446" s="56" t="s">
        <v>410</v>
      </c>
      <c r="F446" s="359" t="s">
        <v>6</v>
      </c>
      <c r="G446" s="369" t="s">
        <v>1197</v>
      </c>
      <c r="H446" s="369" t="s">
        <v>1194</v>
      </c>
      <c r="I446" s="313"/>
      <c r="J446" s="313"/>
    </row>
    <row r="447" spans="2:10" ht="27.75" x14ac:dyDescent="0.3">
      <c r="B447" s="368">
        <v>46091</v>
      </c>
      <c r="C447" s="367"/>
      <c r="D447" s="369" t="s">
        <v>1043</v>
      </c>
      <c r="E447" s="56" t="s">
        <v>410</v>
      </c>
      <c r="F447" s="359" t="s">
        <v>6</v>
      </c>
      <c r="G447" s="369" t="s">
        <v>1668</v>
      </c>
      <c r="H447" s="369" t="s">
        <v>1670</v>
      </c>
      <c r="I447" s="313"/>
      <c r="J447" s="313"/>
    </row>
    <row r="448" spans="2:10" x14ac:dyDescent="0.3">
      <c r="B448" s="368">
        <v>46091</v>
      </c>
      <c r="C448" s="367"/>
      <c r="D448" s="369" t="s">
        <v>1306</v>
      </c>
      <c r="E448" s="56" t="s">
        <v>410</v>
      </c>
      <c r="F448" s="359" t="s">
        <v>6</v>
      </c>
      <c r="G448" s="369" t="s">
        <v>1547</v>
      </c>
      <c r="H448" s="369" t="s">
        <v>1563</v>
      </c>
      <c r="I448" s="313"/>
      <c r="J448" s="313"/>
    </row>
    <row r="449" spans="2:10" ht="27.75" x14ac:dyDescent="0.3">
      <c r="B449" s="366">
        <v>46092</v>
      </c>
      <c r="C449" s="367"/>
      <c r="D449" s="364" t="s">
        <v>1671</v>
      </c>
      <c r="E449" s="56" t="s">
        <v>410</v>
      </c>
      <c r="F449" s="359" t="s">
        <v>6</v>
      </c>
      <c r="G449" s="364" t="s">
        <v>1660</v>
      </c>
      <c r="H449" s="364" t="s">
        <v>1672</v>
      </c>
      <c r="I449" s="284" t="s">
        <v>3267</v>
      </c>
      <c r="J449" s="285">
        <v>4.1666666666666664E-2</v>
      </c>
    </row>
    <row r="450" spans="2:10" ht="27.75" x14ac:dyDescent="0.3">
      <c r="B450" s="366">
        <v>46092</v>
      </c>
      <c r="C450" s="367"/>
      <c r="D450" s="364" t="s">
        <v>1611</v>
      </c>
      <c r="E450" s="56" t="s">
        <v>410</v>
      </c>
      <c r="F450" s="359" t="s">
        <v>6</v>
      </c>
      <c r="G450" s="364" t="s">
        <v>1673</v>
      </c>
      <c r="H450" s="364" t="s">
        <v>1674</v>
      </c>
      <c r="I450" s="284" t="s">
        <v>3267</v>
      </c>
      <c r="J450" s="285">
        <v>4.1666666666666664E-2</v>
      </c>
    </row>
    <row r="451" spans="2:10" x14ac:dyDescent="0.3">
      <c r="B451" s="366">
        <v>46093</v>
      </c>
      <c r="C451" s="367"/>
      <c r="D451" s="364" t="s">
        <v>1188</v>
      </c>
      <c r="E451" s="56" t="s">
        <v>410</v>
      </c>
      <c r="F451" s="359" t="s">
        <v>6</v>
      </c>
      <c r="G451" s="364" t="s">
        <v>1197</v>
      </c>
      <c r="H451" s="364" t="s">
        <v>1194</v>
      </c>
      <c r="I451" s="284" t="s">
        <v>3267</v>
      </c>
      <c r="J451" s="285">
        <v>4.1666666666666664E-2</v>
      </c>
    </row>
    <row r="452" spans="2:10" x14ac:dyDescent="0.3">
      <c r="B452" s="366">
        <v>46093</v>
      </c>
      <c r="C452" s="367"/>
      <c r="D452" s="364" t="s">
        <v>1659</v>
      </c>
      <c r="E452" s="56" t="s">
        <v>410</v>
      </c>
      <c r="F452" s="359" t="s">
        <v>6</v>
      </c>
      <c r="G452" s="364" t="s">
        <v>1675</v>
      </c>
      <c r="H452" s="364" t="s">
        <v>1675</v>
      </c>
      <c r="I452" s="284" t="s">
        <v>3267</v>
      </c>
      <c r="J452" s="285">
        <v>7.2916666666666671E-2</v>
      </c>
    </row>
    <row r="453" spans="2:10" x14ac:dyDescent="0.3">
      <c r="B453" s="366">
        <v>46093</v>
      </c>
      <c r="C453" s="367"/>
      <c r="D453" s="364" t="s">
        <v>1611</v>
      </c>
      <c r="E453" s="56" t="s">
        <v>410</v>
      </c>
      <c r="F453" s="359" t="s">
        <v>6</v>
      </c>
      <c r="G453" s="364" t="s">
        <v>1676</v>
      </c>
      <c r="H453" s="364" t="s">
        <v>1677</v>
      </c>
      <c r="I453" s="284" t="s">
        <v>3267</v>
      </c>
      <c r="J453" s="285">
        <v>4.1666666666666664E-2</v>
      </c>
    </row>
    <row r="454" spans="2:10" x14ac:dyDescent="0.3">
      <c r="B454" s="366">
        <v>46093</v>
      </c>
      <c r="C454" s="367"/>
      <c r="D454" s="364" t="s">
        <v>1043</v>
      </c>
      <c r="E454" s="56" t="s">
        <v>410</v>
      </c>
      <c r="F454" s="359" t="s">
        <v>6</v>
      </c>
      <c r="G454" s="364" t="s">
        <v>1678</v>
      </c>
      <c r="H454" s="364" t="s">
        <v>1679</v>
      </c>
      <c r="I454" s="284" t="s">
        <v>3267</v>
      </c>
      <c r="J454" s="285">
        <v>4.1666666666666664E-2</v>
      </c>
    </row>
    <row r="455" spans="2:10" x14ac:dyDescent="0.3">
      <c r="B455" s="366">
        <v>46093</v>
      </c>
      <c r="C455" s="367"/>
      <c r="D455" s="364" t="s">
        <v>1632</v>
      </c>
      <c r="E455" s="56" t="s">
        <v>410</v>
      </c>
      <c r="F455" s="359" t="s">
        <v>6</v>
      </c>
      <c r="G455" s="364" t="s">
        <v>1680</v>
      </c>
      <c r="H455" s="364" t="s">
        <v>1681</v>
      </c>
      <c r="I455" s="284" t="s">
        <v>3267</v>
      </c>
      <c r="J455" s="285">
        <v>4.1666666666666664E-2</v>
      </c>
    </row>
    <row r="456" spans="2:10" ht="27.75" x14ac:dyDescent="0.3">
      <c r="B456" s="366">
        <v>46097</v>
      </c>
      <c r="C456" s="367"/>
      <c r="D456" s="364" t="s">
        <v>1306</v>
      </c>
      <c r="E456" s="56" t="s">
        <v>410</v>
      </c>
      <c r="F456" s="359" t="s">
        <v>6</v>
      </c>
      <c r="G456" s="364" t="s">
        <v>1682</v>
      </c>
      <c r="H456" s="364" t="s">
        <v>1683</v>
      </c>
      <c r="I456" s="284" t="s">
        <v>3267</v>
      </c>
      <c r="J456" s="285">
        <v>4.1666666666666664E-2</v>
      </c>
    </row>
    <row r="457" spans="2:10" x14ac:dyDescent="0.3">
      <c r="B457" s="366">
        <v>46097</v>
      </c>
      <c r="C457" s="367"/>
      <c r="D457" s="364" t="s">
        <v>1043</v>
      </c>
      <c r="E457" s="56" t="s">
        <v>410</v>
      </c>
      <c r="F457" s="359" t="s">
        <v>6</v>
      </c>
      <c r="G457" s="364" t="s">
        <v>1684</v>
      </c>
      <c r="H457" s="364" t="s">
        <v>1685</v>
      </c>
      <c r="I457" s="284" t="s">
        <v>3267</v>
      </c>
      <c r="J457" s="285">
        <v>4.1666666666666664E-2</v>
      </c>
    </row>
    <row r="458" spans="2:10" x14ac:dyDescent="0.3">
      <c r="B458" s="366">
        <v>46098</v>
      </c>
      <c r="C458" s="367"/>
      <c r="D458" s="364" t="s">
        <v>1188</v>
      </c>
      <c r="E458" s="56" t="s">
        <v>410</v>
      </c>
      <c r="F458" s="359" t="s">
        <v>6</v>
      </c>
      <c r="G458" s="364" t="s">
        <v>1197</v>
      </c>
      <c r="H458" s="364" t="s">
        <v>1194</v>
      </c>
      <c r="I458" s="284" t="s">
        <v>3267</v>
      </c>
      <c r="J458" s="285">
        <v>4.1666666666666664E-2</v>
      </c>
    </row>
    <row r="459" spans="2:10" ht="27.75" x14ac:dyDescent="0.3">
      <c r="B459" s="366">
        <v>46098</v>
      </c>
      <c r="C459" s="367"/>
      <c r="D459" s="364" t="s">
        <v>1306</v>
      </c>
      <c r="E459" s="56" t="s">
        <v>410</v>
      </c>
      <c r="F459" s="359" t="s">
        <v>6</v>
      </c>
      <c r="G459" s="364" t="s">
        <v>1682</v>
      </c>
      <c r="H459" s="364" t="s">
        <v>1686</v>
      </c>
      <c r="I459" s="284" t="s">
        <v>3267</v>
      </c>
      <c r="J459" s="285">
        <v>4.1666666666666664E-2</v>
      </c>
    </row>
    <row r="460" spans="2:10" x14ac:dyDescent="0.3">
      <c r="B460" s="366">
        <v>46098</v>
      </c>
      <c r="C460" s="367"/>
      <c r="D460" s="364" t="s">
        <v>1188</v>
      </c>
      <c r="E460" s="56" t="s">
        <v>410</v>
      </c>
      <c r="F460" s="359" t="s">
        <v>6</v>
      </c>
      <c r="G460" s="364" t="s">
        <v>1610</v>
      </c>
      <c r="H460" s="364" t="s">
        <v>1610</v>
      </c>
      <c r="I460" s="284" t="s">
        <v>3267</v>
      </c>
      <c r="J460" s="285">
        <v>2.0833333333333332E-2</v>
      </c>
    </row>
    <row r="461" spans="2:10" x14ac:dyDescent="0.3">
      <c r="B461" s="366">
        <v>46098</v>
      </c>
      <c r="C461" s="367"/>
      <c r="D461" s="364" t="s">
        <v>1306</v>
      </c>
      <c r="E461" s="56" t="s">
        <v>410</v>
      </c>
      <c r="F461" s="359" t="s">
        <v>6</v>
      </c>
      <c r="G461" s="364" t="s">
        <v>1547</v>
      </c>
      <c r="H461" s="364" t="s">
        <v>1563</v>
      </c>
      <c r="I461" s="284" t="s">
        <v>3267</v>
      </c>
      <c r="J461" s="285">
        <v>4.1666666666666664E-2</v>
      </c>
    </row>
    <row r="462" spans="2:10" x14ac:dyDescent="0.3">
      <c r="B462" s="366">
        <v>46100</v>
      </c>
      <c r="C462" s="367"/>
      <c r="D462" s="364" t="s">
        <v>1188</v>
      </c>
      <c r="E462" s="56" t="s">
        <v>410</v>
      </c>
      <c r="F462" s="359" t="s">
        <v>6</v>
      </c>
      <c r="G462" s="364" t="s">
        <v>1197</v>
      </c>
      <c r="H462" s="364" t="s">
        <v>1194</v>
      </c>
      <c r="I462" s="284" t="s">
        <v>3267</v>
      </c>
      <c r="J462" s="285">
        <v>4.1666666666666664E-2</v>
      </c>
    </row>
    <row r="463" spans="2:10" ht="27.75" x14ac:dyDescent="0.3">
      <c r="B463" s="366">
        <v>46100</v>
      </c>
      <c r="C463" s="367"/>
      <c r="D463" s="364" t="s">
        <v>1169</v>
      </c>
      <c r="E463" s="56" t="s">
        <v>410</v>
      </c>
      <c r="F463" s="359" t="s">
        <v>6</v>
      </c>
      <c r="G463" s="364" t="s">
        <v>1687</v>
      </c>
      <c r="H463" s="364" t="s">
        <v>1688</v>
      </c>
      <c r="I463" s="284" t="s">
        <v>3267</v>
      </c>
      <c r="J463" s="285">
        <v>4.1666666666666664E-2</v>
      </c>
    </row>
    <row r="464" spans="2:10" x14ac:dyDescent="0.3">
      <c r="B464" s="194">
        <v>46101</v>
      </c>
      <c r="C464" s="367"/>
      <c r="D464" s="196" t="s">
        <v>1689</v>
      </c>
      <c r="E464" s="56" t="s">
        <v>410</v>
      </c>
      <c r="F464" s="359" t="s">
        <v>6</v>
      </c>
      <c r="G464" s="196" t="s">
        <v>1690</v>
      </c>
      <c r="H464" s="196" t="s">
        <v>1691</v>
      </c>
      <c r="I464" s="284" t="s">
        <v>3267</v>
      </c>
      <c r="J464" s="285">
        <v>4.1666666666666664E-2</v>
      </c>
    </row>
    <row r="465" spans="2:10" ht="27.75" x14ac:dyDescent="0.3">
      <c r="B465" s="195">
        <v>46101</v>
      </c>
      <c r="C465" s="367"/>
      <c r="D465" s="197" t="s">
        <v>1341</v>
      </c>
      <c r="E465" s="56" t="s">
        <v>410</v>
      </c>
      <c r="F465" s="359" t="s">
        <v>6</v>
      </c>
      <c r="G465" s="197" t="s">
        <v>1660</v>
      </c>
      <c r="H465" s="197" t="s">
        <v>1692</v>
      </c>
      <c r="I465" s="284" t="s">
        <v>3267</v>
      </c>
      <c r="J465" s="285">
        <v>4.1666666666666664E-2</v>
      </c>
    </row>
    <row r="466" spans="2:10" x14ac:dyDescent="0.3">
      <c r="B466" s="195">
        <v>46101</v>
      </c>
      <c r="C466" s="367"/>
      <c r="D466" s="197" t="s">
        <v>1306</v>
      </c>
      <c r="E466" s="56" t="s">
        <v>410</v>
      </c>
      <c r="F466" s="359" t="s">
        <v>6</v>
      </c>
      <c r="G466" s="197" t="s">
        <v>1693</v>
      </c>
      <c r="H466" s="197" t="s">
        <v>1694</v>
      </c>
      <c r="I466" s="284" t="s">
        <v>3267</v>
      </c>
      <c r="J466" s="285">
        <v>4.1666666666666699E-2</v>
      </c>
    </row>
    <row r="467" spans="2:10" x14ac:dyDescent="0.3">
      <c r="B467" s="195">
        <v>46104</v>
      </c>
      <c r="C467" s="10"/>
      <c r="D467" s="197" t="s">
        <v>3418</v>
      </c>
      <c r="E467" s="56" t="s">
        <v>410</v>
      </c>
      <c r="F467" s="359" t="s">
        <v>6</v>
      </c>
      <c r="G467" s="197" t="s">
        <v>3419</v>
      </c>
      <c r="H467" s="197" t="s">
        <v>3423</v>
      </c>
      <c r="I467" s="284" t="s">
        <v>3267</v>
      </c>
      <c r="J467" s="285">
        <v>4.1666666666666699E-2</v>
      </c>
    </row>
    <row r="468" spans="2:10" x14ac:dyDescent="0.3">
      <c r="B468" s="195">
        <v>46105</v>
      </c>
      <c r="C468" s="10"/>
      <c r="D468" s="197" t="s">
        <v>1188</v>
      </c>
      <c r="E468" s="56" t="s">
        <v>410</v>
      </c>
      <c r="F468" s="359" t="s">
        <v>6</v>
      </c>
      <c r="G468" s="197" t="s">
        <v>1197</v>
      </c>
      <c r="H468" s="197" t="s">
        <v>1194</v>
      </c>
      <c r="I468" s="284" t="s">
        <v>3267</v>
      </c>
      <c r="J468" s="285">
        <v>4.1666666666666699E-2</v>
      </c>
    </row>
    <row r="469" spans="2:10" ht="27.75" x14ac:dyDescent="0.3">
      <c r="B469" s="195">
        <v>46105</v>
      </c>
      <c r="C469" s="10"/>
      <c r="D469" s="197" t="s">
        <v>1641</v>
      </c>
      <c r="E469" s="56" t="s">
        <v>410</v>
      </c>
      <c r="F469" s="359" t="s">
        <v>6</v>
      </c>
      <c r="G469" s="197" t="s">
        <v>3420</v>
      </c>
      <c r="H469" s="197" t="s">
        <v>3424</v>
      </c>
      <c r="I469" s="284" t="s">
        <v>3267</v>
      </c>
      <c r="J469" s="285">
        <v>4.1666666666666699E-2</v>
      </c>
    </row>
    <row r="470" spans="2:10" ht="27.75" x14ac:dyDescent="0.3">
      <c r="B470" s="195">
        <v>46105</v>
      </c>
      <c r="C470" s="10"/>
      <c r="D470" s="197" t="s">
        <v>1662</v>
      </c>
      <c r="E470" s="56" t="s">
        <v>410</v>
      </c>
      <c r="F470" s="359" t="s">
        <v>6</v>
      </c>
      <c r="G470" s="197" t="s">
        <v>1663</v>
      </c>
      <c r="H470" s="197" t="s">
        <v>3425</v>
      </c>
      <c r="I470" s="284" t="s">
        <v>3267</v>
      </c>
      <c r="J470" s="285">
        <v>4.1666666666666699E-2</v>
      </c>
    </row>
    <row r="471" spans="2:10" x14ac:dyDescent="0.3">
      <c r="B471" s="195">
        <v>46105</v>
      </c>
      <c r="C471" s="10"/>
      <c r="D471" s="197" t="s">
        <v>1306</v>
      </c>
      <c r="E471" s="56" t="s">
        <v>410</v>
      </c>
      <c r="F471" s="359" t="s">
        <v>6</v>
      </c>
      <c r="G471" s="197" t="s">
        <v>1547</v>
      </c>
      <c r="H471" s="197" t="s">
        <v>1563</v>
      </c>
      <c r="I471" s="284" t="s">
        <v>3267</v>
      </c>
      <c r="J471" s="285">
        <v>4.1666666666666699E-2</v>
      </c>
    </row>
    <row r="472" spans="2:10" x14ac:dyDescent="0.3">
      <c r="B472" s="194">
        <v>46106</v>
      </c>
      <c r="C472" s="10"/>
      <c r="D472" s="196" t="s">
        <v>1632</v>
      </c>
      <c r="E472" s="56" t="s">
        <v>410</v>
      </c>
      <c r="F472" s="359" t="s">
        <v>6</v>
      </c>
      <c r="G472" s="196" t="s">
        <v>3421</v>
      </c>
      <c r="H472" s="196" t="s">
        <v>3426</v>
      </c>
      <c r="I472" s="284" t="s">
        <v>3267</v>
      </c>
      <c r="J472" s="285">
        <v>4.1666666666666699E-2</v>
      </c>
    </row>
    <row r="473" spans="2:10" x14ac:dyDescent="0.3">
      <c r="B473" s="195">
        <v>46106</v>
      </c>
      <c r="C473" s="10"/>
      <c r="D473" s="197" t="s">
        <v>1306</v>
      </c>
      <c r="E473" s="56" t="s">
        <v>410</v>
      </c>
      <c r="F473" s="359" t="s">
        <v>6</v>
      </c>
      <c r="G473" s="197" t="s">
        <v>3422</v>
      </c>
      <c r="H473" s="197" t="s">
        <v>3427</v>
      </c>
      <c r="I473" s="284" t="s">
        <v>3267</v>
      </c>
      <c r="J473" s="285">
        <v>4.1666666666666699E-2</v>
      </c>
    </row>
    <row r="474" spans="2:10" x14ac:dyDescent="0.3">
      <c r="B474" s="195">
        <v>46107</v>
      </c>
      <c r="C474" s="10"/>
      <c r="D474" s="197" t="s">
        <v>1188</v>
      </c>
      <c r="E474" s="56" t="s">
        <v>410</v>
      </c>
      <c r="F474" s="359" t="s">
        <v>6</v>
      </c>
      <c r="G474" s="197" t="s">
        <v>1197</v>
      </c>
      <c r="H474" s="197" t="s">
        <v>1194</v>
      </c>
      <c r="I474" s="284" t="s">
        <v>3267</v>
      </c>
      <c r="J474" s="285">
        <v>4.1666666666666699E-2</v>
      </c>
    </row>
    <row r="475" spans="2:10" x14ac:dyDescent="0.3">
      <c r="B475" s="195">
        <v>46107</v>
      </c>
      <c r="C475" s="10"/>
      <c r="D475" s="197" t="s">
        <v>1349</v>
      </c>
      <c r="E475" s="56" t="s">
        <v>410</v>
      </c>
      <c r="F475" s="359" t="s">
        <v>6</v>
      </c>
      <c r="G475" s="197" t="s">
        <v>3531</v>
      </c>
      <c r="H475" s="197" t="s">
        <v>3535</v>
      </c>
      <c r="I475" s="284" t="s">
        <v>3267</v>
      </c>
      <c r="J475" s="285">
        <v>4.1666666666666699E-2</v>
      </c>
    </row>
    <row r="476" spans="2:10" x14ac:dyDescent="0.3">
      <c r="B476" s="195">
        <v>46107</v>
      </c>
      <c r="C476" s="10"/>
      <c r="D476" s="197" t="s">
        <v>1306</v>
      </c>
      <c r="E476" s="56" t="s">
        <v>410</v>
      </c>
      <c r="F476" s="359" t="s">
        <v>6</v>
      </c>
      <c r="G476" s="197" t="s">
        <v>3532</v>
      </c>
      <c r="H476" s="197" t="s">
        <v>3536</v>
      </c>
      <c r="I476" s="284" t="s">
        <v>3267</v>
      </c>
      <c r="J476" s="285">
        <v>4.1666666666666699E-2</v>
      </c>
    </row>
    <row r="477" spans="2:10" x14ac:dyDescent="0.3">
      <c r="B477" s="195">
        <v>46107</v>
      </c>
      <c r="C477" s="10"/>
      <c r="D477" s="197" t="s">
        <v>1043</v>
      </c>
      <c r="E477" s="56" t="s">
        <v>410</v>
      </c>
      <c r="F477" s="359" t="s">
        <v>6</v>
      </c>
      <c r="G477" s="197" t="s">
        <v>3533</v>
      </c>
      <c r="H477" s="197" t="s">
        <v>3537</v>
      </c>
      <c r="I477" s="284" t="s">
        <v>3267</v>
      </c>
      <c r="J477" s="285">
        <v>4.1666666666666699E-2</v>
      </c>
    </row>
    <row r="478" spans="2:10" ht="27.75" x14ac:dyDescent="0.3">
      <c r="B478" s="195">
        <v>46108</v>
      </c>
      <c r="C478" s="10"/>
      <c r="D478" s="197" t="s">
        <v>1632</v>
      </c>
      <c r="E478" s="56" t="s">
        <v>410</v>
      </c>
      <c r="F478" s="359" t="s">
        <v>6</v>
      </c>
      <c r="G478" s="197" t="s">
        <v>3421</v>
      </c>
      <c r="H478" s="197" t="s">
        <v>3538</v>
      </c>
      <c r="I478" s="284" t="s">
        <v>3267</v>
      </c>
      <c r="J478" s="285">
        <v>4.1666666666666699E-2</v>
      </c>
    </row>
    <row r="479" spans="2:10" ht="27.75" x14ac:dyDescent="0.3">
      <c r="B479" s="195">
        <v>46108</v>
      </c>
      <c r="C479" s="10"/>
      <c r="D479" s="197" t="s">
        <v>1349</v>
      </c>
      <c r="E479" s="56" t="s">
        <v>410</v>
      </c>
      <c r="F479" s="359" t="s">
        <v>6</v>
      </c>
      <c r="G479" s="197" t="s">
        <v>3534</v>
      </c>
      <c r="H479" s="197" t="s">
        <v>3539</v>
      </c>
      <c r="I479" s="284" t="s">
        <v>3267</v>
      </c>
      <c r="J479" s="285">
        <v>4.1666666666666699E-2</v>
      </c>
    </row>
  </sheetData>
  <autoFilter ref="B1:H1" xr:uid="{A104CF43-5450-45E1-AFB5-80930729DD8A}"/>
  <mergeCells count="7">
    <mergeCell ref="B423:H423"/>
    <mergeCell ref="C196:C241"/>
    <mergeCell ref="C13:C49"/>
    <mergeCell ref="H66:H67"/>
    <mergeCell ref="C50:C95"/>
    <mergeCell ref="C96:C135"/>
    <mergeCell ref="C136:C195"/>
  </mergeCells>
  <conditionalFormatting sqref="F1:F422 F424:F10000">
    <cfRule type="cellIs" dxfId="68" priority="1" operator="equal">
      <formula>"WARNING"</formula>
    </cfRule>
    <cfRule type="cellIs" dxfId="67" priority="2" operator="equal">
      <formula>"REQ"</formula>
    </cfRule>
    <cfRule type="cellIs" dxfId="66" priority="3" operator="equal">
      <formula>"INC"</formula>
    </cfRule>
  </conditionalFormatting>
  <pageMargins left="0.3" right="0.3" top="0.3" bottom="0.3" header="0" footer="0"/>
  <pageSetup scale="53" fitToHeight="0"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AA95B-8FA1-43BF-96D4-C5F7BEAF96B1}">
  <sheetPr codeName="Hoja2">
    <tabColor rgb="FF0070C0"/>
    <pageSetUpPr fitToPage="1"/>
  </sheetPr>
  <dimension ref="A1:M569"/>
  <sheetViews>
    <sheetView showGridLines="0" zoomScale="90" zoomScaleNormal="90" workbookViewId="0">
      <pane ySplit="1" topLeftCell="A495" activePane="bottomLeft" state="frozen"/>
      <selection pane="bottomLeft" activeCell="J1" sqref="B1:J1"/>
    </sheetView>
  </sheetViews>
  <sheetFormatPr baseColWidth="10" defaultColWidth="11" defaultRowHeight="17.25" x14ac:dyDescent="0.3"/>
  <cols>
    <col min="1" max="1" width="3.375" style="1" customWidth="1"/>
    <col min="2" max="2" width="15" style="11" bestFit="1" customWidth="1"/>
    <col min="3" max="3" width="12.625" style="11" bestFit="1" customWidth="1"/>
    <col min="4" max="4" width="34.25" style="2" bestFit="1" customWidth="1"/>
    <col min="5" max="5" width="18" style="2" bestFit="1" customWidth="1"/>
    <col min="6" max="6" width="14.625" style="2" bestFit="1" customWidth="1"/>
    <col min="7" max="7" width="54.875" style="2" customWidth="1"/>
    <col min="8" max="8" width="104.375" style="12" bestFit="1" customWidth="1"/>
    <col min="9" max="9" width="19.875" style="1" customWidth="1"/>
    <col min="10" max="13" width="11" style="1" customWidth="1"/>
    <col min="14" max="14" width="11" style="2" customWidth="1"/>
    <col min="15" max="16384" width="11" style="2"/>
  </cols>
  <sheetData>
    <row r="1" spans="1:13" s="4" customFormat="1" ht="57.75" customHeight="1" x14ac:dyDescent="0.25">
      <c r="A1" s="3"/>
      <c r="B1" s="8" t="s">
        <v>16</v>
      </c>
      <c r="C1" s="8" t="s">
        <v>17</v>
      </c>
      <c r="D1" s="8" t="s">
        <v>18</v>
      </c>
      <c r="E1" s="8" t="s">
        <v>19</v>
      </c>
      <c r="F1" s="8" t="s">
        <v>20</v>
      </c>
      <c r="G1" s="8" t="s">
        <v>21</v>
      </c>
      <c r="H1" s="8" t="s">
        <v>22</v>
      </c>
      <c r="I1" s="280" t="s">
        <v>3266</v>
      </c>
      <c r="J1" s="280" t="s">
        <v>3269</v>
      </c>
      <c r="K1" s="3"/>
      <c r="L1" s="3"/>
      <c r="M1" s="3"/>
    </row>
    <row r="2" spans="1:13" s="16" customFormat="1" ht="15.75" x14ac:dyDescent="0.25">
      <c r="B2" s="17">
        <v>45726</v>
      </c>
      <c r="C2" s="412">
        <v>45717</v>
      </c>
      <c r="D2" s="18" t="s">
        <v>23</v>
      </c>
      <c r="E2" s="18" t="s">
        <v>24</v>
      </c>
      <c r="F2" s="19" t="s">
        <v>6</v>
      </c>
      <c r="G2" s="18" t="s">
        <v>25</v>
      </c>
      <c r="H2" s="20" t="s">
        <v>26</v>
      </c>
    </row>
    <row r="3" spans="1:13" s="16" customFormat="1" ht="47.25" x14ac:dyDescent="0.25">
      <c r="B3" s="17">
        <v>45726</v>
      </c>
      <c r="C3" s="413"/>
      <c r="D3" s="18" t="s">
        <v>27</v>
      </c>
      <c r="E3" s="18" t="s">
        <v>24</v>
      </c>
      <c r="F3" s="19" t="s">
        <v>6</v>
      </c>
      <c r="G3" s="18" t="s">
        <v>28</v>
      </c>
      <c r="H3" s="20" t="s">
        <v>29</v>
      </c>
    </row>
    <row r="4" spans="1:13" s="16" customFormat="1" ht="15.75" x14ac:dyDescent="0.25">
      <c r="A4" s="31"/>
      <c r="B4" s="17">
        <v>45726</v>
      </c>
      <c r="C4" s="413"/>
      <c r="D4" s="18" t="s">
        <v>30</v>
      </c>
      <c r="E4" s="18" t="s">
        <v>24</v>
      </c>
      <c r="F4" s="19" t="s">
        <v>4</v>
      </c>
      <c r="G4" s="18" t="s">
        <v>31</v>
      </c>
      <c r="H4" s="20" t="s">
        <v>32</v>
      </c>
    </row>
    <row r="5" spans="1:13" s="16" customFormat="1" ht="47.25" x14ac:dyDescent="0.25">
      <c r="B5" s="17">
        <v>45727</v>
      </c>
      <c r="C5" s="413"/>
      <c r="D5" s="18" t="s">
        <v>30</v>
      </c>
      <c r="E5" s="18" t="s">
        <v>24</v>
      </c>
      <c r="F5" s="19" t="s">
        <v>4</v>
      </c>
      <c r="G5" s="18" t="s">
        <v>31</v>
      </c>
      <c r="H5" s="20" t="s">
        <v>33</v>
      </c>
    </row>
    <row r="6" spans="1:13" s="16" customFormat="1" ht="15.75" x14ac:dyDescent="0.25">
      <c r="B6" s="17">
        <v>45727</v>
      </c>
      <c r="C6" s="413"/>
      <c r="D6" s="18" t="s">
        <v>34</v>
      </c>
      <c r="E6" s="18" t="s">
        <v>24</v>
      </c>
      <c r="F6" s="19" t="s">
        <v>6</v>
      </c>
      <c r="G6" s="18" t="s">
        <v>35</v>
      </c>
      <c r="H6" s="20" t="s">
        <v>36</v>
      </c>
    </row>
    <row r="7" spans="1:13" s="16" customFormat="1" ht="15.75" x14ac:dyDescent="0.25">
      <c r="B7" s="17">
        <v>45728</v>
      </c>
      <c r="C7" s="413"/>
      <c r="D7" s="18" t="s">
        <v>37</v>
      </c>
      <c r="E7" s="18" t="s">
        <v>24</v>
      </c>
      <c r="F7" s="19" t="s">
        <v>6</v>
      </c>
      <c r="G7" s="18" t="s">
        <v>25</v>
      </c>
      <c r="H7" s="20" t="s">
        <v>38</v>
      </c>
    </row>
    <row r="8" spans="1:13" s="16" customFormat="1" ht="31.5" x14ac:dyDescent="0.25">
      <c r="B8" s="17">
        <v>45728</v>
      </c>
      <c r="C8" s="413"/>
      <c r="D8" s="18" t="s">
        <v>39</v>
      </c>
      <c r="E8" s="18" t="s">
        <v>24</v>
      </c>
      <c r="F8" s="19" t="s">
        <v>6</v>
      </c>
      <c r="G8" s="18" t="s">
        <v>40</v>
      </c>
      <c r="H8" s="20" t="s">
        <v>41</v>
      </c>
    </row>
    <row r="9" spans="1:13" s="16" customFormat="1" ht="47.25" x14ac:dyDescent="0.25">
      <c r="B9" s="17">
        <v>45729</v>
      </c>
      <c r="C9" s="413"/>
      <c r="D9" s="18" t="s">
        <v>27</v>
      </c>
      <c r="E9" s="18" t="s">
        <v>24</v>
      </c>
      <c r="F9" s="19" t="s">
        <v>6</v>
      </c>
      <c r="G9" s="18" t="s">
        <v>28</v>
      </c>
      <c r="H9" s="20" t="s">
        <v>29</v>
      </c>
    </row>
    <row r="10" spans="1:13" s="16" customFormat="1" ht="15.75" x14ac:dyDescent="0.25">
      <c r="B10" s="17">
        <v>45730</v>
      </c>
      <c r="C10" s="413"/>
      <c r="D10" s="18" t="s">
        <v>30</v>
      </c>
      <c r="E10" s="18" t="s">
        <v>24</v>
      </c>
      <c r="F10" s="19" t="s">
        <v>4</v>
      </c>
      <c r="G10" s="22" t="s">
        <v>42</v>
      </c>
      <c r="H10" s="23" t="s">
        <v>43</v>
      </c>
    </row>
    <row r="11" spans="1:13" s="16" customFormat="1" ht="15.75" x14ac:dyDescent="0.25">
      <c r="B11" s="17">
        <v>45730</v>
      </c>
      <c r="C11" s="413"/>
      <c r="D11" s="18" t="s">
        <v>27</v>
      </c>
      <c r="E11" s="18" t="s">
        <v>24</v>
      </c>
      <c r="F11" s="19" t="s">
        <v>4</v>
      </c>
      <c r="G11" s="22" t="s">
        <v>44</v>
      </c>
      <c r="H11" s="23" t="s">
        <v>45</v>
      </c>
    </row>
    <row r="12" spans="1:13" s="16" customFormat="1" ht="15.75" x14ac:dyDescent="0.25">
      <c r="B12" s="17">
        <v>45730</v>
      </c>
      <c r="C12" s="413"/>
      <c r="D12" s="18" t="s">
        <v>46</v>
      </c>
      <c r="E12" s="18" t="s">
        <v>24</v>
      </c>
      <c r="F12" s="19" t="s">
        <v>6</v>
      </c>
      <c r="G12" s="18" t="s">
        <v>47</v>
      </c>
      <c r="H12" s="20" t="s">
        <v>48</v>
      </c>
    </row>
    <row r="13" spans="1:13" s="16" customFormat="1" ht="47.25" x14ac:dyDescent="0.25">
      <c r="B13" s="17">
        <v>45733</v>
      </c>
      <c r="C13" s="413"/>
      <c r="D13" s="18" t="s">
        <v>27</v>
      </c>
      <c r="E13" s="18" t="s">
        <v>24</v>
      </c>
      <c r="F13" s="19" t="s">
        <v>6</v>
      </c>
      <c r="G13" s="18" t="s">
        <v>28</v>
      </c>
      <c r="H13" s="20" t="s">
        <v>29</v>
      </c>
    </row>
    <row r="14" spans="1:13" s="16" customFormat="1" ht="31.5" x14ac:dyDescent="0.25">
      <c r="B14" s="17">
        <v>45733</v>
      </c>
      <c r="C14" s="413"/>
      <c r="D14" s="22" t="s">
        <v>49</v>
      </c>
      <c r="E14" s="18" t="s">
        <v>24</v>
      </c>
      <c r="F14" s="19" t="s">
        <v>6</v>
      </c>
      <c r="G14" s="22" t="s">
        <v>50</v>
      </c>
      <c r="H14" s="23" t="s">
        <v>51</v>
      </c>
    </row>
    <row r="15" spans="1:13" s="16" customFormat="1" ht="15.75" x14ac:dyDescent="0.25">
      <c r="B15" s="17">
        <v>45734</v>
      </c>
      <c r="C15" s="413"/>
      <c r="D15" s="18" t="s">
        <v>30</v>
      </c>
      <c r="E15" s="18" t="s">
        <v>24</v>
      </c>
      <c r="F15" s="19" t="s">
        <v>4</v>
      </c>
      <c r="G15" s="22" t="s">
        <v>42</v>
      </c>
      <c r="H15" s="23" t="s">
        <v>43</v>
      </c>
    </row>
    <row r="16" spans="1:13" s="16" customFormat="1" ht="15.75" x14ac:dyDescent="0.25">
      <c r="B16" s="17">
        <v>45734</v>
      </c>
      <c r="C16" s="413"/>
      <c r="D16" s="18" t="s">
        <v>27</v>
      </c>
      <c r="E16" s="18" t="s">
        <v>24</v>
      </c>
      <c r="F16" s="19" t="s">
        <v>4</v>
      </c>
      <c r="G16" s="22" t="s">
        <v>44</v>
      </c>
      <c r="H16" s="23" t="s">
        <v>45</v>
      </c>
    </row>
    <row r="17" spans="1:8" s="16" customFormat="1" ht="15.75" x14ac:dyDescent="0.25">
      <c r="B17" s="17">
        <v>45734</v>
      </c>
      <c r="C17" s="413"/>
      <c r="D17" s="18" t="s">
        <v>52</v>
      </c>
      <c r="E17" s="18" t="s">
        <v>24</v>
      </c>
      <c r="F17" s="19" t="s">
        <v>6</v>
      </c>
      <c r="G17" s="18" t="s">
        <v>53</v>
      </c>
      <c r="H17" s="20" t="s">
        <v>54</v>
      </c>
    </row>
    <row r="18" spans="1:8" s="16" customFormat="1" ht="31.5" x14ac:dyDescent="0.25">
      <c r="B18" s="17">
        <v>45734</v>
      </c>
      <c r="C18" s="413"/>
      <c r="D18" s="18" t="s">
        <v>27</v>
      </c>
      <c r="E18" s="18" t="s">
        <v>24</v>
      </c>
      <c r="F18" s="19" t="s">
        <v>4</v>
      </c>
      <c r="G18" s="18" t="s">
        <v>55</v>
      </c>
      <c r="H18" s="20" t="s">
        <v>56</v>
      </c>
    </row>
    <row r="19" spans="1:8" s="16" customFormat="1" ht="15.75" x14ac:dyDescent="0.25">
      <c r="B19" s="17">
        <v>45735</v>
      </c>
      <c r="C19" s="413"/>
      <c r="D19" s="18" t="s">
        <v>57</v>
      </c>
      <c r="E19" s="18" t="s">
        <v>24</v>
      </c>
      <c r="F19" s="19" t="s">
        <v>6</v>
      </c>
      <c r="G19" s="18" t="s">
        <v>58</v>
      </c>
      <c r="H19" s="20" t="s">
        <v>59</v>
      </c>
    </row>
    <row r="20" spans="1:8" s="16" customFormat="1" ht="47.25" x14ac:dyDescent="0.25">
      <c r="B20" s="17">
        <v>45736</v>
      </c>
      <c r="C20" s="413"/>
      <c r="D20" s="18" t="s">
        <v>27</v>
      </c>
      <c r="E20" s="18" t="s">
        <v>24</v>
      </c>
      <c r="F20" s="19" t="s">
        <v>6</v>
      </c>
      <c r="G20" s="18" t="s">
        <v>28</v>
      </c>
      <c r="H20" s="20" t="s">
        <v>29</v>
      </c>
    </row>
    <row r="21" spans="1:8" s="16" customFormat="1" ht="15.75" x14ac:dyDescent="0.25">
      <c r="A21" s="31"/>
      <c r="B21" s="17">
        <v>45737</v>
      </c>
      <c r="C21" s="413"/>
      <c r="D21" s="18" t="s">
        <v>60</v>
      </c>
      <c r="E21" s="18" t="s">
        <v>24</v>
      </c>
      <c r="F21" s="19" t="s">
        <v>6</v>
      </c>
      <c r="G21" s="18" t="s">
        <v>61</v>
      </c>
      <c r="H21" s="20" t="s">
        <v>62</v>
      </c>
    </row>
    <row r="22" spans="1:8" s="16" customFormat="1" ht="47.25" x14ac:dyDescent="0.25">
      <c r="B22" s="17">
        <v>45740</v>
      </c>
      <c r="C22" s="413"/>
      <c r="D22" s="18" t="s">
        <v>27</v>
      </c>
      <c r="E22" s="18" t="s">
        <v>24</v>
      </c>
      <c r="F22" s="19" t="s">
        <v>6</v>
      </c>
      <c r="G22" s="18" t="s">
        <v>28</v>
      </c>
      <c r="H22" s="20" t="s">
        <v>29</v>
      </c>
    </row>
    <row r="23" spans="1:8" s="16" customFormat="1" ht="15.75" x14ac:dyDescent="0.25">
      <c r="B23" s="17">
        <v>45740</v>
      </c>
      <c r="C23" s="413"/>
      <c r="D23" s="18" t="s">
        <v>27</v>
      </c>
      <c r="E23" s="18" t="s">
        <v>24</v>
      </c>
      <c r="F23" s="19" t="s">
        <v>4</v>
      </c>
      <c r="G23" s="18" t="s">
        <v>63</v>
      </c>
      <c r="H23" s="20" t="s">
        <v>64</v>
      </c>
    </row>
    <row r="24" spans="1:8" s="16" customFormat="1" ht="15.75" x14ac:dyDescent="0.25">
      <c r="B24" s="17">
        <v>45741</v>
      </c>
      <c r="C24" s="413"/>
      <c r="D24" s="18" t="s">
        <v>27</v>
      </c>
      <c r="E24" s="18" t="s">
        <v>24</v>
      </c>
      <c r="F24" s="19" t="s">
        <v>4</v>
      </c>
      <c r="G24" s="18" t="s">
        <v>65</v>
      </c>
      <c r="H24" s="20" t="s">
        <v>66</v>
      </c>
    </row>
    <row r="25" spans="1:8" s="16" customFormat="1" ht="15.75" x14ac:dyDescent="0.25">
      <c r="B25" s="17">
        <v>45741</v>
      </c>
      <c r="C25" s="413"/>
      <c r="D25" s="18" t="s">
        <v>34</v>
      </c>
      <c r="E25" s="18" t="s">
        <v>24</v>
      </c>
      <c r="F25" s="19" t="s">
        <v>6</v>
      </c>
      <c r="G25" s="18" t="s">
        <v>35</v>
      </c>
      <c r="H25" s="20" t="s">
        <v>67</v>
      </c>
    </row>
    <row r="26" spans="1:8" s="16" customFormat="1" ht="47.25" x14ac:dyDescent="0.25">
      <c r="B26" s="17">
        <v>45742</v>
      </c>
      <c r="C26" s="413"/>
      <c r="D26" s="18" t="s">
        <v>27</v>
      </c>
      <c r="E26" s="18" t="s">
        <v>24</v>
      </c>
      <c r="F26" s="19" t="s">
        <v>6</v>
      </c>
      <c r="G26" s="18" t="s">
        <v>28</v>
      </c>
      <c r="H26" s="20" t="s">
        <v>29</v>
      </c>
    </row>
    <row r="27" spans="1:8" s="16" customFormat="1" ht="31.5" x14ac:dyDescent="0.25">
      <c r="B27" s="17">
        <v>45742</v>
      </c>
      <c r="C27" s="413"/>
      <c r="D27" s="22" t="s">
        <v>49</v>
      </c>
      <c r="E27" s="18" t="s">
        <v>24</v>
      </c>
      <c r="F27" s="19" t="s">
        <v>6</v>
      </c>
      <c r="G27" s="22" t="s">
        <v>50</v>
      </c>
      <c r="H27" s="23" t="s">
        <v>51</v>
      </c>
    </row>
    <row r="28" spans="1:8" s="16" customFormat="1" ht="15.75" x14ac:dyDescent="0.25">
      <c r="B28" s="17">
        <v>45743</v>
      </c>
      <c r="C28" s="413"/>
      <c r="D28" s="18" t="s">
        <v>68</v>
      </c>
      <c r="E28" s="18" t="s">
        <v>24</v>
      </c>
      <c r="F28" s="19" t="s">
        <v>6</v>
      </c>
      <c r="G28" s="18" t="s">
        <v>25</v>
      </c>
      <c r="H28" s="20" t="s">
        <v>69</v>
      </c>
    </row>
    <row r="29" spans="1:8" s="16" customFormat="1" ht="15.75" x14ac:dyDescent="0.25">
      <c r="B29" s="17">
        <v>45743</v>
      </c>
      <c r="C29" s="413"/>
      <c r="D29" s="18" t="s">
        <v>52</v>
      </c>
      <c r="E29" s="18" t="s">
        <v>24</v>
      </c>
      <c r="F29" s="19" t="s">
        <v>4</v>
      </c>
      <c r="G29" s="18" t="s">
        <v>70</v>
      </c>
      <c r="H29" s="20" t="s">
        <v>71</v>
      </c>
    </row>
    <row r="30" spans="1:8" s="16" customFormat="1" ht="47.25" x14ac:dyDescent="0.25">
      <c r="B30" s="17">
        <v>45744</v>
      </c>
      <c r="C30" s="413"/>
      <c r="D30" s="18" t="s">
        <v>27</v>
      </c>
      <c r="E30" s="18" t="s">
        <v>24</v>
      </c>
      <c r="F30" s="19" t="s">
        <v>6</v>
      </c>
      <c r="G30" s="18" t="s">
        <v>28</v>
      </c>
      <c r="H30" s="20" t="s">
        <v>29</v>
      </c>
    </row>
    <row r="31" spans="1:8" s="16" customFormat="1" ht="15.75" x14ac:dyDescent="0.25">
      <c r="B31" s="17">
        <v>45747</v>
      </c>
      <c r="C31" s="413"/>
      <c r="D31" s="18" t="s">
        <v>23</v>
      </c>
      <c r="E31" s="18" t="s">
        <v>24</v>
      </c>
      <c r="F31" s="19" t="s">
        <v>6</v>
      </c>
      <c r="G31" s="18" t="s">
        <v>25</v>
      </c>
      <c r="H31" s="20" t="s">
        <v>26</v>
      </c>
    </row>
    <row r="32" spans="1:8" s="16" customFormat="1" ht="31.5" x14ac:dyDescent="0.25">
      <c r="B32" s="17">
        <v>45747</v>
      </c>
      <c r="C32" s="413"/>
      <c r="D32" s="18" t="s">
        <v>60</v>
      </c>
      <c r="E32" s="18" t="s">
        <v>24</v>
      </c>
      <c r="F32" s="19" t="s">
        <v>4</v>
      </c>
      <c r="G32" s="18" t="s">
        <v>72</v>
      </c>
      <c r="H32" s="20" t="s">
        <v>73</v>
      </c>
    </row>
    <row r="33" spans="1:13" s="24" customFormat="1" ht="19.5" customHeight="1" x14ac:dyDescent="0.25">
      <c r="A33" s="21"/>
      <c r="B33" s="17">
        <v>45747</v>
      </c>
      <c r="C33" s="413"/>
      <c r="D33" s="22" t="s">
        <v>49</v>
      </c>
      <c r="E33" s="18" t="s">
        <v>24</v>
      </c>
      <c r="F33" s="19" t="s">
        <v>6</v>
      </c>
      <c r="G33" s="22" t="s">
        <v>50</v>
      </c>
      <c r="H33" s="23" t="s">
        <v>51</v>
      </c>
      <c r="I33" s="21"/>
      <c r="J33" s="21"/>
      <c r="K33" s="21"/>
      <c r="L33" s="21"/>
      <c r="M33" s="21"/>
    </row>
    <row r="34" spans="1:13" s="24" customFormat="1" x14ac:dyDescent="0.25">
      <c r="A34" s="21"/>
      <c r="B34" s="17">
        <v>45748</v>
      </c>
      <c r="C34" s="413"/>
      <c r="D34" s="18" t="s">
        <v>60</v>
      </c>
      <c r="E34" s="18" t="s">
        <v>24</v>
      </c>
      <c r="F34" s="19" t="s">
        <v>6</v>
      </c>
      <c r="G34" s="22" t="s">
        <v>74</v>
      </c>
      <c r="H34" s="23" t="s">
        <v>75</v>
      </c>
      <c r="I34" s="21"/>
      <c r="J34" s="21"/>
      <c r="K34" s="21"/>
      <c r="L34" s="21"/>
      <c r="M34" s="21"/>
    </row>
    <row r="35" spans="1:13" s="24" customFormat="1" ht="49.5" customHeight="1" x14ac:dyDescent="0.25">
      <c r="A35" s="21"/>
      <c r="B35" s="17">
        <v>45748</v>
      </c>
      <c r="C35" s="413"/>
      <c r="D35" s="18" t="s">
        <v>27</v>
      </c>
      <c r="E35" s="18" t="s">
        <v>24</v>
      </c>
      <c r="F35" s="19" t="s">
        <v>6</v>
      </c>
      <c r="G35" s="18" t="s">
        <v>28</v>
      </c>
      <c r="H35" s="20" t="s">
        <v>29</v>
      </c>
      <c r="I35" s="21"/>
      <c r="J35" s="21"/>
      <c r="K35" s="21"/>
      <c r="L35" s="21"/>
      <c r="M35" s="21"/>
    </row>
    <row r="36" spans="1:13" s="24" customFormat="1" x14ac:dyDescent="0.25">
      <c r="A36" s="21"/>
      <c r="B36" s="17">
        <v>45749</v>
      </c>
      <c r="C36" s="413"/>
      <c r="D36" s="18" t="s">
        <v>34</v>
      </c>
      <c r="E36" s="18" t="s">
        <v>24</v>
      </c>
      <c r="F36" s="19" t="s">
        <v>6</v>
      </c>
      <c r="G36" s="18" t="s">
        <v>35</v>
      </c>
      <c r="H36" s="20" t="s">
        <v>67</v>
      </c>
      <c r="I36" s="21"/>
      <c r="J36" s="21"/>
      <c r="K36" s="21"/>
      <c r="L36" s="21"/>
      <c r="M36" s="21"/>
    </row>
    <row r="37" spans="1:13" s="24" customFormat="1" x14ac:dyDescent="0.25">
      <c r="A37" s="21"/>
      <c r="B37" s="17">
        <v>45749</v>
      </c>
      <c r="C37" s="413"/>
      <c r="D37" s="18" t="s">
        <v>34</v>
      </c>
      <c r="E37" s="18" t="s">
        <v>24</v>
      </c>
      <c r="F37" s="19" t="s">
        <v>6</v>
      </c>
      <c r="G37" s="18" t="s">
        <v>35</v>
      </c>
      <c r="H37" s="20" t="s">
        <v>76</v>
      </c>
      <c r="I37" s="21"/>
      <c r="J37" s="21"/>
      <c r="K37" s="21"/>
      <c r="L37" s="21"/>
      <c r="M37" s="21"/>
    </row>
    <row r="38" spans="1:13" s="24" customFormat="1" ht="48.75" customHeight="1" x14ac:dyDescent="0.25">
      <c r="A38" s="21"/>
      <c r="B38" s="17">
        <v>45750</v>
      </c>
      <c r="C38" s="413"/>
      <c r="D38" s="18" t="s">
        <v>27</v>
      </c>
      <c r="E38" s="18" t="s">
        <v>24</v>
      </c>
      <c r="F38" s="19" t="s">
        <v>6</v>
      </c>
      <c r="G38" s="18" t="s">
        <v>28</v>
      </c>
      <c r="H38" s="20" t="s">
        <v>29</v>
      </c>
      <c r="I38" s="21"/>
      <c r="J38" s="21"/>
      <c r="K38" s="21"/>
      <c r="L38" s="21"/>
      <c r="M38" s="21"/>
    </row>
    <row r="39" spans="1:13" s="24" customFormat="1" x14ac:dyDescent="0.25">
      <c r="A39" s="21"/>
      <c r="B39" s="17">
        <v>45750</v>
      </c>
      <c r="C39" s="413"/>
      <c r="D39" s="18" t="s">
        <v>30</v>
      </c>
      <c r="E39" s="18" t="s">
        <v>24</v>
      </c>
      <c r="F39" s="19" t="s">
        <v>6</v>
      </c>
      <c r="G39" s="22" t="s">
        <v>77</v>
      </c>
      <c r="H39" s="23" t="s">
        <v>78</v>
      </c>
      <c r="I39" s="21"/>
      <c r="J39" s="21"/>
      <c r="K39" s="21"/>
      <c r="L39" s="21"/>
      <c r="M39" s="21"/>
    </row>
    <row r="40" spans="1:13" s="24" customFormat="1" ht="31.5" x14ac:dyDescent="0.25">
      <c r="A40" s="21"/>
      <c r="B40" s="17">
        <v>45751</v>
      </c>
      <c r="C40" s="413"/>
      <c r="D40" s="18" t="s">
        <v>30</v>
      </c>
      <c r="E40" s="18" t="s">
        <v>24</v>
      </c>
      <c r="F40" s="19" t="s">
        <v>6</v>
      </c>
      <c r="G40" s="22" t="s">
        <v>79</v>
      </c>
      <c r="H40" s="23" t="s">
        <v>80</v>
      </c>
      <c r="I40" s="21"/>
      <c r="J40" s="21"/>
      <c r="K40" s="21"/>
      <c r="L40" s="21"/>
      <c r="M40" s="21"/>
    </row>
    <row r="41" spans="1:13" s="24" customFormat="1" x14ac:dyDescent="0.25">
      <c r="A41" s="21"/>
      <c r="B41" s="17">
        <v>45751</v>
      </c>
      <c r="C41" s="413"/>
      <c r="D41" s="18" t="s">
        <v>27</v>
      </c>
      <c r="E41" s="18" t="s">
        <v>24</v>
      </c>
      <c r="F41" s="19" t="s">
        <v>4</v>
      </c>
      <c r="G41" s="18" t="s">
        <v>63</v>
      </c>
      <c r="H41" s="20" t="s">
        <v>64</v>
      </c>
      <c r="I41" s="21"/>
      <c r="J41" s="21"/>
      <c r="K41" s="21"/>
      <c r="L41" s="21"/>
      <c r="M41" s="21"/>
    </row>
    <row r="42" spans="1:13" s="24" customFormat="1" x14ac:dyDescent="0.25">
      <c r="A42" s="32"/>
      <c r="B42" s="17">
        <v>45752</v>
      </c>
      <c r="C42" s="413"/>
      <c r="D42" s="18" t="s">
        <v>27</v>
      </c>
      <c r="E42" s="18" t="s">
        <v>24</v>
      </c>
      <c r="F42" s="19" t="s">
        <v>6</v>
      </c>
      <c r="G42" s="22" t="s">
        <v>81</v>
      </c>
      <c r="H42" s="23" t="s">
        <v>82</v>
      </c>
      <c r="I42" s="21"/>
      <c r="J42" s="21"/>
      <c r="K42" s="21"/>
      <c r="L42" s="21"/>
      <c r="M42" s="21"/>
    </row>
    <row r="43" spans="1:13" s="24" customFormat="1" x14ac:dyDescent="0.25">
      <c r="A43" s="32"/>
      <c r="B43" s="17">
        <v>45753</v>
      </c>
      <c r="C43" s="413"/>
      <c r="D43" s="18" t="s">
        <v>27</v>
      </c>
      <c r="E43" s="18" t="s">
        <v>24</v>
      </c>
      <c r="F43" s="19" t="s">
        <v>6</v>
      </c>
      <c r="G43" s="22" t="s">
        <v>81</v>
      </c>
      <c r="H43" s="23" t="s">
        <v>82</v>
      </c>
      <c r="I43" s="21"/>
      <c r="J43" s="21"/>
      <c r="K43" s="21"/>
      <c r="L43" s="21"/>
      <c r="M43" s="21"/>
    </row>
    <row r="44" spans="1:13" s="24" customFormat="1" x14ac:dyDescent="0.25">
      <c r="A44" s="21"/>
      <c r="B44" s="17">
        <v>45754</v>
      </c>
      <c r="C44" s="413"/>
      <c r="D44" s="22" t="s">
        <v>83</v>
      </c>
      <c r="E44" s="18" t="s">
        <v>24</v>
      </c>
      <c r="F44" s="19" t="s">
        <v>6</v>
      </c>
      <c r="G44" s="22" t="s">
        <v>25</v>
      </c>
      <c r="H44" s="23" t="s">
        <v>26</v>
      </c>
      <c r="I44" s="21"/>
      <c r="J44" s="21"/>
      <c r="K44" s="21"/>
      <c r="L44" s="21"/>
      <c r="M44" s="21"/>
    </row>
    <row r="45" spans="1:13" s="24" customFormat="1" x14ac:dyDescent="0.25">
      <c r="A45" s="21"/>
      <c r="B45" s="17">
        <v>45754</v>
      </c>
      <c r="C45" s="413"/>
      <c r="D45" s="18" t="s">
        <v>27</v>
      </c>
      <c r="E45" s="18" t="s">
        <v>24</v>
      </c>
      <c r="F45" s="19" t="s">
        <v>4</v>
      </c>
      <c r="G45" s="18" t="s">
        <v>63</v>
      </c>
      <c r="H45" s="20" t="s">
        <v>64</v>
      </c>
      <c r="I45" s="21"/>
      <c r="J45" s="21"/>
      <c r="K45" s="21"/>
      <c r="L45" s="21"/>
      <c r="M45" s="21"/>
    </row>
    <row r="46" spans="1:13" s="24" customFormat="1" x14ac:dyDescent="0.25">
      <c r="A46" s="21"/>
      <c r="B46" s="17">
        <v>45754</v>
      </c>
      <c r="C46" s="413"/>
      <c r="D46" s="18" t="s">
        <v>27</v>
      </c>
      <c r="E46" s="18" t="s">
        <v>24</v>
      </c>
      <c r="F46" s="19" t="s">
        <v>4</v>
      </c>
      <c r="G46" s="22" t="s">
        <v>44</v>
      </c>
      <c r="H46" s="23" t="s">
        <v>45</v>
      </c>
      <c r="I46" s="21"/>
      <c r="J46" s="21"/>
      <c r="K46" s="21"/>
      <c r="L46" s="21"/>
      <c r="M46" s="21"/>
    </row>
    <row r="47" spans="1:13" s="24" customFormat="1" x14ac:dyDescent="0.25">
      <c r="A47" s="21"/>
      <c r="B47" s="17">
        <v>45754</v>
      </c>
      <c r="C47" s="413"/>
      <c r="D47" s="22" t="s">
        <v>84</v>
      </c>
      <c r="E47" s="18" t="s">
        <v>24</v>
      </c>
      <c r="F47" s="19" t="s">
        <v>4</v>
      </c>
      <c r="G47" s="22" t="s">
        <v>85</v>
      </c>
      <c r="H47" s="23" t="s">
        <v>86</v>
      </c>
      <c r="I47" s="21"/>
      <c r="J47" s="21"/>
      <c r="K47" s="21"/>
      <c r="L47" s="21"/>
      <c r="M47" s="21"/>
    </row>
    <row r="48" spans="1:13" s="24" customFormat="1" x14ac:dyDescent="0.25">
      <c r="A48" s="21"/>
      <c r="B48" s="17">
        <v>45755</v>
      </c>
      <c r="C48" s="413"/>
      <c r="D48" s="18" t="s">
        <v>30</v>
      </c>
      <c r="E48" s="18" t="s">
        <v>24</v>
      </c>
      <c r="F48" s="19" t="s">
        <v>4</v>
      </c>
      <c r="G48" s="22" t="s">
        <v>42</v>
      </c>
      <c r="H48" s="23" t="s">
        <v>43</v>
      </c>
      <c r="I48" s="21"/>
      <c r="J48" s="21"/>
      <c r="K48" s="21"/>
      <c r="L48" s="21"/>
      <c r="M48" s="21"/>
    </row>
    <row r="49" spans="1:13" s="24" customFormat="1" x14ac:dyDescent="0.25">
      <c r="A49" s="21"/>
      <c r="B49" s="17">
        <v>45755</v>
      </c>
      <c r="C49" s="413"/>
      <c r="D49" s="18" t="s">
        <v>68</v>
      </c>
      <c r="E49" s="18" t="s">
        <v>24</v>
      </c>
      <c r="F49" s="19" t="s">
        <v>6</v>
      </c>
      <c r="G49" s="18" t="s">
        <v>25</v>
      </c>
      <c r="H49" s="20" t="s">
        <v>69</v>
      </c>
      <c r="I49" s="21"/>
      <c r="J49" s="21"/>
      <c r="K49" s="21"/>
      <c r="L49" s="21"/>
      <c r="M49" s="21"/>
    </row>
    <row r="50" spans="1:13" s="24" customFormat="1" x14ac:dyDescent="0.25">
      <c r="A50" s="21"/>
      <c r="B50" s="17">
        <v>45756</v>
      </c>
      <c r="C50" s="413"/>
      <c r="D50" s="22" t="s">
        <v>87</v>
      </c>
      <c r="E50" s="18" t="s">
        <v>24</v>
      </c>
      <c r="F50" s="19" t="s">
        <v>6</v>
      </c>
      <c r="G50" s="22" t="s">
        <v>88</v>
      </c>
      <c r="H50" s="23" t="s">
        <v>89</v>
      </c>
      <c r="I50" s="21"/>
      <c r="J50" s="21"/>
      <c r="K50" s="21"/>
      <c r="L50" s="21"/>
      <c r="M50" s="21"/>
    </row>
    <row r="51" spans="1:13" s="24" customFormat="1" ht="47.25" x14ac:dyDescent="0.25">
      <c r="A51" s="21"/>
      <c r="B51" s="17">
        <v>45756</v>
      </c>
      <c r="C51" s="413"/>
      <c r="D51" s="18" t="s">
        <v>27</v>
      </c>
      <c r="E51" s="18" t="s">
        <v>24</v>
      </c>
      <c r="F51" s="19" t="s">
        <v>6</v>
      </c>
      <c r="G51" s="18" t="s">
        <v>28</v>
      </c>
      <c r="H51" s="20" t="s">
        <v>29</v>
      </c>
      <c r="I51" s="21"/>
      <c r="J51" s="21"/>
      <c r="K51" s="21"/>
      <c r="L51" s="21"/>
      <c r="M51" s="21"/>
    </row>
    <row r="52" spans="1:13" s="24" customFormat="1" ht="31.5" x14ac:dyDescent="0.25">
      <c r="A52" s="21"/>
      <c r="B52" s="17">
        <v>45756</v>
      </c>
      <c r="C52" s="414"/>
      <c r="D52" s="22" t="s">
        <v>49</v>
      </c>
      <c r="E52" s="18" t="s">
        <v>24</v>
      </c>
      <c r="F52" s="19" t="s">
        <v>6</v>
      </c>
      <c r="G52" s="22" t="s">
        <v>50</v>
      </c>
      <c r="H52" s="23" t="s">
        <v>51</v>
      </c>
      <c r="I52" s="21"/>
      <c r="J52" s="21"/>
      <c r="K52" s="21"/>
      <c r="L52" s="21"/>
      <c r="M52" s="21"/>
    </row>
    <row r="53" spans="1:13" s="24" customFormat="1" ht="47.25" x14ac:dyDescent="0.25">
      <c r="A53" s="21"/>
      <c r="B53" s="17">
        <v>45757</v>
      </c>
      <c r="C53" s="412">
        <v>45748</v>
      </c>
      <c r="D53" s="18" t="s">
        <v>27</v>
      </c>
      <c r="E53" s="18" t="s">
        <v>24</v>
      </c>
      <c r="F53" s="19" t="s">
        <v>4</v>
      </c>
      <c r="G53" s="22" t="s">
        <v>72</v>
      </c>
      <c r="H53" s="23" t="s">
        <v>90</v>
      </c>
      <c r="I53" s="21"/>
      <c r="J53" s="21"/>
      <c r="K53" s="21"/>
      <c r="L53" s="21"/>
      <c r="M53" s="21"/>
    </row>
    <row r="54" spans="1:13" s="24" customFormat="1" ht="31.5" x14ac:dyDescent="0.25">
      <c r="A54" s="21"/>
      <c r="B54" s="17">
        <v>45757</v>
      </c>
      <c r="C54" s="413"/>
      <c r="D54" s="18" t="s">
        <v>52</v>
      </c>
      <c r="E54" s="18" t="s">
        <v>24</v>
      </c>
      <c r="F54" s="19" t="s">
        <v>4</v>
      </c>
      <c r="G54" s="22" t="s">
        <v>91</v>
      </c>
      <c r="H54" s="23" t="s">
        <v>92</v>
      </c>
      <c r="I54" s="21"/>
      <c r="J54" s="21"/>
      <c r="K54" s="21"/>
      <c r="L54" s="21"/>
      <c r="M54" s="21"/>
    </row>
    <row r="55" spans="1:13" s="24" customFormat="1" x14ac:dyDescent="0.25">
      <c r="A55" s="21"/>
      <c r="B55" s="17">
        <v>45757</v>
      </c>
      <c r="C55" s="413"/>
      <c r="D55" s="18" t="s">
        <v>34</v>
      </c>
      <c r="E55" s="18" t="s">
        <v>24</v>
      </c>
      <c r="F55" s="19" t="s">
        <v>6</v>
      </c>
      <c r="G55" s="18" t="s">
        <v>35</v>
      </c>
      <c r="H55" s="20" t="s">
        <v>67</v>
      </c>
      <c r="I55" s="21"/>
      <c r="J55" s="21"/>
      <c r="K55" s="21"/>
      <c r="L55" s="21"/>
      <c r="M55" s="21"/>
    </row>
    <row r="56" spans="1:13" s="24" customFormat="1" ht="31.5" x14ac:dyDescent="0.25">
      <c r="A56" s="21"/>
      <c r="B56" s="17">
        <v>45758</v>
      </c>
      <c r="C56" s="413"/>
      <c r="D56" s="22" t="s">
        <v>49</v>
      </c>
      <c r="E56" s="18" t="s">
        <v>24</v>
      </c>
      <c r="F56" s="19" t="s">
        <v>6</v>
      </c>
      <c r="G56" s="22" t="s">
        <v>50</v>
      </c>
      <c r="H56" s="23" t="s">
        <v>51</v>
      </c>
      <c r="I56" s="21"/>
      <c r="J56" s="21"/>
      <c r="K56" s="21"/>
      <c r="L56" s="21"/>
      <c r="M56" s="21"/>
    </row>
    <row r="57" spans="1:13" s="24" customFormat="1" ht="31.5" x14ac:dyDescent="0.25">
      <c r="A57" s="21"/>
      <c r="B57" s="17">
        <v>45761</v>
      </c>
      <c r="C57" s="413"/>
      <c r="D57" s="18" t="s">
        <v>52</v>
      </c>
      <c r="E57" s="18" t="s">
        <v>24</v>
      </c>
      <c r="F57" s="19" t="s">
        <v>4</v>
      </c>
      <c r="G57" s="22" t="s">
        <v>91</v>
      </c>
      <c r="H57" s="23" t="s">
        <v>92</v>
      </c>
      <c r="I57" s="21"/>
      <c r="J57" s="21"/>
      <c r="K57" s="21"/>
      <c r="L57" s="21"/>
      <c r="M57" s="21"/>
    </row>
    <row r="58" spans="1:13" s="24" customFormat="1" x14ac:dyDescent="0.25">
      <c r="A58" s="21"/>
      <c r="B58" s="17">
        <v>45761</v>
      </c>
      <c r="C58" s="413"/>
      <c r="D58" s="22" t="s">
        <v>93</v>
      </c>
      <c r="E58" s="18" t="s">
        <v>24</v>
      </c>
      <c r="F58" s="19" t="s">
        <v>4</v>
      </c>
      <c r="G58" s="22" t="s">
        <v>44</v>
      </c>
      <c r="H58" s="23" t="s">
        <v>45</v>
      </c>
      <c r="I58" s="21"/>
      <c r="J58" s="21"/>
      <c r="K58" s="21"/>
      <c r="L58" s="21"/>
      <c r="M58" s="21"/>
    </row>
    <row r="59" spans="1:13" s="24" customFormat="1" ht="31.5" x14ac:dyDescent="0.25">
      <c r="A59" s="21"/>
      <c r="B59" s="17">
        <v>45762</v>
      </c>
      <c r="C59" s="413"/>
      <c r="D59" s="22" t="s">
        <v>49</v>
      </c>
      <c r="E59" s="18" t="s">
        <v>24</v>
      </c>
      <c r="F59" s="19" t="s">
        <v>6</v>
      </c>
      <c r="G59" s="22" t="s">
        <v>50</v>
      </c>
      <c r="H59" s="23" t="s">
        <v>51</v>
      </c>
      <c r="I59" s="21"/>
      <c r="J59" s="21"/>
      <c r="K59" s="21"/>
      <c r="L59" s="21"/>
      <c r="M59" s="21"/>
    </row>
    <row r="60" spans="1:13" s="24" customFormat="1" x14ac:dyDescent="0.25">
      <c r="A60" s="21"/>
      <c r="B60" s="17">
        <v>45763</v>
      </c>
      <c r="C60" s="413"/>
      <c r="D60" s="18" t="s">
        <v>60</v>
      </c>
      <c r="E60" s="18" t="s">
        <v>24</v>
      </c>
      <c r="F60" s="19" t="s">
        <v>6</v>
      </c>
      <c r="G60" s="18" t="s">
        <v>25</v>
      </c>
      <c r="H60" s="23" t="s">
        <v>94</v>
      </c>
      <c r="I60" s="21"/>
      <c r="J60" s="21"/>
      <c r="K60" s="21"/>
      <c r="L60" s="21"/>
      <c r="M60" s="21"/>
    </row>
    <row r="61" spans="1:13" s="24" customFormat="1" x14ac:dyDescent="0.25">
      <c r="A61" s="21"/>
      <c r="B61" s="17">
        <v>45763</v>
      </c>
      <c r="C61" s="413"/>
      <c r="D61" s="22" t="s">
        <v>93</v>
      </c>
      <c r="E61" s="18" t="s">
        <v>24</v>
      </c>
      <c r="F61" s="19" t="s">
        <v>4</v>
      </c>
      <c r="G61" s="22" t="s">
        <v>44</v>
      </c>
      <c r="H61" s="23" t="s">
        <v>45</v>
      </c>
      <c r="I61" s="21"/>
      <c r="J61" s="21"/>
      <c r="K61" s="21"/>
      <c r="L61" s="21"/>
      <c r="M61" s="21"/>
    </row>
    <row r="62" spans="1:13" s="24" customFormat="1" ht="31.5" x14ac:dyDescent="0.25">
      <c r="A62" s="21"/>
      <c r="B62" s="17">
        <v>45763</v>
      </c>
      <c r="C62" s="413"/>
      <c r="D62" s="22" t="s">
        <v>49</v>
      </c>
      <c r="E62" s="18" t="s">
        <v>24</v>
      </c>
      <c r="F62" s="19" t="s">
        <v>6</v>
      </c>
      <c r="G62" s="22" t="s">
        <v>50</v>
      </c>
      <c r="H62" s="23" t="s">
        <v>51</v>
      </c>
      <c r="I62" s="21"/>
      <c r="J62" s="21"/>
      <c r="K62" s="21"/>
      <c r="L62" s="21"/>
      <c r="M62" s="21"/>
    </row>
    <row r="63" spans="1:13" s="24" customFormat="1" x14ac:dyDescent="0.25">
      <c r="A63" s="21"/>
      <c r="B63" s="17">
        <v>45764</v>
      </c>
      <c r="C63" s="413"/>
      <c r="D63" s="22" t="s">
        <v>95</v>
      </c>
      <c r="E63" s="18" t="s">
        <v>24</v>
      </c>
      <c r="F63" s="19" t="s">
        <v>6</v>
      </c>
      <c r="G63" s="18" t="s">
        <v>25</v>
      </c>
      <c r="H63" s="23" t="s">
        <v>94</v>
      </c>
      <c r="I63" s="21"/>
      <c r="J63" s="21"/>
      <c r="K63" s="21"/>
      <c r="L63" s="21"/>
      <c r="M63" s="21"/>
    </row>
    <row r="64" spans="1:13" s="24" customFormat="1" ht="47.25" x14ac:dyDescent="0.25">
      <c r="A64" s="21"/>
      <c r="B64" s="17">
        <v>45764</v>
      </c>
      <c r="C64" s="413"/>
      <c r="D64" s="18" t="s">
        <v>27</v>
      </c>
      <c r="E64" s="18" t="s">
        <v>24</v>
      </c>
      <c r="F64" s="19" t="s">
        <v>6</v>
      </c>
      <c r="G64" s="18" t="s">
        <v>28</v>
      </c>
      <c r="H64" s="20" t="s">
        <v>29</v>
      </c>
      <c r="I64" s="21"/>
      <c r="J64" s="21"/>
      <c r="K64" s="21"/>
      <c r="L64" s="21"/>
      <c r="M64" s="21"/>
    </row>
    <row r="65" spans="1:13" s="24" customFormat="1" x14ac:dyDescent="0.25">
      <c r="A65" s="21"/>
      <c r="B65" s="17">
        <v>45768</v>
      </c>
      <c r="C65" s="413"/>
      <c r="D65" s="22" t="s">
        <v>23</v>
      </c>
      <c r="E65" s="18" t="s">
        <v>24</v>
      </c>
      <c r="F65" s="19" t="s">
        <v>6</v>
      </c>
      <c r="G65" s="18" t="s">
        <v>25</v>
      </c>
      <c r="H65" s="20" t="s">
        <v>26</v>
      </c>
      <c r="I65" s="21"/>
      <c r="J65" s="21"/>
      <c r="K65" s="21"/>
      <c r="L65" s="21"/>
      <c r="M65" s="21"/>
    </row>
    <row r="66" spans="1:13" s="24" customFormat="1" x14ac:dyDescent="0.25">
      <c r="A66" s="21"/>
      <c r="B66" s="17">
        <v>45768</v>
      </c>
      <c r="C66" s="413"/>
      <c r="D66" s="22" t="s">
        <v>93</v>
      </c>
      <c r="E66" s="18" t="s">
        <v>24</v>
      </c>
      <c r="F66" s="19" t="s">
        <v>4</v>
      </c>
      <c r="G66" s="22" t="s">
        <v>44</v>
      </c>
      <c r="H66" s="23" t="s">
        <v>45</v>
      </c>
      <c r="I66" s="21"/>
      <c r="J66" s="21"/>
      <c r="K66" s="21"/>
      <c r="L66" s="21"/>
      <c r="M66" s="21"/>
    </row>
    <row r="67" spans="1:13" s="24" customFormat="1" x14ac:dyDescent="0.25">
      <c r="A67" s="42"/>
      <c r="B67" s="17">
        <v>45768</v>
      </c>
      <c r="C67" s="413"/>
      <c r="D67" s="18" t="s">
        <v>60</v>
      </c>
      <c r="E67" s="18" t="s">
        <v>24</v>
      </c>
      <c r="F67" s="19" t="s">
        <v>4</v>
      </c>
      <c r="G67" s="22" t="s">
        <v>96</v>
      </c>
      <c r="H67" s="20" t="s">
        <v>97</v>
      </c>
      <c r="I67" s="21"/>
      <c r="J67" s="21"/>
      <c r="K67" s="21"/>
      <c r="L67" s="21"/>
      <c r="M67" s="21"/>
    </row>
    <row r="68" spans="1:13" s="24" customFormat="1" x14ac:dyDescent="0.25">
      <c r="A68" s="21"/>
      <c r="B68" s="17">
        <v>45769</v>
      </c>
      <c r="C68" s="413"/>
      <c r="D68" s="18" t="s">
        <v>60</v>
      </c>
      <c r="E68" s="18" t="s">
        <v>24</v>
      </c>
      <c r="F68" s="19" t="s">
        <v>6</v>
      </c>
      <c r="G68" s="18" t="s">
        <v>98</v>
      </c>
      <c r="H68" s="20" t="s">
        <v>99</v>
      </c>
      <c r="I68" s="21"/>
      <c r="J68" s="21"/>
      <c r="K68" s="21"/>
      <c r="L68" s="21"/>
      <c r="M68" s="21"/>
    </row>
    <row r="69" spans="1:13" s="24" customFormat="1" x14ac:dyDescent="0.25">
      <c r="A69" s="21"/>
      <c r="B69" s="17">
        <v>45769</v>
      </c>
      <c r="C69" s="413"/>
      <c r="D69" s="22" t="s">
        <v>93</v>
      </c>
      <c r="E69" s="18" t="s">
        <v>24</v>
      </c>
      <c r="F69" s="19" t="s">
        <v>4</v>
      </c>
      <c r="G69" s="22" t="s">
        <v>44</v>
      </c>
      <c r="H69" s="23" t="s">
        <v>45</v>
      </c>
      <c r="I69" s="21"/>
      <c r="J69" s="21"/>
      <c r="K69" s="21"/>
      <c r="L69" s="21"/>
      <c r="M69" s="21"/>
    </row>
    <row r="70" spans="1:13" s="24" customFormat="1" x14ac:dyDescent="0.25">
      <c r="A70" s="21"/>
      <c r="B70" s="17">
        <v>45769</v>
      </c>
      <c r="C70" s="413"/>
      <c r="D70" s="18" t="s">
        <v>100</v>
      </c>
      <c r="E70" s="18" t="s">
        <v>24</v>
      </c>
      <c r="F70" s="19" t="s">
        <v>4</v>
      </c>
      <c r="G70" s="18" t="s">
        <v>63</v>
      </c>
      <c r="H70" s="20" t="s">
        <v>64</v>
      </c>
      <c r="I70" s="21"/>
      <c r="J70" s="21"/>
      <c r="K70" s="21"/>
      <c r="L70" s="21"/>
      <c r="M70" s="21"/>
    </row>
    <row r="71" spans="1:13" s="24" customFormat="1" ht="31.5" x14ac:dyDescent="0.25">
      <c r="A71" s="21"/>
      <c r="B71" s="17">
        <v>45770</v>
      </c>
      <c r="C71" s="413"/>
      <c r="D71" s="22" t="s">
        <v>49</v>
      </c>
      <c r="E71" s="18" t="s">
        <v>24</v>
      </c>
      <c r="F71" s="19" t="s">
        <v>6</v>
      </c>
      <c r="G71" s="22" t="s">
        <v>50</v>
      </c>
      <c r="H71" s="23" t="s">
        <v>51</v>
      </c>
      <c r="I71" s="21"/>
      <c r="J71" s="21"/>
      <c r="K71" s="21"/>
      <c r="L71" s="21"/>
      <c r="M71" s="21"/>
    </row>
    <row r="72" spans="1:13" s="24" customFormat="1" x14ac:dyDescent="0.25">
      <c r="A72" s="21"/>
      <c r="B72" s="17">
        <v>45770</v>
      </c>
      <c r="C72" s="413"/>
      <c r="D72" s="22" t="s">
        <v>101</v>
      </c>
      <c r="E72" s="18" t="s">
        <v>24</v>
      </c>
      <c r="F72" s="19" t="s">
        <v>6</v>
      </c>
      <c r="G72" s="22" t="s">
        <v>102</v>
      </c>
      <c r="H72" s="23" t="s">
        <v>103</v>
      </c>
      <c r="I72" s="21"/>
      <c r="J72" s="21"/>
      <c r="K72" s="21"/>
      <c r="L72" s="21"/>
      <c r="M72" s="21"/>
    </row>
    <row r="73" spans="1:13" s="24" customFormat="1" x14ac:dyDescent="0.25">
      <c r="A73" s="21"/>
      <c r="B73" s="17">
        <v>45770</v>
      </c>
      <c r="C73" s="413"/>
      <c r="D73" s="22" t="s">
        <v>93</v>
      </c>
      <c r="E73" s="18" t="s">
        <v>24</v>
      </c>
      <c r="F73" s="19" t="s">
        <v>4</v>
      </c>
      <c r="G73" s="22" t="s">
        <v>44</v>
      </c>
      <c r="H73" s="23" t="s">
        <v>45</v>
      </c>
      <c r="I73" s="21"/>
      <c r="J73" s="21"/>
      <c r="K73" s="21"/>
      <c r="L73" s="21"/>
      <c r="M73" s="21"/>
    </row>
    <row r="74" spans="1:13" s="24" customFormat="1" x14ac:dyDescent="0.25">
      <c r="A74" s="42"/>
      <c r="B74" s="17">
        <v>45771</v>
      </c>
      <c r="C74" s="413"/>
      <c r="D74" s="22" t="s">
        <v>93</v>
      </c>
      <c r="E74" s="18" t="s">
        <v>24</v>
      </c>
      <c r="F74" s="19" t="s">
        <v>4</v>
      </c>
      <c r="G74" s="22" t="s">
        <v>104</v>
      </c>
      <c r="H74" s="20" t="s">
        <v>59</v>
      </c>
      <c r="I74" s="21"/>
      <c r="J74" s="21"/>
      <c r="K74" s="21"/>
      <c r="L74" s="21"/>
      <c r="M74" s="21"/>
    </row>
    <row r="75" spans="1:13" s="24" customFormat="1" x14ac:dyDescent="0.25">
      <c r="A75" s="21"/>
      <c r="B75" s="17">
        <v>45771</v>
      </c>
      <c r="C75" s="413"/>
      <c r="D75" s="18" t="s">
        <v>34</v>
      </c>
      <c r="E75" s="18" t="s">
        <v>24</v>
      </c>
      <c r="F75" s="19" t="s">
        <v>6</v>
      </c>
      <c r="G75" s="18" t="s">
        <v>35</v>
      </c>
      <c r="H75" s="20" t="s">
        <v>67</v>
      </c>
      <c r="I75" s="21"/>
      <c r="J75" s="21"/>
      <c r="K75" s="21"/>
      <c r="L75" s="21"/>
      <c r="M75" s="21"/>
    </row>
    <row r="76" spans="1:13" s="24" customFormat="1" ht="31.5" x14ac:dyDescent="0.25">
      <c r="A76" s="21"/>
      <c r="B76" s="17">
        <v>45772</v>
      </c>
      <c r="C76" s="413"/>
      <c r="D76" s="22" t="s">
        <v>49</v>
      </c>
      <c r="E76" s="18" t="s">
        <v>24</v>
      </c>
      <c r="F76" s="19" t="s">
        <v>6</v>
      </c>
      <c r="G76" s="22" t="s">
        <v>50</v>
      </c>
      <c r="H76" s="23" t="s">
        <v>51</v>
      </c>
      <c r="I76" s="21"/>
      <c r="J76" s="21"/>
      <c r="K76" s="21"/>
      <c r="L76" s="21"/>
      <c r="M76" s="21"/>
    </row>
    <row r="77" spans="1:13" s="24" customFormat="1" ht="47.25" x14ac:dyDescent="0.25">
      <c r="A77" s="42"/>
      <c r="B77" s="17">
        <v>45772</v>
      </c>
      <c r="C77" s="413"/>
      <c r="D77" s="18" t="s">
        <v>27</v>
      </c>
      <c r="E77" s="18" t="s">
        <v>24</v>
      </c>
      <c r="F77" s="19" t="s">
        <v>6</v>
      </c>
      <c r="G77" s="18" t="s">
        <v>28</v>
      </c>
      <c r="H77" s="20" t="s">
        <v>29</v>
      </c>
      <c r="I77" s="21"/>
      <c r="J77" s="21"/>
      <c r="K77" s="21"/>
      <c r="L77" s="21"/>
      <c r="M77" s="21"/>
    </row>
    <row r="78" spans="1:13" s="24" customFormat="1" x14ac:dyDescent="0.25">
      <c r="A78" s="42"/>
      <c r="B78" s="17">
        <v>45775</v>
      </c>
      <c r="C78" s="413"/>
      <c r="D78" s="22" t="s">
        <v>105</v>
      </c>
      <c r="E78" s="18" t="s">
        <v>24</v>
      </c>
      <c r="F78" s="19" t="s">
        <v>6</v>
      </c>
      <c r="G78" s="18" t="s">
        <v>25</v>
      </c>
      <c r="H78" s="20" t="s">
        <v>26</v>
      </c>
      <c r="I78" s="21"/>
      <c r="J78" s="21"/>
      <c r="K78" s="21"/>
      <c r="L78" s="21"/>
      <c r="M78" s="21"/>
    </row>
    <row r="79" spans="1:13" s="24" customFormat="1" x14ac:dyDescent="0.25">
      <c r="A79" s="42"/>
      <c r="B79" s="17">
        <v>45775</v>
      </c>
      <c r="C79" s="413"/>
      <c r="D79" s="22" t="s">
        <v>93</v>
      </c>
      <c r="E79" s="18" t="s">
        <v>24</v>
      </c>
      <c r="F79" s="19" t="s">
        <v>4</v>
      </c>
      <c r="G79" s="22" t="s">
        <v>106</v>
      </c>
      <c r="H79" s="23" t="s">
        <v>107</v>
      </c>
      <c r="I79" s="21"/>
      <c r="J79" s="21"/>
      <c r="K79" s="21"/>
      <c r="L79" s="21"/>
      <c r="M79" s="21"/>
    </row>
    <row r="80" spans="1:13" s="24" customFormat="1" x14ac:dyDescent="0.25">
      <c r="A80" s="21"/>
      <c r="B80" s="17">
        <v>45775</v>
      </c>
      <c r="C80" s="413"/>
      <c r="D80" s="18" t="s">
        <v>68</v>
      </c>
      <c r="E80" s="18" t="s">
        <v>24</v>
      </c>
      <c r="F80" s="19" t="s">
        <v>6</v>
      </c>
      <c r="G80" s="18" t="s">
        <v>25</v>
      </c>
      <c r="H80" s="20" t="s">
        <v>69</v>
      </c>
      <c r="I80" s="21"/>
      <c r="J80" s="21"/>
      <c r="K80" s="21"/>
      <c r="L80" s="21"/>
      <c r="M80" s="21"/>
    </row>
    <row r="81" spans="1:13" s="24" customFormat="1" ht="31.5" x14ac:dyDescent="0.25">
      <c r="A81" s="21"/>
      <c r="B81" s="17">
        <v>45776</v>
      </c>
      <c r="C81" s="413"/>
      <c r="D81" s="22" t="s">
        <v>49</v>
      </c>
      <c r="E81" s="18" t="s">
        <v>24</v>
      </c>
      <c r="F81" s="19" t="s">
        <v>6</v>
      </c>
      <c r="G81" s="22" t="s">
        <v>50</v>
      </c>
      <c r="H81" s="23" t="s">
        <v>51</v>
      </c>
      <c r="I81" s="21"/>
      <c r="J81" s="21"/>
      <c r="K81" s="21"/>
      <c r="L81" s="21"/>
      <c r="M81" s="21"/>
    </row>
    <row r="82" spans="1:13" s="24" customFormat="1" x14ac:dyDescent="0.25">
      <c r="A82" s="21"/>
      <c r="B82" s="17">
        <v>45776</v>
      </c>
      <c r="C82" s="413"/>
      <c r="D82" s="22" t="s">
        <v>93</v>
      </c>
      <c r="E82" s="18" t="s">
        <v>24</v>
      </c>
      <c r="F82" s="19" t="s">
        <v>4</v>
      </c>
      <c r="G82" s="22" t="s">
        <v>108</v>
      </c>
      <c r="H82" s="23" t="s">
        <v>107</v>
      </c>
      <c r="I82" s="21"/>
      <c r="J82" s="21"/>
      <c r="K82" s="21"/>
      <c r="L82" s="21"/>
      <c r="M82" s="21"/>
    </row>
    <row r="83" spans="1:13" s="24" customFormat="1" ht="47.25" x14ac:dyDescent="0.25">
      <c r="A83" s="21"/>
      <c r="B83" s="17">
        <v>45777</v>
      </c>
      <c r="C83" s="413"/>
      <c r="D83" s="18" t="s">
        <v>27</v>
      </c>
      <c r="E83" s="18" t="s">
        <v>24</v>
      </c>
      <c r="F83" s="19" t="s">
        <v>6</v>
      </c>
      <c r="G83" s="18" t="s">
        <v>28</v>
      </c>
      <c r="H83" s="20" t="s">
        <v>29</v>
      </c>
      <c r="I83" s="21"/>
      <c r="J83" s="21"/>
      <c r="K83" s="21"/>
      <c r="L83" s="21"/>
      <c r="M83" s="21"/>
    </row>
    <row r="84" spans="1:13" s="24" customFormat="1" ht="31.5" x14ac:dyDescent="0.25">
      <c r="A84" s="21"/>
      <c r="B84" s="17">
        <v>45777</v>
      </c>
      <c r="C84" s="413"/>
      <c r="D84" s="22" t="s">
        <v>49</v>
      </c>
      <c r="E84" s="18" t="s">
        <v>24</v>
      </c>
      <c r="F84" s="19" t="s">
        <v>6</v>
      </c>
      <c r="G84" s="22" t="s">
        <v>50</v>
      </c>
      <c r="H84" s="23" t="s">
        <v>51</v>
      </c>
      <c r="I84" s="21"/>
      <c r="J84" s="21"/>
      <c r="K84" s="21"/>
      <c r="L84" s="21"/>
      <c r="M84" s="21"/>
    </row>
    <row r="85" spans="1:13" s="24" customFormat="1" x14ac:dyDescent="0.25">
      <c r="A85" s="21"/>
      <c r="B85" s="17">
        <v>45779</v>
      </c>
      <c r="C85" s="413"/>
      <c r="D85" s="22" t="s">
        <v>93</v>
      </c>
      <c r="E85" s="18" t="s">
        <v>24</v>
      </c>
      <c r="F85" s="19" t="s">
        <v>4</v>
      </c>
      <c r="G85" s="22" t="s">
        <v>106</v>
      </c>
      <c r="H85" s="23" t="s">
        <v>109</v>
      </c>
      <c r="I85" s="21"/>
      <c r="J85" s="21"/>
      <c r="K85" s="21"/>
      <c r="L85" s="21"/>
      <c r="M85" s="21"/>
    </row>
    <row r="86" spans="1:13" s="24" customFormat="1" x14ac:dyDescent="0.25">
      <c r="A86" s="21"/>
      <c r="B86" s="17">
        <v>45779</v>
      </c>
      <c r="C86" s="413"/>
      <c r="D86" s="22" t="s">
        <v>110</v>
      </c>
      <c r="E86" s="18" t="s">
        <v>24</v>
      </c>
      <c r="F86" s="19" t="s">
        <v>6</v>
      </c>
      <c r="G86" s="18" t="s">
        <v>25</v>
      </c>
      <c r="H86" s="20" t="s">
        <v>26</v>
      </c>
      <c r="I86" s="21"/>
      <c r="J86" s="21"/>
      <c r="K86" s="21"/>
      <c r="L86" s="21"/>
      <c r="M86" s="21"/>
    </row>
    <row r="87" spans="1:13" s="24" customFormat="1" x14ac:dyDescent="0.25">
      <c r="A87" s="21"/>
      <c r="B87" s="17">
        <v>45782</v>
      </c>
      <c r="C87" s="413"/>
      <c r="D87" s="18" t="s">
        <v>27</v>
      </c>
      <c r="E87" s="18" t="s">
        <v>24</v>
      </c>
      <c r="F87" s="19" t="s">
        <v>4</v>
      </c>
      <c r="G87" s="22" t="s">
        <v>44</v>
      </c>
      <c r="H87" s="23" t="s">
        <v>45</v>
      </c>
      <c r="I87" s="21"/>
      <c r="J87" s="21"/>
      <c r="K87" s="21"/>
      <c r="L87" s="21"/>
      <c r="M87" s="21"/>
    </row>
    <row r="88" spans="1:13" s="24" customFormat="1" x14ac:dyDescent="0.25">
      <c r="A88" s="21"/>
      <c r="B88" s="17">
        <v>45782</v>
      </c>
      <c r="C88" s="413"/>
      <c r="D88" s="22" t="s">
        <v>93</v>
      </c>
      <c r="E88" s="18" t="s">
        <v>24</v>
      </c>
      <c r="F88" s="19" t="s">
        <v>4</v>
      </c>
      <c r="G88" s="22" t="s">
        <v>104</v>
      </c>
      <c r="H88" s="20" t="s">
        <v>59</v>
      </c>
      <c r="I88" s="21"/>
      <c r="J88" s="21"/>
      <c r="K88" s="21"/>
      <c r="L88" s="21"/>
      <c r="M88" s="21"/>
    </row>
    <row r="89" spans="1:13" s="24" customFormat="1" ht="31.5" x14ac:dyDescent="0.25">
      <c r="A89" s="21"/>
      <c r="B89" s="17">
        <v>45782</v>
      </c>
      <c r="C89" s="413"/>
      <c r="D89" s="22" t="s">
        <v>49</v>
      </c>
      <c r="E89" s="18" t="s">
        <v>24</v>
      </c>
      <c r="F89" s="19" t="s">
        <v>6</v>
      </c>
      <c r="G89" s="22" t="s">
        <v>50</v>
      </c>
      <c r="H89" s="23" t="s">
        <v>51</v>
      </c>
      <c r="I89" s="21"/>
      <c r="J89" s="21"/>
      <c r="K89" s="21"/>
      <c r="L89" s="21"/>
      <c r="M89" s="21"/>
    </row>
    <row r="90" spans="1:13" s="24" customFormat="1" x14ac:dyDescent="0.25">
      <c r="A90" s="21"/>
      <c r="B90" s="17">
        <v>45783</v>
      </c>
      <c r="C90" s="413"/>
      <c r="D90" s="22" t="s">
        <v>93</v>
      </c>
      <c r="E90" s="18" t="s">
        <v>24</v>
      </c>
      <c r="F90" s="19" t="s">
        <v>4</v>
      </c>
      <c r="G90" s="22" t="s">
        <v>104</v>
      </c>
      <c r="H90" s="20" t="s">
        <v>59</v>
      </c>
      <c r="I90" s="21"/>
      <c r="J90" s="21"/>
      <c r="K90" s="21"/>
      <c r="L90" s="21"/>
      <c r="M90" s="21"/>
    </row>
    <row r="91" spans="1:13" s="24" customFormat="1" x14ac:dyDescent="0.25">
      <c r="A91" s="21"/>
      <c r="B91" s="17">
        <v>45783</v>
      </c>
      <c r="C91" s="413"/>
      <c r="D91" s="18" t="s">
        <v>68</v>
      </c>
      <c r="E91" s="18" t="s">
        <v>24</v>
      </c>
      <c r="F91" s="19" t="s">
        <v>6</v>
      </c>
      <c r="G91" s="18" t="s">
        <v>25</v>
      </c>
      <c r="H91" s="20" t="s">
        <v>69</v>
      </c>
      <c r="I91" s="21"/>
      <c r="J91" s="21"/>
      <c r="K91" s="21"/>
      <c r="L91" s="21"/>
      <c r="M91" s="21"/>
    </row>
    <row r="92" spans="1:13" s="24" customFormat="1" ht="47.25" x14ac:dyDescent="0.25">
      <c r="A92" s="21"/>
      <c r="B92" s="17">
        <v>45783</v>
      </c>
      <c r="C92" s="413"/>
      <c r="D92" s="18" t="s">
        <v>27</v>
      </c>
      <c r="E92" s="18" t="s">
        <v>24</v>
      </c>
      <c r="F92" s="19" t="s">
        <v>6</v>
      </c>
      <c r="G92" s="18" t="s">
        <v>28</v>
      </c>
      <c r="H92" s="20" t="s">
        <v>29</v>
      </c>
      <c r="I92" s="21"/>
      <c r="J92" s="21"/>
      <c r="K92" s="21"/>
      <c r="L92" s="21"/>
      <c r="M92" s="21"/>
    </row>
    <row r="93" spans="1:13" s="24" customFormat="1" x14ac:dyDescent="0.25">
      <c r="A93" s="21"/>
      <c r="B93" s="17">
        <v>45784</v>
      </c>
      <c r="C93" s="413"/>
      <c r="D93" s="22" t="s">
        <v>111</v>
      </c>
      <c r="E93" s="18" t="s">
        <v>24</v>
      </c>
      <c r="F93" s="19" t="s">
        <v>6</v>
      </c>
      <c r="G93" s="22" t="s">
        <v>25</v>
      </c>
      <c r="H93" s="23" t="s">
        <v>112</v>
      </c>
      <c r="I93" s="21"/>
      <c r="J93" s="21"/>
      <c r="K93" s="21"/>
      <c r="L93" s="21"/>
      <c r="M93" s="21"/>
    </row>
    <row r="94" spans="1:13" s="24" customFormat="1" x14ac:dyDescent="0.25">
      <c r="A94" s="21"/>
      <c r="B94" s="17">
        <v>45785</v>
      </c>
      <c r="C94" s="413"/>
      <c r="D94" s="22" t="s">
        <v>113</v>
      </c>
      <c r="E94" s="18" t="s">
        <v>24</v>
      </c>
      <c r="F94" s="19" t="s">
        <v>6</v>
      </c>
      <c r="G94" s="22" t="s">
        <v>25</v>
      </c>
      <c r="H94" s="23" t="s">
        <v>114</v>
      </c>
      <c r="I94" s="21"/>
      <c r="J94" s="21"/>
      <c r="K94" s="21"/>
      <c r="L94" s="21"/>
      <c r="M94" s="21"/>
    </row>
    <row r="95" spans="1:13" s="24" customFormat="1" x14ac:dyDescent="0.25">
      <c r="A95" s="21"/>
      <c r="B95" s="17">
        <v>45785</v>
      </c>
      <c r="C95" s="413"/>
      <c r="D95" s="22" t="s">
        <v>93</v>
      </c>
      <c r="E95" s="18" t="s">
        <v>24</v>
      </c>
      <c r="F95" s="19" t="s">
        <v>4</v>
      </c>
      <c r="G95" s="22" t="s">
        <v>104</v>
      </c>
      <c r="H95" s="20" t="s">
        <v>59</v>
      </c>
      <c r="I95" s="21"/>
      <c r="J95" s="21"/>
      <c r="K95" s="21"/>
      <c r="L95" s="21"/>
      <c r="M95" s="21"/>
    </row>
    <row r="96" spans="1:13" s="24" customFormat="1" x14ac:dyDescent="0.25">
      <c r="A96" s="21"/>
      <c r="B96" s="17">
        <v>45786</v>
      </c>
      <c r="C96" s="413"/>
      <c r="D96" s="22" t="s">
        <v>115</v>
      </c>
      <c r="E96" s="18" t="s">
        <v>24</v>
      </c>
      <c r="F96" s="19" t="s">
        <v>4</v>
      </c>
      <c r="G96" s="22" t="s">
        <v>106</v>
      </c>
      <c r="H96" s="23" t="s">
        <v>116</v>
      </c>
      <c r="I96" s="21"/>
      <c r="J96" s="21"/>
      <c r="K96" s="21"/>
      <c r="L96" s="21"/>
      <c r="M96" s="21"/>
    </row>
    <row r="97" spans="1:13" s="24" customFormat="1" x14ac:dyDescent="0.25">
      <c r="A97" s="21"/>
      <c r="B97" s="17">
        <v>45786</v>
      </c>
      <c r="C97" s="413"/>
      <c r="D97" s="22" t="s">
        <v>93</v>
      </c>
      <c r="E97" s="18" t="s">
        <v>24</v>
      </c>
      <c r="F97" s="19" t="s">
        <v>4</v>
      </c>
      <c r="G97" s="22" t="s">
        <v>104</v>
      </c>
      <c r="H97" s="20" t="s">
        <v>59</v>
      </c>
      <c r="I97" s="21"/>
      <c r="J97" s="21"/>
      <c r="K97" s="21"/>
      <c r="L97" s="21"/>
      <c r="M97" s="21"/>
    </row>
    <row r="98" spans="1:13" s="24" customFormat="1" x14ac:dyDescent="0.25">
      <c r="A98" s="21"/>
      <c r="B98" s="17">
        <v>45786</v>
      </c>
      <c r="C98" s="414"/>
      <c r="D98" s="22" t="s">
        <v>117</v>
      </c>
      <c r="E98" s="18" t="s">
        <v>24</v>
      </c>
      <c r="F98" s="19" t="s">
        <v>6</v>
      </c>
      <c r="G98" s="22" t="s">
        <v>118</v>
      </c>
      <c r="H98" s="23" t="s">
        <v>119</v>
      </c>
      <c r="I98" s="21"/>
      <c r="J98" s="21"/>
      <c r="K98" s="21"/>
      <c r="L98" s="21"/>
      <c r="M98" s="21"/>
    </row>
    <row r="99" spans="1:13" s="24" customFormat="1" x14ac:dyDescent="0.25">
      <c r="A99" s="21"/>
      <c r="B99" s="17">
        <v>45787</v>
      </c>
      <c r="C99" s="409">
        <v>45778</v>
      </c>
      <c r="D99" s="22" t="s">
        <v>115</v>
      </c>
      <c r="E99" s="18" t="s">
        <v>24</v>
      </c>
      <c r="F99" s="19" t="s">
        <v>4</v>
      </c>
      <c r="G99" s="22" t="s">
        <v>106</v>
      </c>
      <c r="H99" s="23" t="s">
        <v>116</v>
      </c>
      <c r="I99" s="21"/>
      <c r="J99" s="21"/>
      <c r="K99" s="21"/>
      <c r="L99" s="21"/>
      <c r="M99" s="21"/>
    </row>
    <row r="100" spans="1:13" s="24" customFormat="1" x14ac:dyDescent="0.25">
      <c r="A100" s="21"/>
      <c r="B100" s="17">
        <v>45787</v>
      </c>
      <c r="C100" s="410"/>
      <c r="D100" s="22" t="s">
        <v>120</v>
      </c>
      <c r="E100" s="18" t="s">
        <v>24</v>
      </c>
      <c r="F100" s="19" t="s">
        <v>6</v>
      </c>
      <c r="G100" s="22" t="s">
        <v>121</v>
      </c>
      <c r="H100" s="23" t="s">
        <v>122</v>
      </c>
      <c r="I100" s="21"/>
      <c r="J100" s="21"/>
      <c r="K100" s="21"/>
      <c r="L100" s="21"/>
      <c r="M100" s="21"/>
    </row>
    <row r="101" spans="1:13" s="24" customFormat="1" x14ac:dyDescent="0.25">
      <c r="A101" s="21"/>
      <c r="B101" s="17">
        <v>45788</v>
      </c>
      <c r="C101" s="410"/>
      <c r="D101" s="22" t="s">
        <v>120</v>
      </c>
      <c r="E101" s="18" t="s">
        <v>24</v>
      </c>
      <c r="F101" s="19" t="s">
        <v>6</v>
      </c>
      <c r="G101" s="22" t="s">
        <v>121</v>
      </c>
      <c r="H101" s="23" t="s">
        <v>122</v>
      </c>
      <c r="I101" s="21"/>
      <c r="J101" s="21"/>
      <c r="K101" s="21"/>
      <c r="L101" s="21"/>
      <c r="M101" s="21"/>
    </row>
    <row r="102" spans="1:13" s="24" customFormat="1" x14ac:dyDescent="0.25">
      <c r="A102" s="21"/>
      <c r="B102" s="17">
        <v>45789</v>
      </c>
      <c r="C102" s="410"/>
      <c r="D102" s="22" t="s">
        <v>110</v>
      </c>
      <c r="E102" s="18" t="s">
        <v>24</v>
      </c>
      <c r="F102" s="19" t="s">
        <v>6</v>
      </c>
      <c r="G102" s="18" t="s">
        <v>25</v>
      </c>
      <c r="H102" s="20" t="s">
        <v>26</v>
      </c>
      <c r="I102" s="21"/>
      <c r="J102" s="21"/>
      <c r="K102" s="21"/>
      <c r="L102" s="21"/>
      <c r="M102" s="21"/>
    </row>
    <row r="103" spans="1:13" s="24" customFormat="1" ht="47.25" x14ac:dyDescent="0.25">
      <c r="A103" s="21"/>
      <c r="B103" s="17">
        <v>45789</v>
      </c>
      <c r="C103" s="410"/>
      <c r="D103" s="18" t="s">
        <v>27</v>
      </c>
      <c r="E103" s="18" t="s">
        <v>24</v>
      </c>
      <c r="F103" s="19" t="s">
        <v>6</v>
      </c>
      <c r="G103" s="18" t="s">
        <v>28</v>
      </c>
      <c r="H103" s="20" t="s">
        <v>29</v>
      </c>
      <c r="I103" s="21"/>
      <c r="J103" s="21"/>
      <c r="K103" s="21"/>
      <c r="L103" s="21"/>
      <c r="M103" s="21"/>
    </row>
    <row r="104" spans="1:13" s="24" customFormat="1" x14ac:dyDescent="0.25">
      <c r="A104" s="21"/>
      <c r="B104" s="17">
        <v>45789</v>
      </c>
      <c r="C104" s="410"/>
      <c r="D104" s="18" t="s">
        <v>27</v>
      </c>
      <c r="E104" s="18" t="s">
        <v>24</v>
      </c>
      <c r="F104" s="19" t="s">
        <v>4</v>
      </c>
      <c r="G104" s="18" t="s">
        <v>63</v>
      </c>
      <c r="H104" s="20" t="s">
        <v>64</v>
      </c>
      <c r="I104" s="21"/>
      <c r="J104" s="21"/>
      <c r="K104" s="21"/>
      <c r="L104" s="21"/>
      <c r="M104" s="21"/>
    </row>
    <row r="105" spans="1:13" s="24" customFormat="1" ht="31.5" x14ac:dyDescent="0.25">
      <c r="A105" s="21"/>
      <c r="B105" s="17">
        <v>45790</v>
      </c>
      <c r="C105" s="410"/>
      <c r="D105" s="22" t="s">
        <v>49</v>
      </c>
      <c r="E105" s="18" t="s">
        <v>24</v>
      </c>
      <c r="F105" s="19" t="s">
        <v>6</v>
      </c>
      <c r="G105" s="22" t="s">
        <v>50</v>
      </c>
      <c r="H105" s="23" t="s">
        <v>51</v>
      </c>
      <c r="I105" s="21"/>
      <c r="J105" s="21"/>
      <c r="K105" s="21"/>
      <c r="L105" s="21"/>
      <c r="M105" s="21"/>
    </row>
    <row r="106" spans="1:13" s="24" customFormat="1" ht="47.25" x14ac:dyDescent="0.25">
      <c r="A106" s="21"/>
      <c r="B106" s="17">
        <v>45791</v>
      </c>
      <c r="C106" s="410"/>
      <c r="D106" s="18" t="s">
        <v>27</v>
      </c>
      <c r="E106" s="18" t="s">
        <v>24</v>
      </c>
      <c r="F106" s="19" t="s">
        <v>6</v>
      </c>
      <c r="G106" s="18" t="s">
        <v>28</v>
      </c>
      <c r="H106" s="20" t="s">
        <v>29</v>
      </c>
      <c r="I106" s="21"/>
      <c r="J106" s="21"/>
      <c r="K106" s="21"/>
      <c r="L106" s="21"/>
      <c r="M106" s="21"/>
    </row>
    <row r="107" spans="1:13" s="24" customFormat="1" ht="31.5" x14ac:dyDescent="0.25">
      <c r="A107" s="21"/>
      <c r="B107" s="17">
        <v>45792</v>
      </c>
      <c r="C107" s="410"/>
      <c r="D107" s="18" t="s">
        <v>123</v>
      </c>
      <c r="E107" s="18" t="s">
        <v>24</v>
      </c>
      <c r="F107" s="19" t="s">
        <v>4</v>
      </c>
      <c r="G107" s="22" t="s">
        <v>44</v>
      </c>
      <c r="H107" s="23" t="s">
        <v>124</v>
      </c>
      <c r="I107" s="21"/>
      <c r="J107" s="21"/>
      <c r="K107" s="21"/>
      <c r="L107" s="21"/>
      <c r="M107" s="21"/>
    </row>
    <row r="108" spans="1:13" s="24" customFormat="1" ht="47.25" x14ac:dyDescent="0.25">
      <c r="A108" s="21"/>
      <c r="B108" s="17">
        <v>45793</v>
      </c>
      <c r="C108" s="410"/>
      <c r="D108" s="18" t="s">
        <v>27</v>
      </c>
      <c r="E108" s="18" t="s">
        <v>24</v>
      </c>
      <c r="F108" s="19" t="s">
        <v>6</v>
      </c>
      <c r="G108" s="22" t="s">
        <v>125</v>
      </c>
      <c r="H108" s="23" t="s">
        <v>126</v>
      </c>
      <c r="I108" s="21"/>
      <c r="J108" s="21"/>
      <c r="K108" s="21"/>
      <c r="L108" s="21"/>
      <c r="M108" s="21"/>
    </row>
    <row r="109" spans="1:13" s="24" customFormat="1" ht="31.5" x14ac:dyDescent="0.25">
      <c r="A109" s="21"/>
      <c r="B109" s="17">
        <v>45793</v>
      </c>
      <c r="C109" s="410"/>
      <c r="D109" s="22" t="s">
        <v>49</v>
      </c>
      <c r="E109" s="18" t="s">
        <v>24</v>
      </c>
      <c r="F109" s="19" t="s">
        <v>6</v>
      </c>
      <c r="G109" s="22" t="s">
        <v>50</v>
      </c>
      <c r="H109" s="23" t="s">
        <v>51</v>
      </c>
      <c r="I109" s="21"/>
      <c r="J109" s="21"/>
      <c r="K109" s="21"/>
      <c r="L109" s="21"/>
      <c r="M109" s="21"/>
    </row>
    <row r="110" spans="1:13" s="24" customFormat="1" x14ac:dyDescent="0.25">
      <c r="A110" s="21"/>
      <c r="B110" s="17">
        <v>45796</v>
      </c>
      <c r="C110" s="410"/>
      <c r="D110" s="22" t="s">
        <v>127</v>
      </c>
      <c r="E110" s="18" t="s">
        <v>24</v>
      </c>
      <c r="F110" s="19" t="s">
        <v>4</v>
      </c>
      <c r="G110" s="22" t="s">
        <v>106</v>
      </c>
      <c r="H110" s="23" t="s">
        <v>116</v>
      </c>
      <c r="I110" s="21"/>
      <c r="J110" s="21"/>
      <c r="K110" s="21"/>
      <c r="L110" s="21"/>
      <c r="M110" s="21"/>
    </row>
    <row r="111" spans="1:13" s="24" customFormat="1" ht="31.5" x14ac:dyDescent="0.25">
      <c r="A111" s="21"/>
      <c r="B111" s="17">
        <v>45796</v>
      </c>
      <c r="C111" s="410"/>
      <c r="D111" s="18" t="s">
        <v>27</v>
      </c>
      <c r="E111" s="18" t="s">
        <v>24</v>
      </c>
      <c r="F111" s="19" t="s">
        <v>6</v>
      </c>
      <c r="G111" s="22" t="s">
        <v>128</v>
      </c>
      <c r="H111" s="23" t="s">
        <v>129</v>
      </c>
      <c r="I111" s="21"/>
      <c r="J111" s="21"/>
      <c r="K111" s="21"/>
      <c r="L111" s="21"/>
      <c r="M111" s="21"/>
    </row>
    <row r="112" spans="1:13" s="24" customFormat="1" ht="31.5" x14ac:dyDescent="0.25">
      <c r="A112" s="21"/>
      <c r="B112" s="17">
        <v>45796</v>
      </c>
      <c r="C112" s="410"/>
      <c r="D112" s="18" t="s">
        <v>130</v>
      </c>
      <c r="E112" s="18" t="s">
        <v>24</v>
      </c>
      <c r="F112" s="19" t="s">
        <v>4</v>
      </c>
      <c r="G112" s="22" t="s">
        <v>131</v>
      </c>
      <c r="H112" s="23" t="s">
        <v>132</v>
      </c>
      <c r="I112" s="21"/>
      <c r="J112" s="21"/>
      <c r="K112" s="21"/>
      <c r="L112" s="21"/>
      <c r="M112" s="21"/>
    </row>
    <row r="113" spans="1:13" s="24" customFormat="1" x14ac:dyDescent="0.25">
      <c r="A113" s="21"/>
      <c r="B113" s="17">
        <v>45796</v>
      </c>
      <c r="C113" s="410"/>
      <c r="D113" s="22" t="s">
        <v>133</v>
      </c>
      <c r="E113" s="18" t="s">
        <v>24</v>
      </c>
      <c r="F113" s="19" t="s">
        <v>4</v>
      </c>
      <c r="G113" s="22" t="s">
        <v>106</v>
      </c>
      <c r="H113" s="23" t="s">
        <v>134</v>
      </c>
      <c r="I113" s="21"/>
      <c r="J113" s="21"/>
      <c r="K113" s="21"/>
      <c r="L113" s="21"/>
      <c r="M113" s="21"/>
    </row>
    <row r="114" spans="1:13" s="24" customFormat="1" ht="31.5" x14ac:dyDescent="0.25">
      <c r="A114" s="42"/>
      <c r="B114" s="17">
        <v>45796</v>
      </c>
      <c r="C114" s="410"/>
      <c r="D114" s="22" t="s">
        <v>135</v>
      </c>
      <c r="E114" s="18" t="s">
        <v>24</v>
      </c>
      <c r="F114" s="19" t="s">
        <v>4</v>
      </c>
      <c r="G114" s="22" t="s">
        <v>136</v>
      </c>
      <c r="H114" s="23" t="s">
        <v>137</v>
      </c>
      <c r="I114" s="21"/>
      <c r="J114" s="21"/>
      <c r="K114" s="21"/>
      <c r="L114" s="21"/>
      <c r="M114" s="21"/>
    </row>
    <row r="115" spans="1:13" s="24" customFormat="1" x14ac:dyDescent="0.25">
      <c r="A115" s="42"/>
      <c r="B115" s="17">
        <v>45796</v>
      </c>
      <c r="C115" s="410"/>
      <c r="D115" s="22" t="s">
        <v>110</v>
      </c>
      <c r="E115" s="18" t="s">
        <v>24</v>
      </c>
      <c r="F115" s="19" t="s">
        <v>4</v>
      </c>
      <c r="G115" s="22" t="s">
        <v>138</v>
      </c>
      <c r="H115" s="23" t="s">
        <v>139</v>
      </c>
      <c r="I115" s="21"/>
      <c r="J115" s="21"/>
      <c r="K115" s="21"/>
      <c r="L115" s="21"/>
      <c r="M115" s="21"/>
    </row>
    <row r="116" spans="1:13" s="24" customFormat="1" ht="31.5" x14ac:dyDescent="0.25">
      <c r="A116" s="21"/>
      <c r="B116" s="17">
        <v>45797</v>
      </c>
      <c r="C116" s="410"/>
      <c r="D116" s="22" t="s">
        <v>49</v>
      </c>
      <c r="E116" s="18" t="s">
        <v>24</v>
      </c>
      <c r="F116" s="19" t="s">
        <v>6</v>
      </c>
      <c r="G116" s="22" t="s">
        <v>50</v>
      </c>
      <c r="H116" s="23" t="s">
        <v>51</v>
      </c>
      <c r="I116" s="21"/>
      <c r="J116" s="21"/>
      <c r="K116" s="21"/>
      <c r="L116" s="21"/>
      <c r="M116" s="21"/>
    </row>
    <row r="117" spans="1:13" s="24" customFormat="1" x14ac:dyDescent="0.25">
      <c r="A117" s="21"/>
      <c r="B117" s="17">
        <v>45797</v>
      </c>
      <c r="C117" s="410"/>
      <c r="D117" s="18" t="s">
        <v>68</v>
      </c>
      <c r="E117" s="18" t="s">
        <v>24</v>
      </c>
      <c r="F117" s="19" t="s">
        <v>6</v>
      </c>
      <c r="G117" s="18" t="s">
        <v>25</v>
      </c>
      <c r="H117" s="20" t="s">
        <v>69</v>
      </c>
      <c r="I117" s="21"/>
      <c r="J117" s="21"/>
      <c r="K117" s="21"/>
      <c r="L117" s="21"/>
      <c r="M117" s="21"/>
    </row>
    <row r="118" spans="1:13" s="24" customFormat="1" x14ac:dyDescent="0.25">
      <c r="A118" s="21"/>
      <c r="B118" s="17">
        <v>45797</v>
      </c>
      <c r="C118" s="410"/>
      <c r="D118" s="22" t="s">
        <v>140</v>
      </c>
      <c r="E118" s="18" t="s">
        <v>24</v>
      </c>
      <c r="F118" s="19" t="s">
        <v>6</v>
      </c>
      <c r="G118" s="18" t="s">
        <v>25</v>
      </c>
      <c r="H118" s="20" t="s">
        <v>141</v>
      </c>
      <c r="I118" s="21"/>
      <c r="J118" s="21"/>
      <c r="K118" s="21"/>
      <c r="L118" s="21"/>
      <c r="M118" s="21"/>
    </row>
    <row r="119" spans="1:13" s="24" customFormat="1" x14ac:dyDescent="0.25">
      <c r="A119" s="21"/>
      <c r="B119" s="17">
        <v>45797</v>
      </c>
      <c r="C119" s="410"/>
      <c r="D119" s="22" t="s">
        <v>100</v>
      </c>
      <c r="E119" s="18" t="s">
        <v>24</v>
      </c>
      <c r="F119" s="19" t="s">
        <v>4</v>
      </c>
      <c r="G119" s="18" t="s">
        <v>142</v>
      </c>
      <c r="H119" s="20" t="s">
        <v>143</v>
      </c>
      <c r="I119" s="21"/>
      <c r="J119" s="21"/>
      <c r="K119" s="21"/>
      <c r="L119" s="21"/>
      <c r="M119" s="21"/>
    </row>
    <row r="120" spans="1:13" s="24" customFormat="1" x14ac:dyDescent="0.25">
      <c r="A120" s="21"/>
      <c r="B120" s="17"/>
      <c r="C120" s="410"/>
      <c r="D120" s="22"/>
      <c r="E120" s="22"/>
      <c r="F120" s="22" t="s">
        <v>144</v>
      </c>
      <c r="G120" s="22"/>
      <c r="H120" s="23"/>
      <c r="I120" s="21"/>
      <c r="J120" s="21"/>
      <c r="K120" s="21"/>
      <c r="L120" s="21"/>
      <c r="M120" s="21"/>
    </row>
    <row r="121" spans="1:13" s="24" customFormat="1" ht="31.5" x14ac:dyDescent="0.25">
      <c r="A121" s="21"/>
      <c r="B121" s="17">
        <v>45798</v>
      </c>
      <c r="C121" s="410"/>
      <c r="D121" s="22" t="s">
        <v>135</v>
      </c>
      <c r="E121" s="18" t="s">
        <v>24</v>
      </c>
      <c r="F121" s="19" t="s">
        <v>4</v>
      </c>
      <c r="G121" s="22" t="s">
        <v>136</v>
      </c>
      <c r="H121" s="23" t="s">
        <v>137</v>
      </c>
      <c r="I121" s="21"/>
      <c r="J121" s="21"/>
      <c r="K121" s="21"/>
      <c r="L121" s="21"/>
      <c r="M121" s="21"/>
    </row>
    <row r="122" spans="1:13" s="24" customFormat="1" x14ac:dyDescent="0.25">
      <c r="A122" s="21"/>
      <c r="B122" s="17">
        <v>45799</v>
      </c>
      <c r="C122" s="410"/>
      <c r="D122" s="22" t="s">
        <v>145</v>
      </c>
      <c r="E122" s="18" t="s">
        <v>24</v>
      </c>
      <c r="F122" s="19" t="s">
        <v>6</v>
      </c>
      <c r="G122" s="22" t="s">
        <v>146</v>
      </c>
      <c r="H122" s="23" t="s">
        <v>147</v>
      </c>
      <c r="I122" s="21"/>
      <c r="J122" s="21"/>
      <c r="K122" s="21"/>
      <c r="L122" s="21"/>
      <c r="M122" s="21"/>
    </row>
    <row r="123" spans="1:13" s="24" customFormat="1" x14ac:dyDescent="0.25">
      <c r="A123" s="21"/>
      <c r="B123" s="17">
        <v>45799</v>
      </c>
      <c r="C123" s="410"/>
      <c r="D123" s="22" t="s">
        <v>113</v>
      </c>
      <c r="E123" s="18" t="s">
        <v>24</v>
      </c>
      <c r="F123" s="19" t="s">
        <v>6</v>
      </c>
      <c r="G123" s="22" t="s">
        <v>25</v>
      </c>
      <c r="H123" s="23" t="s">
        <v>114</v>
      </c>
      <c r="I123" s="21"/>
      <c r="J123" s="21"/>
      <c r="K123" s="21"/>
      <c r="L123" s="21"/>
      <c r="M123" s="21"/>
    </row>
    <row r="124" spans="1:13" s="24" customFormat="1" x14ac:dyDescent="0.25">
      <c r="A124" s="21"/>
      <c r="B124" s="17">
        <v>45800</v>
      </c>
      <c r="C124" s="410"/>
      <c r="D124" s="22" t="s">
        <v>148</v>
      </c>
      <c r="E124" s="18" t="s">
        <v>24</v>
      </c>
      <c r="F124" s="19" t="s">
        <v>6</v>
      </c>
      <c r="G124" s="22" t="s">
        <v>149</v>
      </c>
      <c r="H124" s="23" t="s">
        <v>150</v>
      </c>
      <c r="I124" s="21"/>
      <c r="J124" s="21"/>
      <c r="K124" s="21"/>
      <c r="L124" s="21"/>
      <c r="M124" s="21"/>
    </row>
    <row r="125" spans="1:13" s="24" customFormat="1" x14ac:dyDescent="0.25">
      <c r="A125" s="21"/>
      <c r="B125" s="17">
        <v>45800</v>
      </c>
      <c r="C125" s="410"/>
      <c r="D125" s="18" t="s">
        <v>68</v>
      </c>
      <c r="E125" s="18" t="s">
        <v>24</v>
      </c>
      <c r="F125" s="19" t="s">
        <v>6</v>
      </c>
      <c r="G125" s="18" t="s">
        <v>25</v>
      </c>
      <c r="H125" s="20" t="s">
        <v>69</v>
      </c>
      <c r="I125" s="21"/>
      <c r="J125" s="21"/>
      <c r="K125" s="21"/>
      <c r="L125" s="21"/>
      <c r="M125" s="21"/>
    </row>
    <row r="126" spans="1:13" s="24" customFormat="1" ht="31.5" x14ac:dyDescent="0.25">
      <c r="A126" s="21"/>
      <c r="B126" s="17">
        <v>45803</v>
      </c>
      <c r="C126" s="410"/>
      <c r="D126" s="22" t="s">
        <v>49</v>
      </c>
      <c r="E126" s="18" t="s">
        <v>24</v>
      </c>
      <c r="F126" s="19" t="s">
        <v>6</v>
      </c>
      <c r="G126" s="22" t="s">
        <v>50</v>
      </c>
      <c r="H126" s="23" t="s">
        <v>51</v>
      </c>
      <c r="I126" s="21"/>
      <c r="J126" s="21"/>
      <c r="K126" s="21"/>
      <c r="L126" s="21"/>
      <c r="M126" s="21"/>
    </row>
    <row r="127" spans="1:13" s="24" customFormat="1" x14ac:dyDescent="0.25">
      <c r="A127" s="21"/>
      <c r="B127" s="17">
        <v>45803</v>
      </c>
      <c r="C127" s="410"/>
      <c r="D127" s="22" t="s">
        <v>110</v>
      </c>
      <c r="E127" s="18" t="s">
        <v>24</v>
      </c>
      <c r="F127" s="19" t="s">
        <v>6</v>
      </c>
      <c r="G127" s="18" t="s">
        <v>25</v>
      </c>
      <c r="H127" s="20" t="s">
        <v>26</v>
      </c>
      <c r="I127" s="21"/>
      <c r="J127" s="21"/>
      <c r="K127" s="21"/>
      <c r="L127" s="21"/>
      <c r="M127" s="21"/>
    </row>
    <row r="128" spans="1:13" s="24" customFormat="1" ht="31.5" x14ac:dyDescent="0.25">
      <c r="A128" s="21"/>
      <c r="B128" s="17">
        <v>45803</v>
      </c>
      <c r="C128" s="410"/>
      <c r="D128" s="22" t="s">
        <v>60</v>
      </c>
      <c r="E128" s="18" t="s">
        <v>24</v>
      </c>
      <c r="F128" s="19" t="s">
        <v>6</v>
      </c>
      <c r="G128" s="22" t="s">
        <v>151</v>
      </c>
      <c r="H128" s="23" t="s">
        <v>152</v>
      </c>
      <c r="I128" s="21"/>
      <c r="J128" s="21"/>
      <c r="K128" s="21"/>
      <c r="L128" s="21"/>
      <c r="M128" s="21"/>
    </row>
    <row r="129" spans="1:13" s="24" customFormat="1" ht="47.25" x14ac:dyDescent="0.25">
      <c r="A129" s="21"/>
      <c r="B129" s="17">
        <v>45804</v>
      </c>
      <c r="C129" s="410"/>
      <c r="D129" s="18" t="s">
        <v>27</v>
      </c>
      <c r="E129" s="18" t="s">
        <v>24</v>
      </c>
      <c r="F129" s="19" t="s">
        <v>6</v>
      </c>
      <c r="G129" s="18" t="s">
        <v>28</v>
      </c>
      <c r="H129" s="20" t="s">
        <v>29</v>
      </c>
      <c r="I129" s="21"/>
      <c r="J129" s="21"/>
      <c r="K129" s="21"/>
      <c r="L129" s="21"/>
      <c r="M129" s="21"/>
    </row>
    <row r="130" spans="1:13" s="24" customFormat="1" ht="31.5" x14ac:dyDescent="0.25">
      <c r="A130" s="21"/>
      <c r="B130" s="17">
        <v>45805</v>
      </c>
      <c r="C130" s="410"/>
      <c r="D130" s="22" t="s">
        <v>49</v>
      </c>
      <c r="E130" s="18" t="s">
        <v>24</v>
      </c>
      <c r="F130" s="19" t="s">
        <v>6</v>
      </c>
      <c r="G130" s="22" t="s">
        <v>50</v>
      </c>
      <c r="H130" s="23" t="s">
        <v>51</v>
      </c>
      <c r="I130" s="21"/>
      <c r="J130" s="21"/>
      <c r="K130" s="21"/>
      <c r="L130" s="21"/>
      <c r="M130" s="21"/>
    </row>
    <row r="131" spans="1:13" s="24" customFormat="1" x14ac:dyDescent="0.25">
      <c r="A131" s="21"/>
      <c r="B131" s="17">
        <v>45806</v>
      </c>
      <c r="C131" s="410"/>
      <c r="D131" s="22" t="s">
        <v>34</v>
      </c>
      <c r="E131" s="18" t="s">
        <v>24</v>
      </c>
      <c r="F131" s="19" t="s">
        <v>6</v>
      </c>
      <c r="G131" s="22" t="s">
        <v>146</v>
      </c>
      <c r="H131" s="23" t="s">
        <v>153</v>
      </c>
      <c r="I131" s="21"/>
      <c r="J131" s="21"/>
      <c r="K131" s="21"/>
      <c r="L131" s="21"/>
      <c r="M131" s="21"/>
    </row>
    <row r="132" spans="1:13" s="24" customFormat="1" x14ac:dyDescent="0.25">
      <c r="A132" s="21"/>
      <c r="B132" s="17">
        <v>45806</v>
      </c>
      <c r="C132" s="410"/>
      <c r="D132" s="22" t="s">
        <v>34</v>
      </c>
      <c r="E132" s="18" t="s">
        <v>24</v>
      </c>
      <c r="F132" s="19" t="s">
        <v>6</v>
      </c>
      <c r="G132" s="22" t="s">
        <v>146</v>
      </c>
      <c r="H132" s="23" t="s">
        <v>154</v>
      </c>
      <c r="I132" s="21"/>
      <c r="J132" s="21"/>
      <c r="K132" s="21"/>
      <c r="L132" s="21"/>
      <c r="M132" s="21"/>
    </row>
    <row r="133" spans="1:13" s="24" customFormat="1" x14ac:dyDescent="0.25">
      <c r="A133" s="21"/>
      <c r="B133" s="17">
        <v>45806</v>
      </c>
      <c r="C133" s="410"/>
      <c r="D133" s="22" t="s">
        <v>87</v>
      </c>
      <c r="E133" s="18" t="s">
        <v>24</v>
      </c>
      <c r="F133" s="19" t="s">
        <v>6</v>
      </c>
      <c r="G133" s="22" t="s">
        <v>155</v>
      </c>
      <c r="H133" s="23" t="s">
        <v>156</v>
      </c>
      <c r="I133" s="21"/>
      <c r="J133" s="21"/>
      <c r="K133" s="21"/>
      <c r="L133" s="21"/>
      <c r="M133" s="21"/>
    </row>
    <row r="134" spans="1:13" s="24" customFormat="1" ht="47.25" x14ac:dyDescent="0.25">
      <c r="A134" s="21"/>
      <c r="B134" s="17">
        <v>45807</v>
      </c>
      <c r="C134" s="410"/>
      <c r="D134" s="18" t="s">
        <v>27</v>
      </c>
      <c r="E134" s="18" t="s">
        <v>24</v>
      </c>
      <c r="F134" s="19" t="s">
        <v>6</v>
      </c>
      <c r="G134" s="18" t="s">
        <v>28</v>
      </c>
      <c r="H134" s="20" t="s">
        <v>29</v>
      </c>
      <c r="I134" s="21"/>
      <c r="J134" s="21"/>
      <c r="K134" s="21"/>
      <c r="L134" s="21"/>
      <c r="M134" s="21"/>
    </row>
    <row r="135" spans="1:13" s="24" customFormat="1" ht="31.5" x14ac:dyDescent="0.25">
      <c r="A135" s="21"/>
      <c r="B135" s="17">
        <v>45809</v>
      </c>
      <c r="C135" s="410"/>
      <c r="D135" s="22" t="s">
        <v>49</v>
      </c>
      <c r="E135" s="18" t="s">
        <v>24</v>
      </c>
      <c r="F135" s="19" t="s">
        <v>6</v>
      </c>
      <c r="G135" s="22" t="s">
        <v>50</v>
      </c>
      <c r="H135" s="23" t="s">
        <v>51</v>
      </c>
      <c r="I135" s="21"/>
      <c r="J135" s="21"/>
      <c r="K135" s="21"/>
      <c r="L135" s="21"/>
      <c r="M135" s="21"/>
    </row>
    <row r="136" spans="1:13" s="24" customFormat="1" x14ac:dyDescent="0.25">
      <c r="A136" s="21"/>
      <c r="B136" s="17">
        <v>45810</v>
      </c>
      <c r="C136" s="410"/>
      <c r="D136" s="22" t="s">
        <v>110</v>
      </c>
      <c r="E136" s="18" t="s">
        <v>24</v>
      </c>
      <c r="F136" s="19" t="s">
        <v>6</v>
      </c>
      <c r="G136" s="18" t="s">
        <v>25</v>
      </c>
      <c r="H136" s="20" t="s">
        <v>26</v>
      </c>
      <c r="I136" s="21"/>
      <c r="J136" s="21"/>
      <c r="K136" s="21"/>
      <c r="L136" s="21"/>
      <c r="M136" s="21"/>
    </row>
    <row r="137" spans="1:13" s="24" customFormat="1" ht="47.25" x14ac:dyDescent="0.25">
      <c r="A137" s="21"/>
      <c r="B137" s="17">
        <v>45810</v>
      </c>
      <c r="C137" s="410"/>
      <c r="D137" s="18" t="s">
        <v>27</v>
      </c>
      <c r="E137" s="18" t="s">
        <v>24</v>
      </c>
      <c r="F137" s="19" t="s">
        <v>6</v>
      </c>
      <c r="G137" s="18" t="s">
        <v>28</v>
      </c>
      <c r="H137" s="20" t="s">
        <v>29</v>
      </c>
      <c r="I137" s="21"/>
      <c r="J137" s="21"/>
      <c r="K137" s="21"/>
      <c r="L137" s="21"/>
      <c r="M137" s="21"/>
    </row>
    <row r="138" spans="1:13" s="24" customFormat="1" x14ac:dyDescent="0.25">
      <c r="A138" s="21"/>
      <c r="B138" s="17">
        <v>45811</v>
      </c>
      <c r="C138" s="410"/>
      <c r="D138" s="22" t="s">
        <v>34</v>
      </c>
      <c r="E138" s="18" t="s">
        <v>24</v>
      </c>
      <c r="F138" s="19" t="s">
        <v>6</v>
      </c>
      <c r="G138" s="22" t="s">
        <v>146</v>
      </c>
      <c r="H138" s="23" t="s">
        <v>157</v>
      </c>
      <c r="I138" s="21"/>
      <c r="J138" s="21"/>
      <c r="K138" s="21"/>
      <c r="L138" s="21"/>
      <c r="M138" s="21"/>
    </row>
    <row r="139" spans="1:13" s="24" customFormat="1" ht="31.5" x14ac:dyDescent="0.25">
      <c r="A139" s="21"/>
      <c r="B139" s="17">
        <v>45811</v>
      </c>
      <c r="C139" s="410"/>
      <c r="D139" s="22" t="s">
        <v>49</v>
      </c>
      <c r="E139" s="18" t="s">
        <v>24</v>
      </c>
      <c r="F139" s="19" t="s">
        <v>6</v>
      </c>
      <c r="G139" s="22" t="s">
        <v>50</v>
      </c>
      <c r="H139" s="23" t="s">
        <v>51</v>
      </c>
      <c r="I139" s="21"/>
      <c r="J139" s="21"/>
      <c r="K139" s="21"/>
      <c r="L139" s="21"/>
      <c r="M139" s="21"/>
    </row>
    <row r="140" spans="1:13" s="24" customFormat="1" ht="31.5" x14ac:dyDescent="0.25">
      <c r="A140" s="21"/>
      <c r="B140" s="17">
        <v>45812</v>
      </c>
      <c r="C140" s="410"/>
      <c r="D140" s="22" t="s">
        <v>49</v>
      </c>
      <c r="E140" s="18" t="s">
        <v>24</v>
      </c>
      <c r="F140" s="19" t="s">
        <v>4</v>
      </c>
      <c r="G140" s="22" t="s">
        <v>158</v>
      </c>
      <c r="H140" s="23" t="s">
        <v>159</v>
      </c>
      <c r="I140" s="21"/>
      <c r="J140" s="21"/>
      <c r="K140" s="21"/>
      <c r="L140" s="21"/>
      <c r="M140" s="21"/>
    </row>
    <row r="141" spans="1:13" s="24" customFormat="1" ht="31.5" x14ac:dyDescent="0.25">
      <c r="A141" s="21"/>
      <c r="B141" s="17">
        <v>45812</v>
      </c>
      <c r="C141" s="410"/>
      <c r="D141" s="22" t="s">
        <v>49</v>
      </c>
      <c r="E141" s="18" t="s">
        <v>24</v>
      </c>
      <c r="F141" s="19" t="s">
        <v>6</v>
      </c>
      <c r="G141" s="22" t="s">
        <v>160</v>
      </c>
      <c r="H141" s="23" t="s">
        <v>161</v>
      </c>
      <c r="I141" s="21"/>
      <c r="J141" s="21"/>
      <c r="K141" s="21"/>
      <c r="L141" s="21"/>
      <c r="M141" s="21"/>
    </row>
    <row r="142" spans="1:13" s="24" customFormat="1" x14ac:dyDescent="0.25">
      <c r="A142" s="21"/>
      <c r="B142" s="17">
        <v>45813</v>
      </c>
      <c r="C142" s="410"/>
      <c r="D142" s="22" t="s">
        <v>162</v>
      </c>
      <c r="E142" s="18" t="s">
        <v>24</v>
      </c>
      <c r="F142" s="19" t="s">
        <v>4</v>
      </c>
      <c r="G142" s="22" t="s">
        <v>163</v>
      </c>
      <c r="H142" s="23" t="s">
        <v>164</v>
      </c>
      <c r="I142" s="21"/>
      <c r="J142" s="21"/>
      <c r="K142" s="21"/>
      <c r="L142" s="21"/>
      <c r="M142" s="21"/>
    </row>
    <row r="143" spans="1:13" s="24" customFormat="1" ht="31.5" x14ac:dyDescent="0.25">
      <c r="A143" s="21"/>
      <c r="B143" s="17">
        <v>45813</v>
      </c>
      <c r="C143" s="410"/>
      <c r="D143" s="22" t="s">
        <v>49</v>
      </c>
      <c r="E143" s="18" t="s">
        <v>24</v>
      </c>
      <c r="F143" s="19" t="s">
        <v>6</v>
      </c>
      <c r="G143" s="22" t="s">
        <v>50</v>
      </c>
      <c r="H143" s="23" t="s">
        <v>51</v>
      </c>
      <c r="I143" s="21"/>
      <c r="J143" s="21"/>
      <c r="K143" s="21"/>
      <c r="L143" s="21"/>
      <c r="M143" s="21"/>
    </row>
    <row r="144" spans="1:13" s="24" customFormat="1" x14ac:dyDescent="0.25">
      <c r="A144" s="21"/>
      <c r="B144" s="17">
        <v>45814</v>
      </c>
      <c r="C144" s="410"/>
      <c r="D144" s="22" t="s">
        <v>93</v>
      </c>
      <c r="E144" s="18" t="s">
        <v>24</v>
      </c>
      <c r="F144" s="19" t="s">
        <v>4</v>
      </c>
      <c r="G144" s="22" t="s">
        <v>165</v>
      </c>
      <c r="H144" s="23" t="s">
        <v>166</v>
      </c>
      <c r="I144" s="21"/>
      <c r="J144" s="21"/>
      <c r="K144" s="21"/>
      <c r="L144" s="21"/>
      <c r="M144" s="21"/>
    </row>
    <row r="145" spans="1:13" s="24" customFormat="1" ht="31.5" x14ac:dyDescent="0.25">
      <c r="A145" s="21"/>
      <c r="B145" s="17">
        <v>45814</v>
      </c>
      <c r="C145" s="410"/>
      <c r="D145" s="22" t="s">
        <v>49</v>
      </c>
      <c r="E145" s="18" t="s">
        <v>24</v>
      </c>
      <c r="F145" s="19" t="s">
        <v>6</v>
      </c>
      <c r="G145" s="22" t="s">
        <v>50</v>
      </c>
      <c r="H145" s="23" t="s">
        <v>51</v>
      </c>
      <c r="I145" s="21"/>
      <c r="J145" s="21"/>
      <c r="K145" s="21"/>
      <c r="L145" s="21"/>
      <c r="M145" s="21"/>
    </row>
    <row r="146" spans="1:13" s="24" customFormat="1" x14ac:dyDescent="0.25">
      <c r="A146" s="21"/>
      <c r="B146" s="17">
        <v>45817</v>
      </c>
      <c r="C146" s="410"/>
      <c r="D146" s="18" t="s">
        <v>27</v>
      </c>
      <c r="E146" s="18" t="s">
        <v>24</v>
      </c>
      <c r="F146" s="19" t="s">
        <v>4</v>
      </c>
      <c r="G146" s="22" t="s">
        <v>44</v>
      </c>
      <c r="H146" s="23" t="s">
        <v>45</v>
      </c>
      <c r="I146" s="21"/>
      <c r="J146" s="21"/>
      <c r="K146" s="21"/>
      <c r="L146" s="21"/>
      <c r="M146" s="21"/>
    </row>
    <row r="147" spans="1:13" s="24" customFormat="1" x14ac:dyDescent="0.25">
      <c r="A147" s="21"/>
      <c r="B147" s="17">
        <v>45817</v>
      </c>
      <c r="C147" s="411"/>
      <c r="D147" s="22" t="s">
        <v>105</v>
      </c>
      <c r="E147" s="18" t="s">
        <v>24</v>
      </c>
      <c r="F147" s="19" t="s">
        <v>6</v>
      </c>
      <c r="G147" s="18" t="s">
        <v>25</v>
      </c>
      <c r="H147" s="20" t="s">
        <v>26</v>
      </c>
      <c r="I147" s="21"/>
      <c r="J147" s="21"/>
      <c r="K147" s="21"/>
      <c r="L147" s="21"/>
      <c r="M147" s="21"/>
    </row>
    <row r="148" spans="1:13" s="24" customFormat="1" ht="31.5" x14ac:dyDescent="0.25">
      <c r="A148" s="21"/>
      <c r="B148" s="17">
        <v>45818</v>
      </c>
      <c r="C148" s="409">
        <v>45809</v>
      </c>
      <c r="D148" s="18" t="s">
        <v>27</v>
      </c>
      <c r="E148" s="18" t="s">
        <v>24</v>
      </c>
      <c r="F148" s="19" t="s">
        <v>4</v>
      </c>
      <c r="G148" s="22" t="s">
        <v>167</v>
      </c>
      <c r="H148" s="23" t="s">
        <v>168</v>
      </c>
      <c r="I148" s="21"/>
      <c r="J148" s="21"/>
      <c r="K148" s="21"/>
      <c r="L148" s="21"/>
      <c r="M148" s="21"/>
    </row>
    <row r="149" spans="1:13" s="24" customFormat="1" x14ac:dyDescent="0.25">
      <c r="A149" s="21"/>
      <c r="B149" s="17">
        <v>45818</v>
      </c>
      <c r="C149" s="410"/>
      <c r="D149" s="18" t="s">
        <v>27</v>
      </c>
      <c r="E149" s="18" t="s">
        <v>24</v>
      </c>
      <c r="F149" s="19" t="s">
        <v>4</v>
      </c>
      <c r="G149" s="22" t="s">
        <v>165</v>
      </c>
      <c r="H149" s="23" t="s">
        <v>169</v>
      </c>
      <c r="I149" s="21"/>
      <c r="J149" s="21"/>
      <c r="K149" s="21"/>
      <c r="L149" s="21"/>
      <c r="M149" s="21"/>
    </row>
    <row r="150" spans="1:13" s="24" customFormat="1" ht="47.25" x14ac:dyDescent="0.25">
      <c r="A150" s="21"/>
      <c r="B150" s="17">
        <v>45819</v>
      </c>
      <c r="C150" s="410"/>
      <c r="D150" s="18" t="s">
        <v>27</v>
      </c>
      <c r="E150" s="18" t="s">
        <v>24</v>
      </c>
      <c r="F150" s="19" t="s">
        <v>6</v>
      </c>
      <c r="G150" s="18" t="s">
        <v>28</v>
      </c>
      <c r="H150" s="20" t="s">
        <v>29</v>
      </c>
      <c r="I150" s="21"/>
      <c r="J150" s="21"/>
      <c r="K150" s="21"/>
      <c r="L150" s="21"/>
      <c r="M150" s="21"/>
    </row>
    <row r="151" spans="1:13" s="24" customFormat="1" ht="31.5" x14ac:dyDescent="0.25">
      <c r="A151" s="21"/>
      <c r="B151" s="17">
        <v>45819</v>
      </c>
      <c r="C151" s="410"/>
      <c r="D151" s="22" t="s">
        <v>49</v>
      </c>
      <c r="E151" s="18" t="s">
        <v>24</v>
      </c>
      <c r="F151" s="19" t="s">
        <v>6</v>
      </c>
      <c r="G151" s="22" t="s">
        <v>50</v>
      </c>
      <c r="H151" s="23" t="s">
        <v>51</v>
      </c>
      <c r="I151" s="21"/>
      <c r="J151" s="21"/>
      <c r="K151" s="21"/>
      <c r="L151" s="21"/>
      <c r="M151" s="21"/>
    </row>
    <row r="152" spans="1:13" s="24" customFormat="1" x14ac:dyDescent="0.25">
      <c r="A152" s="42"/>
      <c r="B152" s="17">
        <v>45820</v>
      </c>
      <c r="C152" s="410"/>
      <c r="D152" s="18" t="s">
        <v>27</v>
      </c>
      <c r="E152" s="18" t="s">
        <v>24</v>
      </c>
      <c r="F152" s="19" t="s">
        <v>4</v>
      </c>
      <c r="G152" s="22" t="s">
        <v>167</v>
      </c>
      <c r="H152" s="23" t="s">
        <v>170</v>
      </c>
      <c r="I152" s="21"/>
      <c r="J152" s="21"/>
      <c r="K152" s="21"/>
      <c r="L152" s="21"/>
      <c r="M152" s="21"/>
    </row>
    <row r="153" spans="1:13" s="24" customFormat="1" ht="31.5" x14ac:dyDescent="0.25">
      <c r="A153" s="21"/>
      <c r="B153" s="17">
        <v>45820</v>
      </c>
      <c r="C153" s="410"/>
      <c r="D153" s="22" t="s">
        <v>49</v>
      </c>
      <c r="E153" s="18" t="s">
        <v>24</v>
      </c>
      <c r="F153" s="19" t="s">
        <v>6</v>
      </c>
      <c r="G153" s="22" t="s">
        <v>50</v>
      </c>
      <c r="H153" s="23" t="s">
        <v>51</v>
      </c>
      <c r="I153" s="21"/>
      <c r="J153" s="21"/>
      <c r="K153" s="21"/>
      <c r="L153" s="21"/>
      <c r="M153" s="21"/>
    </row>
    <row r="154" spans="1:13" s="24" customFormat="1" ht="31.5" x14ac:dyDescent="0.25">
      <c r="A154" s="21"/>
      <c r="B154" s="17">
        <v>45821</v>
      </c>
      <c r="C154" s="410"/>
      <c r="D154" s="22" t="s">
        <v>49</v>
      </c>
      <c r="E154" s="18" t="s">
        <v>24</v>
      </c>
      <c r="F154" s="19" t="s">
        <v>6</v>
      </c>
      <c r="G154" s="22" t="s">
        <v>50</v>
      </c>
      <c r="H154" s="23" t="s">
        <v>51</v>
      </c>
      <c r="I154" s="21"/>
      <c r="J154" s="21"/>
      <c r="K154" s="21"/>
      <c r="L154" s="21"/>
      <c r="M154" s="21"/>
    </row>
    <row r="155" spans="1:13" s="24" customFormat="1" x14ac:dyDescent="0.25">
      <c r="A155" s="21"/>
      <c r="B155" s="17">
        <v>45824</v>
      </c>
      <c r="C155" s="410"/>
      <c r="D155" s="22" t="s">
        <v>23</v>
      </c>
      <c r="E155" s="18" t="s">
        <v>24</v>
      </c>
      <c r="F155" s="19" t="s">
        <v>6</v>
      </c>
      <c r="G155" s="18" t="s">
        <v>25</v>
      </c>
      <c r="H155" s="20" t="s">
        <v>26</v>
      </c>
      <c r="I155" s="21"/>
      <c r="J155" s="21"/>
      <c r="K155" s="21"/>
      <c r="L155" s="21"/>
      <c r="M155" s="21"/>
    </row>
    <row r="156" spans="1:13" s="24" customFormat="1" ht="31.5" x14ac:dyDescent="0.25">
      <c r="A156" s="21"/>
      <c r="B156" s="17">
        <v>45824</v>
      </c>
      <c r="C156" s="410"/>
      <c r="D156" s="22" t="s">
        <v>49</v>
      </c>
      <c r="E156" s="18" t="s">
        <v>24</v>
      </c>
      <c r="F156" s="19" t="s">
        <v>6</v>
      </c>
      <c r="G156" s="22" t="s">
        <v>50</v>
      </c>
      <c r="H156" s="23" t="s">
        <v>51</v>
      </c>
      <c r="I156" s="21"/>
      <c r="J156" s="21"/>
      <c r="K156" s="21"/>
      <c r="L156" s="21"/>
      <c r="M156" s="21"/>
    </row>
    <row r="157" spans="1:13" s="24" customFormat="1" ht="31.5" x14ac:dyDescent="0.25">
      <c r="A157" s="21"/>
      <c r="B157" s="17">
        <v>45825</v>
      </c>
      <c r="C157" s="410"/>
      <c r="D157" s="22" t="s">
        <v>171</v>
      </c>
      <c r="E157" s="18" t="s">
        <v>24</v>
      </c>
      <c r="F157" s="19" t="s">
        <v>4</v>
      </c>
      <c r="G157" s="22" t="s">
        <v>172</v>
      </c>
      <c r="H157" s="23" t="s">
        <v>173</v>
      </c>
      <c r="I157" s="21"/>
      <c r="J157" s="21"/>
      <c r="K157" s="21"/>
      <c r="L157" s="21"/>
      <c r="M157" s="21"/>
    </row>
    <row r="158" spans="1:13" s="24" customFormat="1" x14ac:dyDescent="0.25">
      <c r="A158" s="21"/>
      <c r="B158" s="17">
        <v>45826</v>
      </c>
      <c r="C158" s="410"/>
      <c r="D158" s="18" t="s">
        <v>27</v>
      </c>
      <c r="E158" s="18" t="s">
        <v>24</v>
      </c>
      <c r="F158" s="19" t="s">
        <v>4</v>
      </c>
      <c r="G158" s="22" t="s">
        <v>44</v>
      </c>
      <c r="H158" s="23" t="s">
        <v>45</v>
      </c>
      <c r="I158" s="21"/>
      <c r="J158" s="21"/>
      <c r="K158" s="21"/>
      <c r="L158" s="21"/>
      <c r="M158" s="21"/>
    </row>
    <row r="159" spans="1:13" s="24" customFormat="1" x14ac:dyDescent="0.25">
      <c r="A159" s="21"/>
      <c r="B159" s="17">
        <v>45826</v>
      </c>
      <c r="C159" s="410"/>
      <c r="D159" s="22" t="s">
        <v>34</v>
      </c>
      <c r="E159" s="18" t="s">
        <v>24</v>
      </c>
      <c r="F159" s="19" t="s">
        <v>6</v>
      </c>
      <c r="G159" s="22" t="s">
        <v>146</v>
      </c>
      <c r="H159" s="23" t="s">
        <v>174</v>
      </c>
      <c r="I159" s="21"/>
      <c r="J159" s="21"/>
      <c r="K159" s="21"/>
      <c r="L159" s="21"/>
      <c r="M159" s="21"/>
    </row>
    <row r="160" spans="1:13" s="24" customFormat="1" ht="31.5" x14ac:dyDescent="0.25">
      <c r="A160" s="21"/>
      <c r="B160" s="17">
        <v>45826</v>
      </c>
      <c r="C160" s="410"/>
      <c r="D160" s="22" t="s">
        <v>34</v>
      </c>
      <c r="E160" s="18" t="s">
        <v>24</v>
      </c>
      <c r="F160" s="19" t="s">
        <v>6</v>
      </c>
      <c r="G160" s="22" t="s">
        <v>146</v>
      </c>
      <c r="H160" s="23" t="s">
        <v>175</v>
      </c>
      <c r="I160" s="21"/>
      <c r="J160" s="21"/>
      <c r="K160" s="21"/>
      <c r="L160" s="21"/>
      <c r="M160" s="21"/>
    </row>
    <row r="161" spans="1:13" s="24" customFormat="1" ht="31.5" x14ac:dyDescent="0.25">
      <c r="A161" s="21"/>
      <c r="B161" s="17">
        <v>45827</v>
      </c>
      <c r="C161" s="410"/>
      <c r="D161" s="22" t="s">
        <v>49</v>
      </c>
      <c r="E161" s="18" t="s">
        <v>24</v>
      </c>
      <c r="F161" s="19" t="s">
        <v>6</v>
      </c>
      <c r="G161" s="22" t="s">
        <v>50</v>
      </c>
      <c r="H161" s="23" t="s">
        <v>51</v>
      </c>
      <c r="I161" s="21"/>
      <c r="J161" s="21"/>
      <c r="K161" s="21"/>
      <c r="L161" s="21"/>
      <c r="M161" s="21"/>
    </row>
    <row r="162" spans="1:13" s="24" customFormat="1" x14ac:dyDescent="0.25">
      <c r="A162" s="21"/>
      <c r="B162" s="17">
        <v>45827</v>
      </c>
      <c r="C162" s="410"/>
      <c r="D162" s="22" t="s">
        <v>60</v>
      </c>
      <c r="E162" s="18" t="s">
        <v>24</v>
      </c>
      <c r="F162" s="19" t="s">
        <v>4</v>
      </c>
      <c r="G162" s="22" t="s">
        <v>176</v>
      </c>
      <c r="H162" s="23" t="s">
        <v>177</v>
      </c>
      <c r="I162" s="21"/>
      <c r="J162" s="21"/>
      <c r="K162" s="21"/>
      <c r="L162" s="21"/>
      <c r="M162" s="21"/>
    </row>
    <row r="163" spans="1:13" s="24" customFormat="1" ht="31.5" x14ac:dyDescent="0.25">
      <c r="A163" s="21"/>
      <c r="B163" s="17">
        <v>45831</v>
      </c>
      <c r="C163" s="410"/>
      <c r="D163" s="22" t="s">
        <v>49</v>
      </c>
      <c r="E163" s="18" t="s">
        <v>24</v>
      </c>
      <c r="F163" s="19" t="s">
        <v>6</v>
      </c>
      <c r="G163" s="22" t="s">
        <v>50</v>
      </c>
      <c r="H163" s="23" t="s">
        <v>51</v>
      </c>
      <c r="I163" s="21"/>
      <c r="J163" s="21"/>
      <c r="K163" s="21"/>
      <c r="L163" s="21"/>
      <c r="M163" s="21"/>
    </row>
    <row r="164" spans="1:13" s="24" customFormat="1" x14ac:dyDescent="0.25">
      <c r="A164" s="21"/>
      <c r="B164" s="17">
        <v>45831</v>
      </c>
      <c r="C164" s="410"/>
      <c r="D164" s="22" t="s">
        <v>23</v>
      </c>
      <c r="E164" s="18" t="s">
        <v>24</v>
      </c>
      <c r="F164" s="19" t="s">
        <v>6</v>
      </c>
      <c r="G164" s="18" t="s">
        <v>25</v>
      </c>
      <c r="H164" s="20" t="s">
        <v>26</v>
      </c>
      <c r="I164" s="21"/>
      <c r="J164" s="21"/>
      <c r="K164" s="21"/>
      <c r="L164" s="21"/>
      <c r="M164" s="21"/>
    </row>
    <row r="165" spans="1:13" s="24" customFormat="1" ht="31.5" x14ac:dyDescent="0.25">
      <c r="A165" s="21"/>
      <c r="B165" s="17">
        <v>45832</v>
      </c>
      <c r="C165" s="410"/>
      <c r="D165" s="22" t="s">
        <v>60</v>
      </c>
      <c r="E165" s="18" t="s">
        <v>24</v>
      </c>
      <c r="F165" s="19" t="s">
        <v>4</v>
      </c>
      <c r="G165" s="22" t="s">
        <v>172</v>
      </c>
      <c r="H165" s="23" t="s">
        <v>173</v>
      </c>
      <c r="I165" s="21"/>
      <c r="J165" s="21"/>
      <c r="K165" s="21"/>
      <c r="L165" s="21"/>
      <c r="M165" s="21"/>
    </row>
    <row r="166" spans="1:13" s="24" customFormat="1" x14ac:dyDescent="0.25">
      <c r="A166" s="21"/>
      <c r="B166" s="17">
        <v>45833</v>
      </c>
      <c r="C166" s="410"/>
      <c r="D166" s="22" t="s">
        <v>162</v>
      </c>
      <c r="E166" s="18" t="s">
        <v>24</v>
      </c>
      <c r="F166" s="19" t="s">
        <v>4</v>
      </c>
      <c r="G166" s="22" t="s">
        <v>178</v>
      </c>
      <c r="H166" s="23" t="s">
        <v>179</v>
      </c>
      <c r="I166" s="21"/>
      <c r="J166" s="21"/>
      <c r="K166" s="21"/>
      <c r="L166" s="21"/>
      <c r="M166" s="21"/>
    </row>
    <row r="167" spans="1:13" s="24" customFormat="1" ht="31.5" x14ac:dyDescent="0.25">
      <c r="A167" s="21"/>
      <c r="B167" s="17">
        <v>45834</v>
      </c>
      <c r="C167" s="410"/>
      <c r="D167" s="22" t="s">
        <v>49</v>
      </c>
      <c r="E167" s="18" t="s">
        <v>24</v>
      </c>
      <c r="F167" s="19" t="s">
        <v>6</v>
      </c>
      <c r="G167" s="22" t="s">
        <v>50</v>
      </c>
      <c r="H167" s="23" t="s">
        <v>51</v>
      </c>
      <c r="I167" s="21"/>
      <c r="J167" s="21"/>
      <c r="K167" s="21"/>
      <c r="L167" s="21"/>
      <c r="M167" s="21"/>
    </row>
    <row r="168" spans="1:13" s="24" customFormat="1" x14ac:dyDescent="0.25">
      <c r="A168" s="21"/>
      <c r="B168" s="17">
        <v>45834</v>
      </c>
      <c r="C168" s="410"/>
      <c r="D168" s="18" t="s">
        <v>34</v>
      </c>
      <c r="E168" s="18" t="s">
        <v>24</v>
      </c>
      <c r="F168" s="19" t="s">
        <v>6</v>
      </c>
      <c r="G168" s="18" t="s">
        <v>35</v>
      </c>
      <c r="H168" s="23" t="s">
        <v>180</v>
      </c>
      <c r="I168" s="21"/>
      <c r="J168" s="21"/>
      <c r="K168" s="21"/>
      <c r="L168" s="21"/>
      <c r="M168" s="21"/>
    </row>
    <row r="169" spans="1:13" s="24" customFormat="1" x14ac:dyDescent="0.25">
      <c r="A169" s="21"/>
      <c r="B169" s="17">
        <v>45835</v>
      </c>
      <c r="C169" s="410"/>
      <c r="D169" s="22" t="s">
        <v>148</v>
      </c>
      <c r="E169" s="18" t="s">
        <v>24</v>
      </c>
      <c r="F169" s="19" t="s">
        <v>6</v>
      </c>
      <c r="G169" s="22" t="s">
        <v>149</v>
      </c>
      <c r="H169" s="23" t="s">
        <v>150</v>
      </c>
      <c r="I169" s="21"/>
      <c r="J169" s="21"/>
      <c r="K169" s="21"/>
      <c r="L169" s="21"/>
      <c r="M169" s="21"/>
    </row>
    <row r="170" spans="1:13" s="24" customFormat="1" ht="31.5" x14ac:dyDescent="0.25">
      <c r="A170" s="21"/>
      <c r="B170" s="17">
        <v>45835</v>
      </c>
      <c r="C170" s="410"/>
      <c r="D170" s="22" t="s">
        <v>49</v>
      </c>
      <c r="E170" s="18" t="s">
        <v>24</v>
      </c>
      <c r="F170" s="19" t="s">
        <v>6</v>
      </c>
      <c r="G170" s="22" t="s">
        <v>50</v>
      </c>
      <c r="H170" s="23" t="s">
        <v>51</v>
      </c>
      <c r="I170" s="21"/>
      <c r="J170" s="21"/>
      <c r="K170" s="21"/>
      <c r="L170" s="21"/>
      <c r="M170" s="21"/>
    </row>
    <row r="171" spans="1:13" s="24" customFormat="1" x14ac:dyDescent="0.25">
      <c r="A171" s="21"/>
      <c r="B171" s="17">
        <v>45835</v>
      </c>
      <c r="C171" s="410"/>
      <c r="D171" s="18" t="s">
        <v>27</v>
      </c>
      <c r="E171" s="18" t="s">
        <v>24</v>
      </c>
      <c r="F171" s="19" t="s">
        <v>4</v>
      </c>
      <c r="G171" s="22" t="s">
        <v>44</v>
      </c>
      <c r="H171" s="23" t="s">
        <v>45</v>
      </c>
      <c r="I171" s="21"/>
      <c r="J171" s="21"/>
      <c r="K171" s="21"/>
      <c r="L171" s="21"/>
      <c r="M171" s="21"/>
    </row>
    <row r="172" spans="1:13" s="24" customFormat="1" x14ac:dyDescent="0.25">
      <c r="A172" s="21"/>
      <c r="B172" s="17">
        <v>45838</v>
      </c>
      <c r="C172" s="410"/>
      <c r="D172" s="22" t="s">
        <v>105</v>
      </c>
      <c r="E172" s="18" t="s">
        <v>24</v>
      </c>
      <c r="F172" s="19" t="s">
        <v>6</v>
      </c>
      <c r="G172" s="18" t="s">
        <v>25</v>
      </c>
      <c r="H172" s="20" t="s">
        <v>26</v>
      </c>
      <c r="I172" s="21"/>
      <c r="J172" s="21"/>
      <c r="K172" s="21"/>
      <c r="L172" s="21"/>
      <c r="M172" s="21"/>
    </row>
    <row r="173" spans="1:13" s="24" customFormat="1" ht="31.5" x14ac:dyDescent="0.25">
      <c r="A173" s="21"/>
      <c r="B173" s="17">
        <v>45838</v>
      </c>
      <c r="C173" s="410"/>
      <c r="D173" s="22" t="s">
        <v>52</v>
      </c>
      <c r="E173" s="22" t="s">
        <v>24</v>
      </c>
      <c r="F173" s="19" t="s">
        <v>4</v>
      </c>
      <c r="G173" s="22" t="s">
        <v>181</v>
      </c>
      <c r="H173" s="23" t="s">
        <v>182</v>
      </c>
      <c r="I173" s="21"/>
      <c r="J173" s="21"/>
      <c r="K173" s="21"/>
      <c r="L173" s="21"/>
      <c r="M173" s="21"/>
    </row>
    <row r="174" spans="1:13" s="24" customFormat="1" x14ac:dyDescent="0.25">
      <c r="A174" s="21"/>
      <c r="B174" s="17">
        <v>45839</v>
      </c>
      <c r="C174" s="410"/>
      <c r="D174" s="18" t="s">
        <v>68</v>
      </c>
      <c r="E174" s="18" t="s">
        <v>24</v>
      </c>
      <c r="F174" s="19" t="s">
        <v>6</v>
      </c>
      <c r="G174" s="18" t="s">
        <v>25</v>
      </c>
      <c r="H174" s="20" t="s">
        <v>69</v>
      </c>
      <c r="I174" s="21"/>
      <c r="J174" s="21"/>
      <c r="K174" s="21"/>
      <c r="L174" s="21"/>
      <c r="M174" s="21"/>
    </row>
    <row r="175" spans="1:13" s="24" customFormat="1" ht="31.5" x14ac:dyDescent="0.25">
      <c r="A175" s="21"/>
      <c r="B175" s="17">
        <v>45839</v>
      </c>
      <c r="C175" s="410"/>
      <c r="D175" s="22" t="s">
        <v>140</v>
      </c>
      <c r="E175" s="22" t="s">
        <v>24</v>
      </c>
      <c r="F175" s="19" t="s">
        <v>4</v>
      </c>
      <c r="G175" s="22" t="s">
        <v>183</v>
      </c>
      <c r="H175" s="23" t="s">
        <v>184</v>
      </c>
      <c r="I175" s="21"/>
      <c r="J175" s="21"/>
      <c r="K175" s="21"/>
      <c r="L175" s="21"/>
      <c r="M175" s="21"/>
    </row>
    <row r="176" spans="1:13" s="24" customFormat="1" x14ac:dyDescent="0.25">
      <c r="A176" s="21"/>
      <c r="B176" s="17">
        <v>45839</v>
      </c>
      <c r="C176" s="410"/>
      <c r="D176" s="22" t="s">
        <v>110</v>
      </c>
      <c r="E176" s="18" t="s">
        <v>24</v>
      </c>
      <c r="F176" s="19" t="s">
        <v>6</v>
      </c>
      <c r="G176" s="18" t="s">
        <v>25</v>
      </c>
      <c r="H176" s="20" t="s">
        <v>26</v>
      </c>
      <c r="I176" s="21"/>
      <c r="J176" s="21"/>
      <c r="K176" s="21"/>
      <c r="L176" s="21"/>
      <c r="M176" s="21"/>
    </row>
    <row r="177" spans="1:13" s="24" customFormat="1" ht="16.5" customHeight="1" x14ac:dyDescent="0.25">
      <c r="A177" s="21"/>
      <c r="B177" s="17">
        <v>45840</v>
      </c>
      <c r="C177" s="410"/>
      <c r="D177" s="22" t="s">
        <v>49</v>
      </c>
      <c r="E177" s="18" t="s">
        <v>24</v>
      </c>
      <c r="F177" s="19" t="s">
        <v>6</v>
      </c>
      <c r="G177" s="22" t="s">
        <v>50</v>
      </c>
      <c r="H177" s="23" t="s">
        <v>51</v>
      </c>
      <c r="I177" s="21"/>
      <c r="J177" s="21"/>
      <c r="K177" s="21"/>
      <c r="L177" s="21"/>
      <c r="M177" s="21"/>
    </row>
    <row r="178" spans="1:13" s="24" customFormat="1" ht="31.5" x14ac:dyDescent="0.25">
      <c r="A178" s="21"/>
      <c r="B178" s="17">
        <v>45841</v>
      </c>
      <c r="C178" s="410"/>
      <c r="D178" s="22" t="s">
        <v>185</v>
      </c>
      <c r="E178" s="18" t="s">
        <v>24</v>
      </c>
      <c r="F178" s="19" t="s">
        <v>4</v>
      </c>
      <c r="G178" s="22" t="s">
        <v>167</v>
      </c>
      <c r="H178" s="23" t="s">
        <v>168</v>
      </c>
      <c r="I178" s="21"/>
      <c r="J178" s="21"/>
      <c r="K178" s="21"/>
      <c r="L178" s="21"/>
      <c r="M178" s="21"/>
    </row>
    <row r="179" spans="1:13" s="24" customFormat="1" ht="31.5" x14ac:dyDescent="0.25">
      <c r="A179" s="21"/>
      <c r="B179" s="17">
        <v>45841</v>
      </c>
      <c r="C179" s="410"/>
      <c r="D179" s="22" t="s">
        <v>49</v>
      </c>
      <c r="E179" s="18" t="s">
        <v>24</v>
      </c>
      <c r="F179" s="19" t="s">
        <v>6</v>
      </c>
      <c r="G179" s="22" t="s">
        <v>50</v>
      </c>
      <c r="H179" s="23" t="s">
        <v>51</v>
      </c>
      <c r="I179" s="21"/>
      <c r="J179" s="21"/>
      <c r="K179" s="21"/>
      <c r="L179" s="21"/>
      <c r="M179" s="21"/>
    </row>
    <row r="180" spans="1:13" s="24" customFormat="1" x14ac:dyDescent="0.25">
      <c r="A180" s="21"/>
      <c r="B180" s="17">
        <v>45841</v>
      </c>
      <c r="C180" s="410"/>
      <c r="D180" s="18" t="s">
        <v>34</v>
      </c>
      <c r="E180" s="18" t="s">
        <v>24</v>
      </c>
      <c r="F180" s="19" t="s">
        <v>6</v>
      </c>
      <c r="G180" s="18" t="s">
        <v>35</v>
      </c>
      <c r="H180" s="20" t="s">
        <v>186</v>
      </c>
      <c r="I180" s="21"/>
      <c r="J180" s="21"/>
      <c r="K180" s="21"/>
      <c r="L180" s="21"/>
      <c r="M180" s="21"/>
    </row>
    <row r="181" spans="1:13" s="24" customFormat="1" ht="31.5" x14ac:dyDescent="0.25">
      <c r="A181" s="21"/>
      <c r="B181" s="17">
        <v>45842</v>
      </c>
      <c r="C181" s="410"/>
      <c r="D181" s="22" t="s">
        <v>49</v>
      </c>
      <c r="E181" s="18" t="s">
        <v>24</v>
      </c>
      <c r="F181" s="19" t="s">
        <v>6</v>
      </c>
      <c r="G181" s="22" t="s">
        <v>50</v>
      </c>
      <c r="H181" s="23" t="s">
        <v>51</v>
      </c>
      <c r="I181" s="21"/>
      <c r="J181" s="21"/>
      <c r="K181" s="21"/>
      <c r="L181" s="21"/>
      <c r="M181" s="21"/>
    </row>
    <row r="182" spans="1:13" s="24" customFormat="1" x14ac:dyDescent="0.25">
      <c r="A182" s="21"/>
      <c r="B182" s="61">
        <v>45843</v>
      </c>
      <c r="C182" s="410"/>
      <c r="D182" s="22" t="s">
        <v>120</v>
      </c>
      <c r="E182" s="18" t="s">
        <v>24</v>
      </c>
      <c r="F182" s="19" t="s">
        <v>6</v>
      </c>
      <c r="G182" s="22" t="s">
        <v>187</v>
      </c>
      <c r="H182" s="23" t="s">
        <v>188</v>
      </c>
      <c r="I182" s="21"/>
      <c r="J182" s="21"/>
      <c r="K182" s="21"/>
      <c r="L182" s="21"/>
      <c r="M182" s="21"/>
    </row>
    <row r="183" spans="1:13" s="24" customFormat="1" x14ac:dyDescent="0.25">
      <c r="A183" s="21"/>
      <c r="B183" s="17">
        <v>45845</v>
      </c>
      <c r="C183" s="410"/>
      <c r="D183" s="18" t="s">
        <v>68</v>
      </c>
      <c r="E183" s="18" t="s">
        <v>24</v>
      </c>
      <c r="F183" s="19" t="s">
        <v>6</v>
      </c>
      <c r="G183" s="18" t="s">
        <v>25</v>
      </c>
      <c r="H183" s="20" t="s">
        <v>69</v>
      </c>
      <c r="I183" s="21"/>
      <c r="J183" s="21"/>
      <c r="K183" s="21"/>
      <c r="L183" s="21"/>
      <c r="M183" s="21"/>
    </row>
    <row r="184" spans="1:13" s="24" customFormat="1" x14ac:dyDescent="0.25">
      <c r="A184" s="21"/>
      <c r="B184" s="17">
        <v>45845</v>
      </c>
      <c r="C184" s="410"/>
      <c r="D184" s="22" t="s">
        <v>110</v>
      </c>
      <c r="E184" s="18" t="s">
        <v>24</v>
      </c>
      <c r="F184" s="19" t="s">
        <v>6</v>
      </c>
      <c r="G184" s="18" t="s">
        <v>25</v>
      </c>
      <c r="H184" s="20" t="s">
        <v>26</v>
      </c>
      <c r="I184" s="21"/>
      <c r="J184" s="21"/>
      <c r="K184" s="21"/>
      <c r="L184" s="21"/>
      <c r="M184" s="21"/>
    </row>
    <row r="185" spans="1:13" s="24" customFormat="1" x14ac:dyDescent="0.25">
      <c r="A185" s="21"/>
      <c r="B185" s="17">
        <v>45846</v>
      </c>
      <c r="C185" s="410"/>
      <c r="D185" s="18" t="s">
        <v>34</v>
      </c>
      <c r="E185" s="18" t="s">
        <v>24</v>
      </c>
      <c r="F185" s="19" t="s">
        <v>6</v>
      </c>
      <c r="G185" s="18" t="s">
        <v>35</v>
      </c>
      <c r="H185" s="20" t="s">
        <v>189</v>
      </c>
      <c r="I185" s="21"/>
      <c r="J185" s="21"/>
      <c r="K185" s="21"/>
      <c r="L185" s="21"/>
      <c r="M185" s="21"/>
    </row>
    <row r="186" spans="1:13" s="24" customFormat="1" ht="31.5" x14ac:dyDescent="0.25">
      <c r="A186" s="21"/>
      <c r="B186" s="17">
        <v>45847</v>
      </c>
      <c r="C186" s="410"/>
      <c r="D186" s="22" t="s">
        <v>49</v>
      </c>
      <c r="E186" s="18" t="s">
        <v>24</v>
      </c>
      <c r="F186" s="19" t="s">
        <v>6</v>
      </c>
      <c r="G186" s="22" t="s">
        <v>50</v>
      </c>
      <c r="H186" s="23" t="s">
        <v>51</v>
      </c>
      <c r="I186" s="21"/>
      <c r="J186" s="21"/>
      <c r="K186" s="21"/>
      <c r="L186" s="21"/>
      <c r="M186" s="21"/>
    </row>
    <row r="187" spans="1:13" s="24" customFormat="1" x14ac:dyDescent="0.25">
      <c r="A187" s="21"/>
      <c r="B187" s="17">
        <v>45847</v>
      </c>
      <c r="C187" s="411"/>
      <c r="D187" s="22" t="s">
        <v>190</v>
      </c>
      <c r="E187" s="18" t="s">
        <v>24</v>
      </c>
      <c r="F187" s="19" t="s">
        <v>6</v>
      </c>
      <c r="G187" s="22" t="s">
        <v>191</v>
      </c>
      <c r="H187" s="23" t="s">
        <v>192</v>
      </c>
      <c r="I187" s="21"/>
      <c r="J187" s="21"/>
      <c r="K187" s="21"/>
      <c r="L187" s="21"/>
      <c r="M187" s="21"/>
    </row>
    <row r="188" spans="1:13" s="24" customFormat="1" x14ac:dyDescent="0.25">
      <c r="A188" s="21"/>
      <c r="B188" s="17">
        <v>45848</v>
      </c>
      <c r="C188" s="409">
        <v>45839</v>
      </c>
      <c r="D188" s="22" t="s">
        <v>113</v>
      </c>
      <c r="E188" s="18" t="s">
        <v>24</v>
      </c>
      <c r="F188" s="19" t="s">
        <v>6</v>
      </c>
      <c r="G188" s="22" t="s">
        <v>25</v>
      </c>
      <c r="H188" s="23" t="s">
        <v>114</v>
      </c>
      <c r="I188" s="21"/>
      <c r="J188" s="21"/>
      <c r="K188" s="21"/>
      <c r="L188" s="21"/>
      <c r="M188" s="21"/>
    </row>
    <row r="189" spans="1:13" s="24" customFormat="1" ht="31.5" x14ac:dyDescent="0.25">
      <c r="A189" s="21"/>
      <c r="B189" s="17">
        <v>45848</v>
      </c>
      <c r="C189" s="410"/>
      <c r="D189" s="22" t="s">
        <v>60</v>
      </c>
      <c r="E189" s="18" t="s">
        <v>24</v>
      </c>
      <c r="F189" s="19" t="s">
        <v>6</v>
      </c>
      <c r="G189" s="22" t="s">
        <v>193</v>
      </c>
      <c r="H189" s="23" t="s">
        <v>194</v>
      </c>
      <c r="I189" s="21"/>
      <c r="J189" s="21"/>
      <c r="K189" s="21"/>
      <c r="L189" s="21"/>
      <c r="M189" s="21"/>
    </row>
    <row r="190" spans="1:13" s="24" customFormat="1" x14ac:dyDescent="0.25">
      <c r="A190" s="21"/>
      <c r="B190" s="17">
        <v>45848</v>
      </c>
      <c r="C190" s="410"/>
      <c r="D190" s="18" t="s">
        <v>27</v>
      </c>
      <c r="E190" s="18" t="s">
        <v>24</v>
      </c>
      <c r="F190" s="19" t="s">
        <v>4</v>
      </c>
      <c r="G190" s="22" t="s">
        <v>165</v>
      </c>
      <c r="H190" s="23" t="s">
        <v>195</v>
      </c>
      <c r="I190" s="21"/>
      <c r="J190" s="21"/>
      <c r="K190" s="21"/>
      <c r="L190" s="21"/>
      <c r="M190" s="21"/>
    </row>
    <row r="191" spans="1:13" s="24" customFormat="1" ht="31.5" x14ac:dyDescent="0.25">
      <c r="A191" s="21"/>
      <c r="B191" s="17">
        <v>45848</v>
      </c>
      <c r="C191" s="410"/>
      <c r="D191" s="22" t="s">
        <v>49</v>
      </c>
      <c r="E191" s="18" t="s">
        <v>24</v>
      </c>
      <c r="F191" s="19" t="s">
        <v>6</v>
      </c>
      <c r="G191" s="22" t="s">
        <v>50</v>
      </c>
      <c r="H191" s="23" t="s">
        <v>51</v>
      </c>
      <c r="I191" s="21"/>
      <c r="J191" s="21"/>
      <c r="K191" s="21"/>
      <c r="L191" s="21"/>
      <c r="M191" s="21"/>
    </row>
    <row r="192" spans="1:13" s="24" customFormat="1" x14ac:dyDescent="0.25">
      <c r="A192" s="21"/>
      <c r="B192" s="17">
        <v>45849</v>
      </c>
      <c r="C192" s="410"/>
      <c r="D192" s="22" t="s">
        <v>60</v>
      </c>
      <c r="E192" s="18" t="s">
        <v>24</v>
      </c>
      <c r="F192" s="19" t="s">
        <v>6</v>
      </c>
      <c r="G192" s="22" t="s">
        <v>121</v>
      </c>
      <c r="H192" s="23" t="s">
        <v>122</v>
      </c>
      <c r="I192" s="21"/>
      <c r="J192" s="21"/>
      <c r="K192" s="21"/>
      <c r="L192" s="21"/>
      <c r="M192" s="21"/>
    </row>
    <row r="193" spans="1:13" s="24" customFormat="1" x14ac:dyDescent="0.25">
      <c r="A193" s="21"/>
      <c r="B193" s="17">
        <v>45849</v>
      </c>
      <c r="C193" s="410"/>
      <c r="D193" s="22" t="s">
        <v>60</v>
      </c>
      <c r="E193" s="18" t="s">
        <v>24</v>
      </c>
      <c r="F193" s="19" t="s">
        <v>6</v>
      </c>
      <c r="G193" s="22" t="s">
        <v>193</v>
      </c>
      <c r="H193" s="23" t="s">
        <v>196</v>
      </c>
      <c r="I193" s="21"/>
      <c r="J193" s="21"/>
      <c r="K193" s="21"/>
      <c r="L193" s="21"/>
      <c r="M193" s="21"/>
    </row>
    <row r="194" spans="1:13" s="24" customFormat="1" x14ac:dyDescent="0.25">
      <c r="A194" s="21"/>
      <c r="B194" s="17">
        <v>45849</v>
      </c>
      <c r="C194" s="410"/>
      <c r="D194" s="22" t="s">
        <v>49</v>
      </c>
      <c r="E194" s="18" t="s">
        <v>24</v>
      </c>
      <c r="F194" s="19" t="s">
        <v>4</v>
      </c>
      <c r="G194" s="22" t="s">
        <v>165</v>
      </c>
      <c r="H194" s="23" t="s">
        <v>197</v>
      </c>
      <c r="I194" s="21"/>
      <c r="J194" s="21"/>
      <c r="K194" s="21"/>
      <c r="L194" s="21"/>
      <c r="M194" s="21"/>
    </row>
    <row r="195" spans="1:13" s="24" customFormat="1" x14ac:dyDescent="0.25">
      <c r="A195" s="21"/>
      <c r="B195" s="61">
        <v>45849</v>
      </c>
      <c r="C195" s="410"/>
      <c r="D195" s="22" t="s">
        <v>60</v>
      </c>
      <c r="E195" s="18" t="s">
        <v>24</v>
      </c>
      <c r="F195" s="19" t="s">
        <v>6</v>
      </c>
      <c r="G195" s="22" t="s">
        <v>193</v>
      </c>
      <c r="H195" s="23" t="s">
        <v>196</v>
      </c>
      <c r="I195" s="21"/>
      <c r="J195" s="21"/>
      <c r="K195" s="21"/>
      <c r="L195" s="21"/>
      <c r="M195" s="21"/>
    </row>
    <row r="196" spans="1:13" s="24" customFormat="1" x14ac:dyDescent="0.25">
      <c r="A196" s="21"/>
      <c r="B196" s="17">
        <v>45852</v>
      </c>
      <c r="C196" s="410"/>
      <c r="D196" s="22" t="s">
        <v>105</v>
      </c>
      <c r="E196" s="18" t="s">
        <v>24</v>
      </c>
      <c r="F196" s="19" t="s">
        <v>6</v>
      </c>
      <c r="G196" s="18" t="s">
        <v>25</v>
      </c>
      <c r="H196" s="20" t="s">
        <v>26</v>
      </c>
      <c r="I196" s="21"/>
      <c r="J196" s="21"/>
      <c r="K196" s="21"/>
      <c r="L196" s="21"/>
      <c r="M196" s="21"/>
    </row>
    <row r="197" spans="1:13" s="24" customFormat="1" ht="31.5" x14ac:dyDescent="0.25">
      <c r="A197" s="21"/>
      <c r="B197" s="17">
        <v>45852</v>
      </c>
      <c r="C197" s="410"/>
      <c r="D197" s="22" t="s">
        <v>52</v>
      </c>
      <c r="E197" s="18" t="s">
        <v>24</v>
      </c>
      <c r="F197" s="19" t="s">
        <v>4</v>
      </c>
      <c r="G197" s="22" t="s">
        <v>198</v>
      </c>
      <c r="H197" s="23" t="s">
        <v>199</v>
      </c>
      <c r="I197" s="21"/>
      <c r="J197" s="21"/>
      <c r="K197" s="21"/>
      <c r="L197" s="21"/>
      <c r="M197" s="21"/>
    </row>
    <row r="198" spans="1:13" s="24" customFormat="1" ht="31.5" x14ac:dyDescent="0.25">
      <c r="A198" s="21"/>
      <c r="B198" s="17">
        <v>45853</v>
      </c>
      <c r="C198" s="410"/>
      <c r="D198" s="22" t="s">
        <v>49</v>
      </c>
      <c r="E198" s="18" t="s">
        <v>24</v>
      </c>
      <c r="F198" s="19" t="s">
        <v>6</v>
      </c>
      <c r="G198" s="22" t="s">
        <v>50</v>
      </c>
      <c r="H198" s="23" t="s">
        <v>51</v>
      </c>
      <c r="I198" s="21"/>
      <c r="J198" s="21"/>
      <c r="K198" s="21"/>
      <c r="L198" s="21"/>
      <c r="M198" s="21"/>
    </row>
    <row r="199" spans="1:13" s="24" customFormat="1" ht="47.25" x14ac:dyDescent="0.25">
      <c r="A199" s="21"/>
      <c r="B199" s="17">
        <v>45854</v>
      </c>
      <c r="C199" s="410"/>
      <c r="D199" s="18" t="s">
        <v>27</v>
      </c>
      <c r="E199" s="18" t="s">
        <v>24</v>
      </c>
      <c r="F199" s="19" t="s">
        <v>6</v>
      </c>
      <c r="G199" s="18" t="s">
        <v>28</v>
      </c>
      <c r="H199" s="20" t="s">
        <v>29</v>
      </c>
      <c r="I199" s="21"/>
      <c r="J199" s="21"/>
      <c r="K199" s="21"/>
      <c r="L199" s="21"/>
      <c r="M199" s="21"/>
    </row>
    <row r="200" spans="1:13" s="24" customFormat="1" x14ac:dyDescent="0.25">
      <c r="A200" s="21"/>
      <c r="B200" s="17">
        <v>45855</v>
      </c>
      <c r="C200" s="410"/>
      <c r="D200" s="22" t="s">
        <v>200</v>
      </c>
      <c r="E200" s="18" t="s">
        <v>24</v>
      </c>
      <c r="F200" s="19" t="s">
        <v>4</v>
      </c>
      <c r="G200" s="22" t="s">
        <v>163</v>
      </c>
      <c r="H200" s="23" t="s">
        <v>164</v>
      </c>
      <c r="I200" s="21"/>
      <c r="J200" s="21"/>
      <c r="K200" s="21"/>
      <c r="L200" s="21"/>
      <c r="M200" s="21"/>
    </row>
    <row r="201" spans="1:13" s="24" customFormat="1" ht="31.5" x14ac:dyDescent="0.25">
      <c r="A201" s="21"/>
      <c r="B201" s="17">
        <v>45856</v>
      </c>
      <c r="C201" s="410"/>
      <c r="D201" s="22" t="s">
        <v>49</v>
      </c>
      <c r="E201" s="18" t="s">
        <v>24</v>
      </c>
      <c r="F201" s="19" t="s">
        <v>6</v>
      </c>
      <c r="G201" s="22" t="s">
        <v>50</v>
      </c>
      <c r="H201" s="23" t="s">
        <v>51</v>
      </c>
      <c r="I201" s="21"/>
      <c r="J201" s="21"/>
      <c r="K201" s="21"/>
      <c r="L201" s="21"/>
      <c r="M201" s="21"/>
    </row>
    <row r="202" spans="1:13" s="24" customFormat="1" ht="47.25" x14ac:dyDescent="0.25">
      <c r="A202" s="21"/>
      <c r="B202" s="17">
        <v>45856</v>
      </c>
      <c r="C202" s="410"/>
      <c r="D202" s="18" t="s">
        <v>27</v>
      </c>
      <c r="E202" s="18" t="s">
        <v>24</v>
      </c>
      <c r="F202" s="19" t="s">
        <v>6</v>
      </c>
      <c r="G202" s="18" t="s">
        <v>28</v>
      </c>
      <c r="H202" s="20" t="s">
        <v>29</v>
      </c>
      <c r="I202" s="21"/>
      <c r="J202" s="21"/>
      <c r="K202" s="21"/>
      <c r="L202" s="21"/>
      <c r="M202" s="21"/>
    </row>
    <row r="203" spans="1:13" s="24" customFormat="1" ht="31.5" x14ac:dyDescent="0.25">
      <c r="A203" s="21"/>
      <c r="B203" s="17">
        <v>45859</v>
      </c>
      <c r="C203" s="410"/>
      <c r="D203" s="22" t="s">
        <v>49</v>
      </c>
      <c r="E203" s="18" t="s">
        <v>24</v>
      </c>
      <c r="F203" s="19" t="s">
        <v>6</v>
      </c>
      <c r="G203" s="22" t="s">
        <v>50</v>
      </c>
      <c r="H203" s="23" t="s">
        <v>51</v>
      </c>
      <c r="I203" s="21"/>
      <c r="J203" s="21"/>
      <c r="K203" s="21"/>
      <c r="L203" s="21"/>
      <c r="M203" s="21"/>
    </row>
    <row r="204" spans="1:13" s="24" customFormat="1" ht="31.5" x14ac:dyDescent="0.25">
      <c r="A204" s="21"/>
      <c r="B204" s="17">
        <v>45860</v>
      </c>
      <c r="C204" s="410"/>
      <c r="D204" s="22" t="s">
        <v>60</v>
      </c>
      <c r="E204" s="22" t="s">
        <v>24</v>
      </c>
      <c r="F204" s="19" t="s">
        <v>6</v>
      </c>
      <c r="G204" s="22" t="s">
        <v>201</v>
      </c>
      <c r="H204" s="23" t="s">
        <v>202</v>
      </c>
      <c r="I204" s="21"/>
      <c r="J204" s="21"/>
      <c r="K204" s="21"/>
      <c r="L204" s="21"/>
      <c r="M204" s="21"/>
    </row>
    <row r="205" spans="1:13" s="24" customFormat="1" x14ac:dyDescent="0.25">
      <c r="A205" s="21"/>
      <c r="B205" s="17">
        <v>45860</v>
      </c>
      <c r="C205" s="410"/>
      <c r="D205" s="22" t="s">
        <v>34</v>
      </c>
      <c r="E205" s="18" t="s">
        <v>24</v>
      </c>
      <c r="F205" s="19" t="s">
        <v>6</v>
      </c>
      <c r="G205" s="22" t="s">
        <v>146</v>
      </c>
      <c r="H205" s="23" t="s">
        <v>203</v>
      </c>
      <c r="I205" s="21"/>
      <c r="J205" s="21"/>
      <c r="K205" s="21"/>
      <c r="L205" s="21"/>
      <c r="M205" s="21"/>
    </row>
    <row r="206" spans="1:13" s="24" customFormat="1" ht="47.25" x14ac:dyDescent="0.25">
      <c r="A206" s="21"/>
      <c r="B206" s="17">
        <v>45861</v>
      </c>
      <c r="C206" s="410"/>
      <c r="D206" s="18" t="s">
        <v>27</v>
      </c>
      <c r="E206" s="18" t="s">
        <v>24</v>
      </c>
      <c r="F206" s="19" t="s">
        <v>6</v>
      </c>
      <c r="G206" s="18" t="s">
        <v>28</v>
      </c>
      <c r="H206" s="20" t="s">
        <v>29</v>
      </c>
      <c r="I206" s="21"/>
      <c r="J206" s="21"/>
      <c r="K206" s="21"/>
      <c r="L206" s="21"/>
      <c r="M206" s="21"/>
    </row>
    <row r="207" spans="1:13" s="24" customFormat="1" ht="31.5" x14ac:dyDescent="0.25">
      <c r="A207" s="21"/>
      <c r="B207" s="17">
        <v>45862</v>
      </c>
      <c r="C207" s="410"/>
      <c r="D207" s="22" t="s">
        <v>49</v>
      </c>
      <c r="E207" s="18" t="s">
        <v>24</v>
      </c>
      <c r="F207" s="19" t="s">
        <v>6</v>
      </c>
      <c r="G207" s="22" t="s">
        <v>50</v>
      </c>
      <c r="H207" s="23" t="s">
        <v>51</v>
      </c>
      <c r="I207" s="21"/>
      <c r="J207" s="21"/>
      <c r="K207" s="21"/>
      <c r="L207" s="21"/>
      <c r="M207" s="21"/>
    </row>
    <row r="208" spans="1:13" s="24" customFormat="1" x14ac:dyDescent="0.25">
      <c r="A208" s="21"/>
      <c r="B208" s="17">
        <v>45862</v>
      </c>
      <c r="C208" s="410"/>
      <c r="D208" s="22" t="s">
        <v>34</v>
      </c>
      <c r="E208" s="18" t="s">
        <v>24</v>
      </c>
      <c r="F208" s="19" t="s">
        <v>6</v>
      </c>
      <c r="G208" s="22" t="s">
        <v>146</v>
      </c>
      <c r="H208" s="23" t="s">
        <v>204</v>
      </c>
      <c r="I208" s="21"/>
      <c r="J208" s="21"/>
      <c r="K208" s="21"/>
      <c r="L208" s="21"/>
      <c r="M208" s="21"/>
    </row>
    <row r="209" spans="1:13" s="24" customFormat="1" ht="31.5" x14ac:dyDescent="0.25">
      <c r="A209" s="21"/>
      <c r="B209" s="17">
        <v>45863</v>
      </c>
      <c r="C209" s="410"/>
      <c r="D209" s="22" t="s">
        <v>49</v>
      </c>
      <c r="E209" s="18" t="s">
        <v>24</v>
      </c>
      <c r="F209" s="19" t="s">
        <v>6</v>
      </c>
      <c r="G209" s="22" t="s">
        <v>50</v>
      </c>
      <c r="H209" s="23" t="s">
        <v>51</v>
      </c>
      <c r="I209" s="21"/>
      <c r="J209" s="21"/>
      <c r="K209" s="21"/>
      <c r="L209" s="21"/>
      <c r="M209" s="21"/>
    </row>
    <row r="210" spans="1:13" s="24" customFormat="1" ht="47.25" x14ac:dyDescent="0.25">
      <c r="A210" s="21"/>
      <c r="B210" s="17">
        <v>45863</v>
      </c>
      <c r="C210" s="410"/>
      <c r="D210" s="18" t="s">
        <v>27</v>
      </c>
      <c r="E210" s="18" t="s">
        <v>24</v>
      </c>
      <c r="F210" s="19" t="s">
        <v>6</v>
      </c>
      <c r="G210" s="18" t="s">
        <v>28</v>
      </c>
      <c r="H210" s="20" t="s">
        <v>29</v>
      </c>
      <c r="I210" s="21"/>
      <c r="J210" s="21"/>
      <c r="K210" s="21"/>
      <c r="L210" s="21"/>
      <c r="M210" s="21"/>
    </row>
    <row r="211" spans="1:13" s="24" customFormat="1" x14ac:dyDescent="0.25">
      <c r="A211" s="21"/>
      <c r="B211" s="17">
        <v>45863</v>
      </c>
      <c r="C211" s="410"/>
      <c r="D211" s="18" t="s">
        <v>68</v>
      </c>
      <c r="E211" s="18" t="s">
        <v>24</v>
      </c>
      <c r="F211" s="19" t="s">
        <v>6</v>
      </c>
      <c r="G211" s="18" t="s">
        <v>25</v>
      </c>
      <c r="H211" s="20" t="s">
        <v>69</v>
      </c>
      <c r="I211" s="21"/>
      <c r="J211" s="21"/>
      <c r="K211" s="21"/>
      <c r="L211" s="21"/>
      <c r="M211" s="21"/>
    </row>
    <row r="212" spans="1:13" s="24" customFormat="1" x14ac:dyDescent="0.25">
      <c r="A212" s="21"/>
      <c r="B212" s="17">
        <v>45866</v>
      </c>
      <c r="C212" s="410"/>
      <c r="D212" s="22" t="s">
        <v>49</v>
      </c>
      <c r="E212" s="18" t="s">
        <v>24</v>
      </c>
      <c r="F212" s="19" t="s">
        <v>6</v>
      </c>
      <c r="G212" s="22" t="s">
        <v>205</v>
      </c>
      <c r="H212" s="23" t="s">
        <v>206</v>
      </c>
      <c r="I212" s="21"/>
      <c r="J212" s="21"/>
      <c r="K212" s="21"/>
      <c r="L212" s="21"/>
      <c r="M212" s="21"/>
    </row>
    <row r="213" spans="1:13" s="24" customFormat="1" x14ac:dyDescent="0.25">
      <c r="A213" s="21"/>
      <c r="B213" s="17">
        <v>45866</v>
      </c>
      <c r="C213" s="410"/>
      <c r="D213" s="18" t="s">
        <v>68</v>
      </c>
      <c r="E213" s="18" t="s">
        <v>24</v>
      </c>
      <c r="F213" s="19" t="s">
        <v>6</v>
      </c>
      <c r="G213" s="18" t="s">
        <v>25</v>
      </c>
      <c r="H213" s="20" t="s">
        <v>69</v>
      </c>
      <c r="I213" s="21"/>
      <c r="J213" s="21"/>
      <c r="K213" s="21"/>
      <c r="L213" s="21"/>
      <c r="M213" s="21"/>
    </row>
    <row r="214" spans="1:13" s="24" customFormat="1" x14ac:dyDescent="0.25">
      <c r="A214" s="21"/>
      <c r="B214" s="17">
        <v>45866</v>
      </c>
      <c r="C214" s="410"/>
      <c r="D214" s="22" t="s">
        <v>110</v>
      </c>
      <c r="E214" s="18" t="s">
        <v>24</v>
      </c>
      <c r="F214" s="19" t="s">
        <v>6</v>
      </c>
      <c r="G214" s="18" t="s">
        <v>25</v>
      </c>
      <c r="H214" s="20" t="s">
        <v>26</v>
      </c>
      <c r="I214" s="21"/>
      <c r="J214" s="21"/>
      <c r="K214" s="21"/>
      <c r="L214" s="21"/>
      <c r="M214" s="21"/>
    </row>
    <row r="215" spans="1:13" s="24" customFormat="1" x14ac:dyDescent="0.25">
      <c r="A215" s="21"/>
      <c r="B215" s="17">
        <v>45867</v>
      </c>
      <c r="C215" s="410"/>
      <c r="D215" s="22" t="s">
        <v>49</v>
      </c>
      <c r="E215" s="18" t="s">
        <v>24</v>
      </c>
      <c r="F215" s="19" t="s">
        <v>6</v>
      </c>
      <c r="G215" s="22" t="s">
        <v>205</v>
      </c>
      <c r="H215" s="23" t="s">
        <v>206</v>
      </c>
      <c r="I215" s="21"/>
      <c r="J215" s="21"/>
      <c r="K215" s="21"/>
      <c r="L215" s="21"/>
      <c r="M215" s="21"/>
    </row>
    <row r="216" spans="1:13" s="24" customFormat="1" ht="31.5" x14ac:dyDescent="0.25">
      <c r="A216" s="21"/>
      <c r="B216" s="17">
        <v>45867</v>
      </c>
      <c r="C216" s="410"/>
      <c r="D216" s="22" t="s">
        <v>49</v>
      </c>
      <c r="E216" s="18" t="s">
        <v>24</v>
      </c>
      <c r="F216" s="19" t="s">
        <v>6</v>
      </c>
      <c r="G216" s="22" t="s">
        <v>50</v>
      </c>
      <c r="H216" s="23" t="s">
        <v>51</v>
      </c>
      <c r="I216" s="21"/>
      <c r="J216" s="21"/>
      <c r="K216" s="21"/>
      <c r="L216" s="21"/>
      <c r="M216" s="21"/>
    </row>
    <row r="217" spans="1:13" s="24" customFormat="1" ht="31.5" x14ac:dyDescent="0.25">
      <c r="A217" s="21"/>
      <c r="B217" s="17">
        <v>45868</v>
      </c>
      <c r="C217" s="410"/>
      <c r="D217" s="22" t="s">
        <v>60</v>
      </c>
      <c r="E217" s="18" t="s">
        <v>24</v>
      </c>
      <c r="F217" s="19" t="s">
        <v>6</v>
      </c>
      <c r="G217" s="22" t="s">
        <v>207</v>
      </c>
      <c r="H217" s="23" t="s">
        <v>208</v>
      </c>
      <c r="I217" s="21"/>
      <c r="J217" s="21"/>
      <c r="K217" s="21"/>
      <c r="L217" s="21"/>
      <c r="M217" s="21"/>
    </row>
    <row r="218" spans="1:13" s="24" customFormat="1" x14ac:dyDescent="0.25">
      <c r="A218" s="21"/>
      <c r="B218" s="17">
        <v>45868</v>
      </c>
      <c r="C218" s="410"/>
      <c r="D218" s="18" t="s">
        <v>68</v>
      </c>
      <c r="E218" s="18" t="s">
        <v>24</v>
      </c>
      <c r="F218" s="19" t="s">
        <v>6</v>
      </c>
      <c r="G218" s="18" t="s">
        <v>25</v>
      </c>
      <c r="H218" s="20" t="s">
        <v>69</v>
      </c>
      <c r="I218" s="21"/>
      <c r="J218" s="21"/>
      <c r="K218" s="21"/>
      <c r="L218" s="21"/>
      <c r="M218" s="21"/>
    </row>
    <row r="219" spans="1:13" s="24" customFormat="1" ht="31.5" x14ac:dyDescent="0.25">
      <c r="A219" s="21"/>
      <c r="B219" s="17">
        <v>45869</v>
      </c>
      <c r="C219" s="410"/>
      <c r="D219" s="22" t="s">
        <v>49</v>
      </c>
      <c r="E219" s="18" t="s">
        <v>24</v>
      </c>
      <c r="F219" s="19" t="s">
        <v>6</v>
      </c>
      <c r="G219" s="22" t="s">
        <v>50</v>
      </c>
      <c r="H219" s="23" t="s">
        <v>51</v>
      </c>
      <c r="I219" s="21"/>
      <c r="J219" s="21"/>
      <c r="K219" s="21"/>
      <c r="L219" s="21"/>
      <c r="M219" s="21"/>
    </row>
    <row r="220" spans="1:13" s="24" customFormat="1" x14ac:dyDescent="0.25">
      <c r="A220" s="21"/>
      <c r="B220" s="17">
        <v>45869</v>
      </c>
      <c r="C220" s="410"/>
      <c r="D220" s="22" t="s">
        <v>34</v>
      </c>
      <c r="E220" s="18" t="s">
        <v>24</v>
      </c>
      <c r="F220" s="19" t="s">
        <v>6</v>
      </c>
      <c r="G220" s="22" t="s">
        <v>146</v>
      </c>
      <c r="H220" s="23" t="s">
        <v>209</v>
      </c>
      <c r="I220" s="21"/>
      <c r="J220" s="21"/>
      <c r="K220" s="21"/>
      <c r="L220" s="21"/>
      <c r="M220" s="21"/>
    </row>
    <row r="221" spans="1:13" s="24" customFormat="1" x14ac:dyDescent="0.25">
      <c r="A221" s="21"/>
      <c r="B221" s="17">
        <v>45869</v>
      </c>
      <c r="C221" s="410"/>
      <c r="D221" s="22" t="s">
        <v>34</v>
      </c>
      <c r="E221" s="18" t="s">
        <v>24</v>
      </c>
      <c r="F221" s="19" t="s">
        <v>6</v>
      </c>
      <c r="G221" s="22" t="s">
        <v>146</v>
      </c>
      <c r="H221" s="23" t="s">
        <v>210</v>
      </c>
      <c r="I221" s="21"/>
      <c r="J221" s="21"/>
      <c r="K221" s="21"/>
      <c r="L221" s="21"/>
      <c r="M221" s="21"/>
    </row>
    <row r="222" spans="1:13" s="24" customFormat="1" x14ac:dyDescent="0.25">
      <c r="A222" s="21"/>
      <c r="B222" s="17">
        <v>45870</v>
      </c>
      <c r="C222" s="410"/>
      <c r="D222" s="22" t="s">
        <v>110</v>
      </c>
      <c r="E222" s="18" t="s">
        <v>24</v>
      </c>
      <c r="F222" s="19" t="s">
        <v>6</v>
      </c>
      <c r="G222" s="18" t="s">
        <v>25</v>
      </c>
      <c r="H222" s="20" t="s">
        <v>26</v>
      </c>
      <c r="I222" s="21"/>
      <c r="J222" s="21"/>
      <c r="K222" s="21"/>
      <c r="L222" s="21"/>
      <c r="M222" s="21"/>
    </row>
    <row r="223" spans="1:13" s="24" customFormat="1" ht="31.5" x14ac:dyDescent="0.25">
      <c r="A223" s="21"/>
      <c r="B223" s="17">
        <v>45873</v>
      </c>
      <c r="C223" s="410"/>
      <c r="D223" s="22" t="s">
        <v>49</v>
      </c>
      <c r="E223" s="18" t="s">
        <v>24</v>
      </c>
      <c r="F223" s="19" t="s">
        <v>6</v>
      </c>
      <c r="G223" s="22" t="s">
        <v>50</v>
      </c>
      <c r="H223" s="23" t="s">
        <v>51</v>
      </c>
      <c r="I223" s="21"/>
      <c r="J223" s="21"/>
      <c r="K223" s="21"/>
      <c r="L223" s="21"/>
      <c r="M223" s="21"/>
    </row>
    <row r="224" spans="1:13" s="24" customFormat="1" ht="47.25" x14ac:dyDescent="0.25">
      <c r="A224" s="21"/>
      <c r="B224" s="17">
        <v>45873</v>
      </c>
      <c r="C224" s="410"/>
      <c r="D224" s="18" t="s">
        <v>27</v>
      </c>
      <c r="E224" s="18" t="s">
        <v>24</v>
      </c>
      <c r="F224" s="19" t="s">
        <v>6</v>
      </c>
      <c r="G224" s="18" t="s">
        <v>28</v>
      </c>
      <c r="H224" s="20" t="s">
        <v>29</v>
      </c>
      <c r="I224" s="21"/>
      <c r="J224" s="21"/>
      <c r="K224" s="21"/>
      <c r="L224" s="21"/>
      <c r="M224" s="21"/>
    </row>
    <row r="225" spans="1:13" s="24" customFormat="1" x14ac:dyDescent="0.25">
      <c r="A225" s="21"/>
      <c r="B225" s="17">
        <v>45874</v>
      </c>
      <c r="C225" s="410"/>
      <c r="D225" s="22" t="s">
        <v>148</v>
      </c>
      <c r="E225" s="18" t="s">
        <v>24</v>
      </c>
      <c r="F225" s="19" t="s">
        <v>6</v>
      </c>
      <c r="G225" s="22" t="s">
        <v>149</v>
      </c>
      <c r="H225" s="23" t="s">
        <v>150</v>
      </c>
      <c r="I225" s="21"/>
      <c r="J225" s="21"/>
      <c r="K225" s="21"/>
      <c r="L225" s="21"/>
      <c r="M225" s="21"/>
    </row>
    <row r="226" spans="1:13" s="24" customFormat="1" ht="31.5" x14ac:dyDescent="0.25">
      <c r="A226" s="21"/>
      <c r="B226" s="17">
        <v>45875</v>
      </c>
      <c r="C226" s="410"/>
      <c r="D226" s="22" t="s">
        <v>49</v>
      </c>
      <c r="E226" s="18" t="s">
        <v>24</v>
      </c>
      <c r="F226" s="19" t="s">
        <v>6</v>
      </c>
      <c r="G226" s="22" t="s">
        <v>50</v>
      </c>
      <c r="H226" s="23" t="s">
        <v>51</v>
      </c>
      <c r="I226" s="21"/>
      <c r="J226" s="21"/>
      <c r="K226" s="21"/>
      <c r="L226" s="21"/>
      <c r="M226" s="21"/>
    </row>
    <row r="227" spans="1:13" s="24" customFormat="1" x14ac:dyDescent="0.25">
      <c r="A227" s="21"/>
      <c r="B227" s="17">
        <v>45875</v>
      </c>
      <c r="C227" s="410"/>
      <c r="D227" s="22" t="s">
        <v>171</v>
      </c>
      <c r="E227" s="18" t="s">
        <v>24</v>
      </c>
      <c r="F227" s="19" t="s">
        <v>4</v>
      </c>
      <c r="G227" s="22" t="s">
        <v>211</v>
      </c>
      <c r="H227" s="23" t="s">
        <v>212</v>
      </c>
      <c r="I227" s="21"/>
      <c r="J227" s="21"/>
      <c r="K227" s="21"/>
      <c r="L227" s="21"/>
      <c r="M227" s="21"/>
    </row>
    <row r="228" spans="1:13" s="24" customFormat="1" x14ac:dyDescent="0.25">
      <c r="A228" s="21"/>
      <c r="B228" s="17">
        <v>45876</v>
      </c>
      <c r="C228" s="410"/>
      <c r="D228" s="18" t="s">
        <v>68</v>
      </c>
      <c r="E228" s="18" t="s">
        <v>24</v>
      </c>
      <c r="F228" s="19" t="s">
        <v>6</v>
      </c>
      <c r="G228" s="18" t="s">
        <v>25</v>
      </c>
      <c r="H228" s="20" t="s">
        <v>69</v>
      </c>
      <c r="I228" s="21"/>
      <c r="J228" s="21"/>
      <c r="K228" s="21"/>
      <c r="L228" s="21"/>
      <c r="M228" s="21"/>
    </row>
    <row r="229" spans="1:13" s="24" customFormat="1" x14ac:dyDescent="0.25">
      <c r="A229" s="21"/>
      <c r="B229" s="17">
        <v>45876</v>
      </c>
      <c r="C229" s="410"/>
      <c r="D229" s="22" t="s">
        <v>213</v>
      </c>
      <c r="E229" s="18" t="s">
        <v>24</v>
      </c>
      <c r="F229" s="19" t="s">
        <v>4</v>
      </c>
      <c r="G229" s="22" t="s">
        <v>131</v>
      </c>
      <c r="H229" s="23" t="s">
        <v>214</v>
      </c>
      <c r="I229" s="21"/>
      <c r="J229" s="21"/>
      <c r="K229" s="21"/>
      <c r="L229" s="21"/>
      <c r="M229" s="21"/>
    </row>
    <row r="230" spans="1:13" s="24" customFormat="1" ht="47.25" x14ac:dyDescent="0.25">
      <c r="A230" s="21"/>
      <c r="B230" s="17">
        <v>45877</v>
      </c>
      <c r="C230" s="410"/>
      <c r="D230" s="22" t="s">
        <v>120</v>
      </c>
      <c r="E230" s="18" t="s">
        <v>24</v>
      </c>
      <c r="F230" s="19" t="s">
        <v>4</v>
      </c>
      <c r="G230" s="22" t="s">
        <v>215</v>
      </c>
      <c r="H230" s="23" t="s">
        <v>216</v>
      </c>
      <c r="I230" s="21"/>
      <c r="J230" s="21"/>
      <c r="K230" s="21"/>
      <c r="L230" s="21"/>
      <c r="M230" s="21"/>
    </row>
    <row r="231" spans="1:13" s="24" customFormat="1" ht="31.5" x14ac:dyDescent="0.25">
      <c r="A231" s="21"/>
      <c r="B231" s="17">
        <v>45877</v>
      </c>
      <c r="C231" s="411"/>
      <c r="D231" s="22" t="s">
        <v>49</v>
      </c>
      <c r="E231" s="18" t="s">
        <v>24</v>
      </c>
      <c r="F231" s="19" t="s">
        <v>6</v>
      </c>
      <c r="G231" s="22" t="s">
        <v>50</v>
      </c>
      <c r="H231" s="23" t="s">
        <v>51</v>
      </c>
      <c r="I231" s="21"/>
      <c r="J231" s="21"/>
      <c r="K231" s="21"/>
      <c r="L231" s="21"/>
      <c r="M231" s="21"/>
    </row>
    <row r="232" spans="1:13" s="90" customFormat="1" x14ac:dyDescent="0.25">
      <c r="B232" s="91"/>
      <c r="C232" s="92"/>
      <c r="D232" s="93"/>
      <c r="E232" s="93"/>
      <c r="F232" s="93" t="s">
        <v>144</v>
      </c>
      <c r="G232" s="93"/>
      <c r="H232" s="94"/>
    </row>
    <row r="233" spans="1:13" s="24" customFormat="1" x14ac:dyDescent="0.25">
      <c r="A233" s="21"/>
      <c r="B233" s="17">
        <v>45880</v>
      </c>
      <c r="C233" s="95">
        <v>45870</v>
      </c>
      <c r="D233" s="22" t="s">
        <v>105</v>
      </c>
      <c r="E233" s="18" t="s">
        <v>24</v>
      </c>
      <c r="F233" s="19" t="s">
        <v>6</v>
      </c>
      <c r="G233" s="18" t="s">
        <v>25</v>
      </c>
      <c r="H233" s="20" t="s">
        <v>26</v>
      </c>
      <c r="I233" s="21"/>
      <c r="J233" s="21"/>
      <c r="K233" s="21"/>
      <c r="L233" s="21"/>
      <c r="M233" s="21"/>
    </row>
    <row r="234" spans="1:13" s="24" customFormat="1" ht="31.5" x14ac:dyDescent="0.25">
      <c r="A234" s="21"/>
      <c r="B234" s="17">
        <v>45880</v>
      </c>
      <c r="C234" s="95">
        <v>45870</v>
      </c>
      <c r="D234" s="22" t="s">
        <v>49</v>
      </c>
      <c r="E234" s="18" t="s">
        <v>24</v>
      </c>
      <c r="F234" s="19" t="s">
        <v>6</v>
      </c>
      <c r="G234" s="22" t="s">
        <v>50</v>
      </c>
      <c r="H234" s="23" t="s">
        <v>51</v>
      </c>
      <c r="I234" s="21"/>
      <c r="J234" s="21"/>
      <c r="K234" s="21"/>
      <c r="L234" s="21"/>
      <c r="M234" s="21"/>
    </row>
    <row r="235" spans="1:13" s="24" customFormat="1" ht="47.25" x14ac:dyDescent="0.25">
      <c r="A235" s="21"/>
      <c r="B235" s="17">
        <v>45881</v>
      </c>
      <c r="C235" s="95">
        <v>45870</v>
      </c>
      <c r="D235" s="18" t="s">
        <v>27</v>
      </c>
      <c r="E235" s="18" t="s">
        <v>24</v>
      </c>
      <c r="F235" s="19" t="s">
        <v>6</v>
      </c>
      <c r="G235" s="18" t="s">
        <v>28</v>
      </c>
      <c r="H235" s="20" t="s">
        <v>29</v>
      </c>
      <c r="I235" s="21"/>
      <c r="J235" s="21"/>
      <c r="K235" s="21"/>
      <c r="L235" s="21"/>
      <c r="M235" s="21"/>
    </row>
    <row r="236" spans="1:13" s="24" customFormat="1" x14ac:dyDescent="0.25">
      <c r="A236" s="21"/>
      <c r="B236" s="17">
        <v>45881</v>
      </c>
      <c r="C236" s="95">
        <v>45870</v>
      </c>
      <c r="D236" s="22" t="s">
        <v>113</v>
      </c>
      <c r="E236" s="18" t="s">
        <v>24</v>
      </c>
      <c r="F236" s="19" t="s">
        <v>6</v>
      </c>
      <c r="G236" s="22" t="s">
        <v>25</v>
      </c>
      <c r="H236" s="23" t="s">
        <v>114</v>
      </c>
      <c r="I236" s="21"/>
      <c r="J236" s="21"/>
      <c r="K236" s="21"/>
      <c r="L236" s="21"/>
      <c r="M236" s="21"/>
    </row>
    <row r="237" spans="1:13" s="24" customFormat="1" x14ac:dyDescent="0.25">
      <c r="A237" s="21"/>
      <c r="B237" s="17">
        <v>45881</v>
      </c>
      <c r="C237" s="95">
        <v>45870</v>
      </c>
      <c r="D237" s="22" t="s">
        <v>171</v>
      </c>
      <c r="E237" s="18" t="s">
        <v>24</v>
      </c>
      <c r="F237" s="19" t="s">
        <v>4</v>
      </c>
      <c r="G237" s="22" t="s">
        <v>217</v>
      </c>
      <c r="H237" s="23" t="s">
        <v>218</v>
      </c>
      <c r="I237" s="21"/>
      <c r="J237" s="21"/>
      <c r="K237" s="21"/>
      <c r="L237" s="21"/>
      <c r="M237" s="21"/>
    </row>
    <row r="238" spans="1:13" s="24" customFormat="1" x14ac:dyDescent="0.25">
      <c r="A238" s="21"/>
      <c r="B238" s="17">
        <v>45881</v>
      </c>
      <c r="C238" s="95">
        <v>45870</v>
      </c>
      <c r="D238" s="22" t="s">
        <v>34</v>
      </c>
      <c r="E238" s="18" t="s">
        <v>24</v>
      </c>
      <c r="F238" s="19" t="s">
        <v>6</v>
      </c>
      <c r="G238" s="22" t="s">
        <v>146</v>
      </c>
      <c r="H238" s="23" t="s">
        <v>219</v>
      </c>
      <c r="I238" s="21"/>
      <c r="J238" s="21"/>
      <c r="K238" s="21"/>
      <c r="L238" s="21"/>
      <c r="M238" s="21"/>
    </row>
    <row r="239" spans="1:13" s="24" customFormat="1" ht="31.5" x14ac:dyDescent="0.25">
      <c r="A239" s="21"/>
      <c r="B239" s="17">
        <v>45882</v>
      </c>
      <c r="C239" s="95">
        <v>45870</v>
      </c>
      <c r="D239" s="22" t="s">
        <v>49</v>
      </c>
      <c r="E239" s="18" t="s">
        <v>24</v>
      </c>
      <c r="F239" s="19" t="s">
        <v>6</v>
      </c>
      <c r="G239" s="22" t="s">
        <v>50</v>
      </c>
      <c r="H239" s="23" t="s">
        <v>51</v>
      </c>
      <c r="I239" s="21"/>
      <c r="J239" s="21"/>
      <c r="K239" s="21"/>
      <c r="L239" s="21"/>
      <c r="M239" s="21"/>
    </row>
    <row r="240" spans="1:13" s="24" customFormat="1" ht="47.25" x14ac:dyDescent="0.25">
      <c r="A240" s="21"/>
      <c r="B240" s="17">
        <v>45883</v>
      </c>
      <c r="C240" s="95">
        <v>45870</v>
      </c>
      <c r="D240" s="18" t="s">
        <v>27</v>
      </c>
      <c r="E240" s="18" t="s">
        <v>24</v>
      </c>
      <c r="F240" s="19" t="s">
        <v>6</v>
      </c>
      <c r="G240" s="18" t="s">
        <v>28</v>
      </c>
      <c r="H240" s="20" t="s">
        <v>29</v>
      </c>
      <c r="I240" s="21"/>
      <c r="J240" s="21"/>
      <c r="K240" s="21"/>
      <c r="L240" s="21"/>
      <c r="M240" s="21"/>
    </row>
    <row r="241" spans="1:13" s="24" customFormat="1" ht="31.5" x14ac:dyDescent="0.25">
      <c r="A241" s="21"/>
      <c r="B241" s="17">
        <v>45884</v>
      </c>
      <c r="C241" s="95">
        <v>45870</v>
      </c>
      <c r="D241" s="22" t="s">
        <v>49</v>
      </c>
      <c r="E241" s="18" t="s">
        <v>24</v>
      </c>
      <c r="F241" s="19" t="s">
        <v>6</v>
      </c>
      <c r="G241" s="22" t="s">
        <v>50</v>
      </c>
      <c r="H241" s="23" t="s">
        <v>51</v>
      </c>
      <c r="I241" s="21"/>
      <c r="J241" s="21"/>
      <c r="K241" s="21"/>
      <c r="L241" s="21"/>
      <c r="M241" s="21"/>
    </row>
    <row r="242" spans="1:13" s="24" customFormat="1" ht="47.25" x14ac:dyDescent="0.25">
      <c r="A242" s="21"/>
      <c r="B242" s="17">
        <v>45887</v>
      </c>
      <c r="C242" s="95">
        <v>45870</v>
      </c>
      <c r="D242" s="18" t="s">
        <v>27</v>
      </c>
      <c r="E242" s="18" t="s">
        <v>24</v>
      </c>
      <c r="F242" s="19" t="s">
        <v>6</v>
      </c>
      <c r="G242" s="18" t="s">
        <v>28</v>
      </c>
      <c r="H242" s="20" t="s">
        <v>29</v>
      </c>
      <c r="I242" s="21"/>
      <c r="J242" s="21"/>
      <c r="K242" s="21"/>
      <c r="L242" s="21"/>
      <c r="M242" s="21"/>
    </row>
    <row r="243" spans="1:13" s="24" customFormat="1" x14ac:dyDescent="0.25">
      <c r="A243" s="21"/>
      <c r="B243" s="17">
        <v>45887</v>
      </c>
      <c r="C243" s="95">
        <v>45870</v>
      </c>
      <c r="D243" s="22" t="s">
        <v>110</v>
      </c>
      <c r="E243" s="18" t="s">
        <v>24</v>
      </c>
      <c r="F243" s="19" t="s">
        <v>6</v>
      </c>
      <c r="G243" s="22" t="s">
        <v>25</v>
      </c>
      <c r="H243" s="23" t="s">
        <v>114</v>
      </c>
      <c r="I243" s="21"/>
      <c r="J243" s="21"/>
      <c r="K243" s="21"/>
      <c r="L243" s="21"/>
      <c r="M243" s="21"/>
    </row>
    <row r="244" spans="1:13" s="24" customFormat="1" x14ac:dyDescent="0.25">
      <c r="A244" s="21"/>
      <c r="B244" s="17">
        <v>45888</v>
      </c>
      <c r="C244" s="95">
        <v>45870</v>
      </c>
      <c r="D244" s="18" t="s">
        <v>27</v>
      </c>
      <c r="E244" s="18" t="s">
        <v>24</v>
      </c>
      <c r="F244" s="19" t="s">
        <v>4</v>
      </c>
      <c r="G244" s="22" t="s">
        <v>44</v>
      </c>
      <c r="H244" s="23" t="s">
        <v>45</v>
      </c>
      <c r="I244" s="21"/>
      <c r="J244" s="21"/>
      <c r="K244" s="21"/>
      <c r="L244" s="21"/>
      <c r="M244" s="21"/>
    </row>
    <row r="245" spans="1:13" s="24" customFormat="1" ht="31.5" x14ac:dyDescent="0.25">
      <c r="A245" s="21"/>
      <c r="B245" s="17">
        <v>45889</v>
      </c>
      <c r="C245" s="95">
        <v>45870</v>
      </c>
      <c r="D245" s="18" t="s">
        <v>27</v>
      </c>
      <c r="E245" s="18" t="s">
        <v>24</v>
      </c>
      <c r="F245" s="19" t="s">
        <v>6</v>
      </c>
      <c r="G245" s="18" t="s">
        <v>28</v>
      </c>
      <c r="H245" s="23" t="s">
        <v>51</v>
      </c>
      <c r="I245" s="21"/>
      <c r="J245" s="21"/>
      <c r="K245" s="21"/>
      <c r="L245" s="21"/>
      <c r="M245" s="21"/>
    </row>
    <row r="246" spans="1:13" s="24" customFormat="1" ht="47.25" x14ac:dyDescent="0.25">
      <c r="A246" s="21"/>
      <c r="B246" s="17">
        <v>45890</v>
      </c>
      <c r="C246" s="95">
        <v>45870</v>
      </c>
      <c r="D246" s="18" t="s">
        <v>27</v>
      </c>
      <c r="E246" s="18" t="s">
        <v>24</v>
      </c>
      <c r="F246" s="19" t="s">
        <v>6</v>
      </c>
      <c r="G246" s="18" t="s">
        <v>28</v>
      </c>
      <c r="H246" s="20" t="s">
        <v>29</v>
      </c>
      <c r="I246" s="21"/>
      <c r="J246" s="21"/>
      <c r="K246" s="21"/>
      <c r="L246" s="21"/>
      <c r="M246" s="21"/>
    </row>
    <row r="247" spans="1:13" s="24" customFormat="1" x14ac:dyDescent="0.25">
      <c r="A247" s="21"/>
      <c r="B247" s="17">
        <v>45890</v>
      </c>
      <c r="C247" s="95">
        <v>45870</v>
      </c>
      <c r="D247" s="22" t="s">
        <v>93</v>
      </c>
      <c r="E247" s="18" t="s">
        <v>24</v>
      </c>
      <c r="F247" s="19" t="s">
        <v>4</v>
      </c>
      <c r="G247" s="18" t="s">
        <v>40</v>
      </c>
      <c r="H247" s="20" t="s">
        <v>220</v>
      </c>
      <c r="I247" s="21"/>
      <c r="J247" s="21"/>
      <c r="K247" s="21"/>
      <c r="L247" s="21"/>
      <c r="M247" s="21"/>
    </row>
    <row r="248" spans="1:13" s="24" customFormat="1" ht="31.5" x14ac:dyDescent="0.25">
      <c r="A248" s="21"/>
      <c r="B248" s="17">
        <v>45891</v>
      </c>
      <c r="C248" s="95">
        <v>45870</v>
      </c>
      <c r="D248" s="22" t="s">
        <v>49</v>
      </c>
      <c r="E248" s="18" t="s">
        <v>24</v>
      </c>
      <c r="F248" s="19" t="s">
        <v>6</v>
      </c>
      <c r="G248" s="22" t="s">
        <v>50</v>
      </c>
      <c r="H248" s="23" t="s">
        <v>51</v>
      </c>
      <c r="I248" s="21"/>
      <c r="J248" s="21"/>
      <c r="K248" s="21"/>
      <c r="L248" s="21"/>
      <c r="M248" s="21"/>
    </row>
    <row r="249" spans="1:13" s="24" customFormat="1" x14ac:dyDescent="0.25">
      <c r="A249" s="21"/>
      <c r="B249" s="17">
        <v>45891</v>
      </c>
      <c r="C249" s="95">
        <v>45870</v>
      </c>
      <c r="D249" s="22" t="s">
        <v>34</v>
      </c>
      <c r="E249" s="18" t="s">
        <v>24</v>
      </c>
      <c r="F249" s="19" t="s">
        <v>6</v>
      </c>
      <c r="G249" s="22" t="s">
        <v>146</v>
      </c>
      <c r="H249" s="23" t="s">
        <v>221</v>
      </c>
      <c r="I249" s="21"/>
      <c r="J249" s="21"/>
      <c r="K249" s="21"/>
      <c r="L249" s="21"/>
      <c r="M249" s="21"/>
    </row>
    <row r="250" spans="1:13" s="24" customFormat="1" ht="31.5" x14ac:dyDescent="0.25">
      <c r="A250" s="21"/>
      <c r="B250" s="17">
        <v>45891</v>
      </c>
      <c r="C250" s="95">
        <v>45870</v>
      </c>
      <c r="D250" s="22" t="s">
        <v>60</v>
      </c>
      <c r="E250" s="22" t="s">
        <v>24</v>
      </c>
      <c r="F250" s="19" t="s">
        <v>6</v>
      </c>
      <c r="G250" s="22" t="s">
        <v>222</v>
      </c>
      <c r="H250" s="23" t="s">
        <v>223</v>
      </c>
      <c r="I250" s="21"/>
      <c r="J250" s="21"/>
      <c r="K250" s="21"/>
      <c r="L250" s="21"/>
      <c r="M250" s="21"/>
    </row>
    <row r="251" spans="1:13" s="24" customFormat="1" x14ac:dyDescent="0.25">
      <c r="A251" s="21"/>
      <c r="B251" s="17">
        <v>45891</v>
      </c>
      <c r="C251" s="95">
        <v>45870</v>
      </c>
      <c r="D251" s="22" t="s">
        <v>60</v>
      </c>
      <c r="E251" s="22" t="s">
        <v>24</v>
      </c>
      <c r="F251" s="19" t="s">
        <v>4</v>
      </c>
      <c r="G251" s="22" t="s">
        <v>215</v>
      </c>
      <c r="H251" s="23" t="s">
        <v>224</v>
      </c>
      <c r="I251" s="21"/>
      <c r="J251" s="21"/>
      <c r="K251" s="21"/>
      <c r="L251" s="21"/>
      <c r="M251" s="21"/>
    </row>
    <row r="252" spans="1:13" s="24" customFormat="1" x14ac:dyDescent="0.25">
      <c r="A252" s="21"/>
      <c r="B252" s="17">
        <v>45894</v>
      </c>
      <c r="C252" s="95">
        <v>45870</v>
      </c>
      <c r="D252" s="22" t="s">
        <v>105</v>
      </c>
      <c r="E252" s="18" t="s">
        <v>24</v>
      </c>
      <c r="F252" s="19" t="s">
        <v>6</v>
      </c>
      <c r="G252" s="18" t="s">
        <v>25</v>
      </c>
      <c r="H252" s="20" t="s">
        <v>26</v>
      </c>
      <c r="I252" s="21"/>
      <c r="J252" s="21"/>
      <c r="K252" s="21"/>
      <c r="L252" s="21"/>
      <c r="M252" s="21"/>
    </row>
    <row r="253" spans="1:13" s="24" customFormat="1" ht="31.5" x14ac:dyDescent="0.25">
      <c r="A253" s="21"/>
      <c r="B253" s="17">
        <v>45894</v>
      </c>
      <c r="C253" s="95">
        <v>45870</v>
      </c>
      <c r="D253" s="22" t="s">
        <v>60</v>
      </c>
      <c r="E253" s="22" t="s">
        <v>24</v>
      </c>
      <c r="F253" s="19" t="s">
        <v>4</v>
      </c>
      <c r="G253" s="22" t="s">
        <v>215</v>
      </c>
      <c r="H253" s="20" t="s">
        <v>225</v>
      </c>
      <c r="I253" s="21"/>
      <c r="J253" s="21"/>
      <c r="K253" s="21"/>
      <c r="L253" s="21"/>
      <c r="M253" s="21"/>
    </row>
    <row r="254" spans="1:13" s="24" customFormat="1" x14ac:dyDescent="0.25">
      <c r="A254" s="21"/>
      <c r="B254" s="17">
        <v>45895</v>
      </c>
      <c r="C254" s="95">
        <v>45870</v>
      </c>
      <c r="D254" s="22" t="s">
        <v>34</v>
      </c>
      <c r="E254" s="18" t="s">
        <v>24</v>
      </c>
      <c r="F254" s="19" t="s">
        <v>6</v>
      </c>
      <c r="G254" s="22" t="s">
        <v>146</v>
      </c>
      <c r="H254" s="23" t="s">
        <v>226</v>
      </c>
      <c r="I254" s="21"/>
      <c r="J254" s="21"/>
      <c r="K254" s="21"/>
      <c r="L254" s="21"/>
      <c r="M254" s="21"/>
    </row>
    <row r="255" spans="1:13" s="24" customFormat="1" x14ac:dyDescent="0.25">
      <c r="A255" s="21"/>
      <c r="B255" s="17">
        <v>45895</v>
      </c>
      <c r="C255" s="95">
        <v>45870</v>
      </c>
      <c r="D255" s="22" t="s">
        <v>34</v>
      </c>
      <c r="E255" s="18" t="s">
        <v>24</v>
      </c>
      <c r="F255" s="19" t="s">
        <v>6</v>
      </c>
      <c r="G255" s="22" t="s">
        <v>146</v>
      </c>
      <c r="H255" s="23" t="s">
        <v>227</v>
      </c>
      <c r="I255" s="21"/>
      <c r="J255" s="21"/>
      <c r="K255" s="21"/>
      <c r="L255" s="21"/>
      <c r="M255" s="21"/>
    </row>
    <row r="256" spans="1:13" s="24" customFormat="1" ht="31.5" x14ac:dyDescent="0.25">
      <c r="A256" s="21"/>
      <c r="B256" s="17">
        <v>45896</v>
      </c>
      <c r="C256" s="95">
        <v>45870</v>
      </c>
      <c r="D256" s="22" t="s">
        <v>49</v>
      </c>
      <c r="E256" s="18" t="s">
        <v>24</v>
      </c>
      <c r="F256" s="19" t="s">
        <v>6</v>
      </c>
      <c r="G256" s="22" t="s">
        <v>50</v>
      </c>
      <c r="H256" s="23" t="s">
        <v>51</v>
      </c>
      <c r="I256" s="21"/>
      <c r="J256" s="21"/>
      <c r="K256" s="21"/>
      <c r="L256" s="21"/>
      <c r="M256" s="21"/>
    </row>
    <row r="257" spans="1:13" s="24" customFormat="1" x14ac:dyDescent="0.25">
      <c r="A257" s="21"/>
      <c r="B257" s="17">
        <v>45896</v>
      </c>
      <c r="C257" s="95">
        <v>45870</v>
      </c>
      <c r="D257" s="18" t="s">
        <v>68</v>
      </c>
      <c r="E257" s="18" t="s">
        <v>24</v>
      </c>
      <c r="F257" s="19" t="s">
        <v>6</v>
      </c>
      <c r="G257" s="18" t="s">
        <v>25</v>
      </c>
      <c r="H257" s="20" t="s">
        <v>69</v>
      </c>
      <c r="I257" s="21"/>
      <c r="J257" s="21"/>
      <c r="K257" s="21"/>
      <c r="L257" s="21"/>
      <c r="M257" s="21"/>
    </row>
    <row r="258" spans="1:13" s="24" customFormat="1" x14ac:dyDescent="0.25">
      <c r="A258" s="21"/>
      <c r="B258" s="17">
        <v>45897</v>
      </c>
      <c r="C258" s="95">
        <v>45870</v>
      </c>
      <c r="D258" s="22" t="s">
        <v>34</v>
      </c>
      <c r="E258" s="18" t="s">
        <v>24</v>
      </c>
      <c r="F258" s="19" t="s">
        <v>6</v>
      </c>
      <c r="G258" s="22" t="s">
        <v>146</v>
      </c>
      <c r="H258" s="23" t="s">
        <v>228</v>
      </c>
      <c r="I258" s="21"/>
      <c r="J258" s="21"/>
      <c r="K258" s="21"/>
      <c r="L258" s="21"/>
      <c r="M258" s="21"/>
    </row>
    <row r="259" spans="1:13" s="24" customFormat="1" ht="31.5" x14ac:dyDescent="0.25">
      <c r="A259" s="21"/>
      <c r="B259" s="17">
        <v>45898</v>
      </c>
      <c r="C259" s="95">
        <v>45870</v>
      </c>
      <c r="D259" s="22" t="s">
        <v>229</v>
      </c>
      <c r="E259" s="22" t="s">
        <v>24</v>
      </c>
      <c r="F259" s="19" t="s">
        <v>4</v>
      </c>
      <c r="G259" s="22" t="s">
        <v>230</v>
      </c>
      <c r="H259" s="23" t="s">
        <v>231</v>
      </c>
      <c r="I259" s="21"/>
      <c r="J259" s="21"/>
      <c r="K259" s="21"/>
      <c r="L259" s="21"/>
      <c r="M259" s="21"/>
    </row>
    <row r="260" spans="1:13" s="24" customFormat="1" x14ac:dyDescent="0.25">
      <c r="A260" s="21"/>
      <c r="B260" s="17">
        <v>45898</v>
      </c>
      <c r="C260" s="95">
        <v>45870</v>
      </c>
      <c r="D260" s="22" t="s">
        <v>232</v>
      </c>
      <c r="E260" s="22" t="s">
        <v>24</v>
      </c>
      <c r="F260" s="19" t="s">
        <v>6</v>
      </c>
      <c r="G260" s="22" t="s">
        <v>25</v>
      </c>
      <c r="H260" s="23" t="s">
        <v>233</v>
      </c>
      <c r="I260" s="21"/>
      <c r="J260" s="21"/>
      <c r="K260" s="21"/>
      <c r="L260" s="21"/>
      <c r="M260" s="21"/>
    </row>
    <row r="261" spans="1:13" s="24" customFormat="1" x14ac:dyDescent="0.25">
      <c r="A261" s="21"/>
      <c r="B261" s="17">
        <v>45901</v>
      </c>
      <c r="C261" s="95">
        <v>45870</v>
      </c>
      <c r="D261" s="22" t="s">
        <v>234</v>
      </c>
      <c r="E261" s="18" t="s">
        <v>24</v>
      </c>
      <c r="F261" s="19" t="s">
        <v>6</v>
      </c>
      <c r="G261" s="18" t="s">
        <v>25</v>
      </c>
      <c r="H261" s="20" t="s">
        <v>26</v>
      </c>
      <c r="I261" s="21"/>
      <c r="J261" s="21"/>
      <c r="K261" s="21"/>
      <c r="L261" s="21"/>
      <c r="M261" s="21"/>
    </row>
    <row r="262" spans="1:13" s="24" customFormat="1" x14ac:dyDescent="0.25">
      <c r="A262" s="21"/>
      <c r="B262" s="17">
        <v>45901</v>
      </c>
      <c r="C262" s="95">
        <v>45870</v>
      </c>
      <c r="D262" s="22" t="s">
        <v>148</v>
      </c>
      <c r="E262" s="18" t="s">
        <v>24</v>
      </c>
      <c r="F262" s="19" t="s">
        <v>6</v>
      </c>
      <c r="G262" s="22" t="s">
        <v>149</v>
      </c>
      <c r="H262" s="23" t="s">
        <v>150</v>
      </c>
      <c r="I262" s="21"/>
      <c r="J262" s="21"/>
      <c r="K262" s="21"/>
      <c r="L262" s="21"/>
      <c r="M262" s="21"/>
    </row>
    <row r="263" spans="1:13" s="24" customFormat="1" ht="31.5" x14ac:dyDescent="0.25">
      <c r="A263" s="21"/>
      <c r="B263" s="17">
        <v>45902</v>
      </c>
      <c r="C263" s="95">
        <v>45870</v>
      </c>
      <c r="D263" s="22" t="s">
        <v>49</v>
      </c>
      <c r="E263" s="18" t="s">
        <v>24</v>
      </c>
      <c r="F263" s="19" t="s">
        <v>6</v>
      </c>
      <c r="G263" s="22" t="s">
        <v>50</v>
      </c>
      <c r="H263" s="23" t="s">
        <v>51</v>
      </c>
      <c r="I263" s="21"/>
      <c r="J263" s="21"/>
      <c r="K263" s="21"/>
      <c r="L263" s="21"/>
      <c r="M263" s="21"/>
    </row>
    <row r="264" spans="1:13" s="24" customFormat="1" ht="47.25" x14ac:dyDescent="0.25">
      <c r="A264" s="21"/>
      <c r="B264" s="17">
        <v>45903</v>
      </c>
      <c r="C264" s="95">
        <v>45870</v>
      </c>
      <c r="D264" s="18" t="s">
        <v>27</v>
      </c>
      <c r="E264" s="18" t="s">
        <v>24</v>
      </c>
      <c r="F264" s="19" t="s">
        <v>6</v>
      </c>
      <c r="G264" s="18" t="s">
        <v>28</v>
      </c>
      <c r="H264" s="20" t="s">
        <v>29</v>
      </c>
      <c r="I264" s="21"/>
      <c r="J264" s="21"/>
      <c r="K264" s="21"/>
      <c r="L264" s="21"/>
      <c r="M264" s="21"/>
    </row>
    <row r="265" spans="1:13" s="24" customFormat="1" ht="31.5" x14ac:dyDescent="0.25">
      <c r="A265" s="21"/>
      <c r="B265" s="17">
        <v>45904</v>
      </c>
      <c r="C265" s="95">
        <v>45870</v>
      </c>
      <c r="D265" s="22" t="s">
        <v>49</v>
      </c>
      <c r="E265" s="18" t="s">
        <v>24</v>
      </c>
      <c r="F265" s="19" t="s">
        <v>6</v>
      </c>
      <c r="G265" s="22" t="s">
        <v>50</v>
      </c>
      <c r="H265" s="23" t="s">
        <v>51</v>
      </c>
      <c r="I265" s="21"/>
      <c r="J265" s="21"/>
      <c r="K265" s="21"/>
      <c r="L265" s="21"/>
      <c r="M265" s="21"/>
    </row>
    <row r="266" spans="1:13" s="24" customFormat="1" x14ac:dyDescent="0.25">
      <c r="A266" s="21"/>
      <c r="B266" s="17">
        <v>45905</v>
      </c>
      <c r="C266" s="95">
        <v>45870</v>
      </c>
      <c r="D266" s="22" t="s">
        <v>60</v>
      </c>
      <c r="E266" s="22" t="s">
        <v>24</v>
      </c>
      <c r="F266" s="19" t="s">
        <v>6</v>
      </c>
      <c r="G266" s="22" t="s">
        <v>235</v>
      </c>
      <c r="H266" s="23" t="s">
        <v>236</v>
      </c>
      <c r="I266" s="21"/>
      <c r="J266" s="21"/>
      <c r="K266" s="21"/>
      <c r="L266" s="21"/>
      <c r="M266" s="21"/>
    </row>
    <row r="267" spans="1:13" s="24" customFormat="1" x14ac:dyDescent="0.25">
      <c r="A267" s="21"/>
      <c r="B267" s="61">
        <v>45907</v>
      </c>
      <c r="C267" s="95">
        <v>45870</v>
      </c>
      <c r="D267" s="22" t="s">
        <v>60</v>
      </c>
      <c r="E267" s="22" t="s">
        <v>24</v>
      </c>
      <c r="F267" s="19" t="s">
        <v>6</v>
      </c>
      <c r="G267" s="22" t="s">
        <v>235</v>
      </c>
      <c r="H267" s="23" t="s">
        <v>237</v>
      </c>
      <c r="I267" s="21"/>
      <c r="J267" s="21"/>
      <c r="K267" s="21"/>
      <c r="L267" s="21"/>
      <c r="M267" s="21"/>
    </row>
    <row r="268" spans="1:13" s="24" customFormat="1" x14ac:dyDescent="0.25">
      <c r="A268" s="21"/>
      <c r="B268" s="17">
        <v>45908</v>
      </c>
      <c r="C268" s="95">
        <v>45870</v>
      </c>
      <c r="D268" s="18" t="s">
        <v>68</v>
      </c>
      <c r="E268" s="18" t="s">
        <v>24</v>
      </c>
      <c r="F268" s="19" t="s">
        <v>6</v>
      </c>
      <c r="G268" s="18" t="s">
        <v>25</v>
      </c>
      <c r="H268" s="20" t="s">
        <v>69</v>
      </c>
      <c r="I268" s="21"/>
      <c r="J268" s="21"/>
      <c r="K268" s="21"/>
      <c r="L268" s="21"/>
      <c r="M268" s="21"/>
    </row>
    <row r="269" spans="1:13" s="24" customFormat="1" x14ac:dyDescent="0.25">
      <c r="A269" s="21"/>
      <c r="B269" s="17">
        <v>45908</v>
      </c>
      <c r="C269" s="95">
        <v>45870</v>
      </c>
      <c r="D269" s="22" t="s">
        <v>113</v>
      </c>
      <c r="E269" s="18" t="s">
        <v>24</v>
      </c>
      <c r="F269" s="19" t="s">
        <v>6</v>
      </c>
      <c r="G269" s="22" t="s">
        <v>25</v>
      </c>
      <c r="H269" s="23" t="s">
        <v>114</v>
      </c>
      <c r="I269" s="21"/>
      <c r="J269" s="21"/>
      <c r="K269" s="21"/>
      <c r="L269" s="21"/>
      <c r="M269" s="21"/>
    </row>
    <row r="270" spans="1:13" s="24" customFormat="1" x14ac:dyDescent="0.25">
      <c r="A270" s="21"/>
      <c r="B270" s="17">
        <v>45909</v>
      </c>
      <c r="C270" s="95">
        <v>45870</v>
      </c>
      <c r="D270" s="22" t="s">
        <v>34</v>
      </c>
      <c r="E270" s="18" t="s">
        <v>24</v>
      </c>
      <c r="F270" s="19" t="s">
        <v>6</v>
      </c>
      <c r="G270" s="22" t="s">
        <v>146</v>
      </c>
      <c r="H270" s="23" t="s">
        <v>238</v>
      </c>
      <c r="I270" s="21"/>
      <c r="J270" s="21"/>
      <c r="K270" s="21"/>
      <c r="L270" s="21"/>
      <c r="M270" s="21"/>
    </row>
    <row r="271" spans="1:13" s="24" customFormat="1" ht="31.5" x14ac:dyDescent="0.25">
      <c r="A271" s="21"/>
      <c r="B271" s="17">
        <v>45909</v>
      </c>
      <c r="C271" s="95">
        <v>45870</v>
      </c>
      <c r="D271" s="22" t="s">
        <v>49</v>
      </c>
      <c r="E271" s="18" t="s">
        <v>24</v>
      </c>
      <c r="F271" s="19" t="s">
        <v>6</v>
      </c>
      <c r="G271" s="22" t="s">
        <v>50</v>
      </c>
      <c r="H271" s="23" t="s">
        <v>51</v>
      </c>
      <c r="I271" s="21"/>
      <c r="J271" s="21"/>
      <c r="K271" s="21"/>
      <c r="L271" s="21"/>
      <c r="M271" s="21"/>
    </row>
    <row r="272" spans="1:13" s="90" customFormat="1" x14ac:dyDescent="0.25">
      <c r="B272" s="91"/>
      <c r="C272" s="92"/>
      <c r="D272" s="93"/>
      <c r="E272" s="93"/>
      <c r="F272" s="93" t="s">
        <v>144</v>
      </c>
      <c r="G272" s="93"/>
      <c r="H272" s="94"/>
    </row>
    <row r="273" spans="1:13" s="24" customFormat="1" ht="47.25" x14ac:dyDescent="0.25">
      <c r="A273" s="21"/>
      <c r="B273" s="17">
        <v>45910</v>
      </c>
      <c r="C273" s="95">
        <v>45901</v>
      </c>
      <c r="D273" s="18" t="s">
        <v>27</v>
      </c>
      <c r="E273" s="18" t="s">
        <v>24</v>
      </c>
      <c r="F273" s="19" t="s">
        <v>6</v>
      </c>
      <c r="G273" s="18" t="s">
        <v>28</v>
      </c>
      <c r="H273" s="20" t="s">
        <v>29</v>
      </c>
      <c r="I273" s="21"/>
      <c r="J273" s="21"/>
      <c r="K273" s="21"/>
      <c r="L273" s="21"/>
      <c r="M273" s="21"/>
    </row>
    <row r="274" spans="1:13" s="24" customFormat="1" ht="31.5" x14ac:dyDescent="0.25">
      <c r="A274" s="21"/>
      <c r="B274" s="17">
        <v>45911</v>
      </c>
      <c r="C274" s="95">
        <v>45901</v>
      </c>
      <c r="D274" s="22" t="s">
        <v>49</v>
      </c>
      <c r="E274" s="18" t="s">
        <v>24</v>
      </c>
      <c r="F274" s="19" t="s">
        <v>6</v>
      </c>
      <c r="G274" s="22" t="s">
        <v>50</v>
      </c>
      <c r="H274" s="23" t="s">
        <v>51</v>
      </c>
      <c r="I274" s="21"/>
      <c r="J274" s="21"/>
      <c r="K274" s="21"/>
      <c r="L274" s="21"/>
      <c r="M274" s="21"/>
    </row>
    <row r="275" spans="1:13" s="24" customFormat="1" ht="31.5" x14ac:dyDescent="0.25">
      <c r="A275" s="21"/>
      <c r="B275" s="17">
        <v>45912</v>
      </c>
      <c r="C275" s="95">
        <v>45901</v>
      </c>
      <c r="D275" s="22" t="s">
        <v>60</v>
      </c>
      <c r="E275" s="22" t="s">
        <v>24</v>
      </c>
      <c r="F275" s="19" t="s">
        <v>6</v>
      </c>
      <c r="G275" s="22" t="s">
        <v>239</v>
      </c>
      <c r="H275" s="23" t="s">
        <v>240</v>
      </c>
      <c r="I275" s="21"/>
      <c r="J275" s="21"/>
      <c r="K275" s="21"/>
      <c r="L275" s="21"/>
      <c r="M275" s="21"/>
    </row>
    <row r="276" spans="1:13" s="24" customFormat="1" x14ac:dyDescent="0.25">
      <c r="A276" s="21"/>
      <c r="B276" s="17">
        <v>45912</v>
      </c>
      <c r="C276" s="95">
        <v>45901</v>
      </c>
      <c r="D276" s="22" t="s">
        <v>60</v>
      </c>
      <c r="E276" s="22" t="s">
        <v>24</v>
      </c>
      <c r="F276" s="19" t="s">
        <v>6</v>
      </c>
      <c r="G276" s="22" t="s">
        <v>241</v>
      </c>
      <c r="H276" s="23" t="s">
        <v>242</v>
      </c>
      <c r="I276" s="21"/>
      <c r="J276" s="21"/>
      <c r="K276" s="21"/>
      <c r="L276" s="21"/>
      <c r="M276" s="21"/>
    </row>
    <row r="277" spans="1:13" s="24" customFormat="1" x14ac:dyDescent="0.25">
      <c r="A277" s="21"/>
      <c r="B277" s="17">
        <v>45915</v>
      </c>
      <c r="C277" s="95">
        <v>45901</v>
      </c>
      <c r="D277" s="18" t="s">
        <v>23</v>
      </c>
      <c r="E277" s="18" t="s">
        <v>24</v>
      </c>
      <c r="F277" s="19" t="s">
        <v>6</v>
      </c>
      <c r="G277" s="18" t="s">
        <v>25</v>
      </c>
      <c r="H277" s="20" t="s">
        <v>26</v>
      </c>
      <c r="I277" s="21"/>
      <c r="J277" s="21"/>
      <c r="K277" s="21"/>
      <c r="L277" s="21"/>
      <c r="M277" s="21"/>
    </row>
    <row r="278" spans="1:13" s="24" customFormat="1" x14ac:dyDescent="0.25">
      <c r="A278" s="21"/>
      <c r="B278" s="17">
        <v>45915</v>
      </c>
      <c r="C278" s="95">
        <v>45901</v>
      </c>
      <c r="D278" s="22" t="s">
        <v>243</v>
      </c>
      <c r="E278" s="22" t="s">
        <v>24</v>
      </c>
      <c r="F278" s="19" t="s">
        <v>6</v>
      </c>
      <c r="G278" s="22" t="s">
        <v>244</v>
      </c>
      <c r="H278" s="23" t="s">
        <v>245</v>
      </c>
      <c r="I278" s="21"/>
      <c r="J278" s="21"/>
      <c r="K278" s="21"/>
      <c r="L278" s="21"/>
      <c r="M278" s="21"/>
    </row>
    <row r="279" spans="1:13" s="24" customFormat="1" x14ac:dyDescent="0.25">
      <c r="A279" s="21"/>
      <c r="B279" s="17">
        <v>45916</v>
      </c>
      <c r="C279" s="95">
        <v>45901</v>
      </c>
      <c r="D279" s="18" t="s">
        <v>68</v>
      </c>
      <c r="E279" s="18" t="s">
        <v>24</v>
      </c>
      <c r="F279" s="19" t="s">
        <v>6</v>
      </c>
      <c r="G279" s="18" t="s">
        <v>25</v>
      </c>
      <c r="H279" s="20" t="s">
        <v>69</v>
      </c>
      <c r="I279" s="21"/>
      <c r="J279" s="21"/>
      <c r="K279" s="21"/>
      <c r="L279" s="21"/>
      <c r="M279" s="21"/>
    </row>
    <row r="280" spans="1:13" s="24" customFormat="1" ht="31.5" x14ac:dyDescent="0.25">
      <c r="A280" s="21"/>
      <c r="B280" s="17">
        <v>45917</v>
      </c>
      <c r="C280" s="95">
        <v>45901</v>
      </c>
      <c r="D280" s="22" t="s">
        <v>49</v>
      </c>
      <c r="E280" s="18" t="s">
        <v>24</v>
      </c>
      <c r="F280" s="19" t="s">
        <v>6</v>
      </c>
      <c r="G280" s="22" t="s">
        <v>50</v>
      </c>
      <c r="H280" s="23" t="s">
        <v>51</v>
      </c>
      <c r="I280" s="21"/>
      <c r="J280" s="21"/>
      <c r="K280" s="21"/>
      <c r="L280" s="21"/>
      <c r="M280" s="21"/>
    </row>
    <row r="281" spans="1:13" s="24" customFormat="1" ht="47.25" x14ac:dyDescent="0.25">
      <c r="A281" s="21"/>
      <c r="B281" s="17">
        <v>45922</v>
      </c>
      <c r="C281" s="95">
        <v>45901</v>
      </c>
      <c r="D281" s="18" t="s">
        <v>27</v>
      </c>
      <c r="E281" s="18" t="s">
        <v>24</v>
      </c>
      <c r="F281" s="19" t="s">
        <v>6</v>
      </c>
      <c r="G281" s="18" t="s">
        <v>28</v>
      </c>
      <c r="H281" s="20" t="s">
        <v>29</v>
      </c>
      <c r="I281" s="21"/>
      <c r="J281" s="21"/>
      <c r="K281" s="21"/>
      <c r="L281" s="21"/>
      <c r="M281" s="21"/>
    </row>
    <row r="282" spans="1:13" s="24" customFormat="1" x14ac:dyDescent="0.25">
      <c r="A282" s="21"/>
      <c r="B282" s="17">
        <v>45922</v>
      </c>
      <c r="C282" s="95">
        <v>45901</v>
      </c>
      <c r="D282" s="22" t="s">
        <v>105</v>
      </c>
      <c r="E282" s="18" t="s">
        <v>24</v>
      </c>
      <c r="F282" s="19" t="s">
        <v>6</v>
      </c>
      <c r="G282" s="18" t="s">
        <v>25</v>
      </c>
      <c r="H282" s="20" t="s">
        <v>26</v>
      </c>
      <c r="I282" s="21"/>
      <c r="J282" s="21"/>
      <c r="K282" s="21"/>
      <c r="L282" s="21"/>
      <c r="M282" s="21"/>
    </row>
    <row r="283" spans="1:13" s="24" customFormat="1" ht="31.5" x14ac:dyDescent="0.25">
      <c r="A283" s="21"/>
      <c r="B283" s="17">
        <v>45923</v>
      </c>
      <c r="C283" s="95">
        <v>45901</v>
      </c>
      <c r="D283" s="22" t="s">
        <v>60</v>
      </c>
      <c r="E283" s="22" t="s">
        <v>24</v>
      </c>
      <c r="F283" s="19" t="s">
        <v>4</v>
      </c>
      <c r="G283" s="22" t="s">
        <v>246</v>
      </c>
      <c r="H283" s="23" t="s">
        <v>247</v>
      </c>
      <c r="I283" s="21"/>
      <c r="J283" s="21"/>
      <c r="K283" s="21"/>
      <c r="L283" s="21"/>
      <c r="M283" s="21"/>
    </row>
    <row r="284" spans="1:13" s="24" customFormat="1" ht="31.5" x14ac:dyDescent="0.25">
      <c r="A284" s="21"/>
      <c r="B284" s="17">
        <v>45923</v>
      </c>
      <c r="C284" s="95">
        <v>45901</v>
      </c>
      <c r="D284" s="22" t="s">
        <v>248</v>
      </c>
      <c r="E284" s="22" t="s">
        <v>24</v>
      </c>
      <c r="F284" s="19" t="s">
        <v>4</v>
      </c>
      <c r="G284" s="22" t="s">
        <v>230</v>
      </c>
      <c r="H284" s="23" t="s">
        <v>249</v>
      </c>
      <c r="I284" s="21"/>
      <c r="J284" s="21"/>
      <c r="K284" s="21"/>
      <c r="L284" s="21"/>
      <c r="M284" s="21"/>
    </row>
    <row r="285" spans="1:13" s="24" customFormat="1" x14ac:dyDescent="0.25">
      <c r="A285" s="21"/>
      <c r="B285" s="17">
        <v>45923</v>
      </c>
      <c r="C285" s="95">
        <v>45901</v>
      </c>
      <c r="D285" s="22" t="s">
        <v>250</v>
      </c>
      <c r="E285" s="22" t="s">
        <v>24</v>
      </c>
      <c r="F285" s="19" t="s">
        <v>4</v>
      </c>
      <c r="G285" s="22" t="s">
        <v>106</v>
      </c>
      <c r="H285" s="23" t="s">
        <v>251</v>
      </c>
      <c r="I285" s="21"/>
      <c r="J285" s="21"/>
      <c r="K285" s="21"/>
      <c r="L285" s="21"/>
      <c r="M285" s="21"/>
    </row>
    <row r="286" spans="1:13" s="24" customFormat="1" ht="47.25" x14ac:dyDescent="0.25">
      <c r="A286" s="21"/>
      <c r="B286" s="17">
        <v>45924</v>
      </c>
      <c r="C286" s="95">
        <v>45901</v>
      </c>
      <c r="D286" s="18" t="s">
        <v>27</v>
      </c>
      <c r="E286" s="18" t="s">
        <v>24</v>
      </c>
      <c r="F286" s="19" t="s">
        <v>6</v>
      </c>
      <c r="G286" s="18" t="s">
        <v>28</v>
      </c>
      <c r="H286" s="20" t="s">
        <v>29</v>
      </c>
      <c r="I286" s="21"/>
      <c r="J286" s="21"/>
      <c r="K286" s="21"/>
      <c r="L286" s="21"/>
      <c r="M286" s="21"/>
    </row>
    <row r="287" spans="1:13" s="24" customFormat="1" ht="31.5" x14ac:dyDescent="0.25">
      <c r="A287" s="21"/>
      <c r="B287" s="17">
        <v>45925</v>
      </c>
      <c r="C287" s="95">
        <v>45901</v>
      </c>
      <c r="D287" s="22" t="s">
        <v>49</v>
      </c>
      <c r="E287" s="18" t="s">
        <v>24</v>
      </c>
      <c r="F287" s="19" t="s">
        <v>6</v>
      </c>
      <c r="G287" s="22" t="s">
        <v>50</v>
      </c>
      <c r="H287" s="23" t="s">
        <v>51</v>
      </c>
      <c r="I287" s="21"/>
      <c r="J287" s="21"/>
      <c r="K287" s="21"/>
      <c r="L287" s="21"/>
      <c r="M287" s="21"/>
    </row>
    <row r="288" spans="1:13" s="24" customFormat="1" ht="31.5" x14ac:dyDescent="0.25">
      <c r="A288" s="21"/>
      <c r="B288" s="17">
        <v>45925</v>
      </c>
      <c r="C288" s="95">
        <v>45901</v>
      </c>
      <c r="D288" s="22" t="s">
        <v>60</v>
      </c>
      <c r="E288" s="18" t="s">
        <v>24</v>
      </c>
      <c r="F288" s="19" t="s">
        <v>6</v>
      </c>
      <c r="G288" s="22" t="s">
        <v>252</v>
      </c>
      <c r="H288" s="23" t="s">
        <v>253</v>
      </c>
      <c r="I288" s="21"/>
      <c r="J288" s="21"/>
      <c r="K288" s="21"/>
      <c r="L288" s="21"/>
      <c r="M288" s="21"/>
    </row>
    <row r="289" spans="1:13" s="24" customFormat="1" ht="47.25" x14ac:dyDescent="0.25">
      <c r="A289" s="21"/>
      <c r="B289" s="17">
        <v>45926</v>
      </c>
      <c r="C289" s="95">
        <v>45901</v>
      </c>
      <c r="D289" s="18" t="s">
        <v>27</v>
      </c>
      <c r="E289" s="18" t="s">
        <v>24</v>
      </c>
      <c r="F289" s="19" t="s">
        <v>6</v>
      </c>
      <c r="G289" s="18" t="s">
        <v>28</v>
      </c>
      <c r="H289" s="20" t="s">
        <v>29</v>
      </c>
      <c r="I289" s="21"/>
      <c r="J289" s="21"/>
      <c r="K289" s="21"/>
      <c r="L289" s="21"/>
      <c r="M289" s="21"/>
    </row>
    <row r="290" spans="1:13" s="24" customFormat="1" x14ac:dyDescent="0.25">
      <c r="A290" s="21"/>
      <c r="B290" s="17">
        <v>45929</v>
      </c>
      <c r="C290" s="95">
        <v>45901</v>
      </c>
      <c r="D290" s="22" t="s">
        <v>110</v>
      </c>
      <c r="E290" s="18" t="s">
        <v>24</v>
      </c>
      <c r="F290" s="19" t="s">
        <v>6</v>
      </c>
      <c r="G290" s="22" t="s">
        <v>25</v>
      </c>
      <c r="H290" s="23" t="s">
        <v>114</v>
      </c>
      <c r="I290" s="21"/>
      <c r="J290" s="21"/>
      <c r="K290" s="21"/>
      <c r="L290" s="21"/>
      <c r="M290" s="21"/>
    </row>
    <row r="291" spans="1:13" s="24" customFormat="1" x14ac:dyDescent="0.25">
      <c r="A291" s="21"/>
      <c r="B291" s="17">
        <v>45929</v>
      </c>
      <c r="C291" s="95">
        <v>45901</v>
      </c>
      <c r="D291" s="22" t="s">
        <v>34</v>
      </c>
      <c r="E291" s="18" t="s">
        <v>24</v>
      </c>
      <c r="F291" s="19" t="s">
        <v>6</v>
      </c>
      <c r="G291" s="22" t="s">
        <v>146</v>
      </c>
      <c r="H291" s="23" t="s">
        <v>254</v>
      </c>
      <c r="I291" s="21"/>
      <c r="J291" s="21"/>
      <c r="K291" s="21"/>
      <c r="L291" s="21"/>
      <c r="M291" s="21"/>
    </row>
    <row r="292" spans="1:13" s="24" customFormat="1" x14ac:dyDescent="0.25">
      <c r="A292" s="21"/>
      <c r="B292" s="17">
        <v>45930</v>
      </c>
      <c r="C292" s="95">
        <v>45901</v>
      </c>
      <c r="D292" s="18" t="s">
        <v>68</v>
      </c>
      <c r="E292" s="18" t="s">
        <v>24</v>
      </c>
      <c r="F292" s="19" t="s">
        <v>6</v>
      </c>
      <c r="G292" s="18" t="s">
        <v>25</v>
      </c>
      <c r="H292" s="20" t="s">
        <v>69</v>
      </c>
      <c r="I292" s="21"/>
      <c r="J292" s="21"/>
      <c r="K292" s="21"/>
      <c r="L292" s="21"/>
      <c r="M292" s="21"/>
    </row>
    <row r="293" spans="1:13" s="24" customFormat="1" ht="47.25" x14ac:dyDescent="0.25">
      <c r="A293" s="21"/>
      <c r="B293" s="17">
        <v>45930</v>
      </c>
      <c r="C293" s="95">
        <v>45901</v>
      </c>
      <c r="D293" s="18" t="s">
        <v>27</v>
      </c>
      <c r="E293" s="18" t="s">
        <v>24</v>
      </c>
      <c r="F293" s="19" t="s">
        <v>6</v>
      </c>
      <c r="G293" s="18" t="s">
        <v>28</v>
      </c>
      <c r="H293" s="20" t="s">
        <v>29</v>
      </c>
      <c r="I293" s="21"/>
      <c r="J293" s="21"/>
      <c r="K293" s="21"/>
      <c r="L293" s="21"/>
      <c r="M293" s="21"/>
    </row>
    <row r="294" spans="1:13" s="24" customFormat="1" ht="31.5" x14ac:dyDescent="0.25">
      <c r="A294" s="21"/>
      <c r="B294" s="17">
        <v>45658</v>
      </c>
      <c r="C294" s="95">
        <v>45901</v>
      </c>
      <c r="D294" s="22" t="s">
        <v>49</v>
      </c>
      <c r="E294" s="18" t="s">
        <v>24</v>
      </c>
      <c r="F294" s="19" t="s">
        <v>6</v>
      </c>
      <c r="G294" s="22" t="s">
        <v>50</v>
      </c>
      <c r="H294" s="23" t="s">
        <v>51</v>
      </c>
      <c r="I294" s="21"/>
      <c r="J294" s="21"/>
      <c r="K294" s="21"/>
      <c r="L294" s="21"/>
      <c r="M294" s="21"/>
    </row>
    <row r="295" spans="1:13" s="24" customFormat="1" x14ac:dyDescent="0.25">
      <c r="A295" s="21"/>
      <c r="B295" s="17">
        <v>43831</v>
      </c>
      <c r="C295" s="95">
        <v>45901</v>
      </c>
      <c r="D295" s="22" t="s">
        <v>110</v>
      </c>
      <c r="E295" s="18" t="s">
        <v>24</v>
      </c>
      <c r="F295" s="19" t="s">
        <v>6</v>
      </c>
      <c r="G295" s="22" t="s">
        <v>25</v>
      </c>
      <c r="H295" s="23" t="s">
        <v>114</v>
      </c>
      <c r="I295" s="21"/>
      <c r="J295" s="21"/>
      <c r="K295" s="21"/>
      <c r="L295" s="21"/>
      <c r="M295" s="21"/>
    </row>
    <row r="296" spans="1:13" s="24" customFormat="1" ht="47.25" x14ac:dyDescent="0.25">
      <c r="A296" s="21"/>
      <c r="B296" s="17">
        <v>45932</v>
      </c>
      <c r="C296" s="95">
        <v>45901</v>
      </c>
      <c r="D296" s="22" t="s">
        <v>60</v>
      </c>
      <c r="E296" s="22" t="s">
        <v>24</v>
      </c>
      <c r="F296" s="19" t="s">
        <v>4</v>
      </c>
      <c r="G296" s="22" t="s">
        <v>255</v>
      </c>
      <c r="H296" s="23" t="s">
        <v>256</v>
      </c>
      <c r="I296" s="21"/>
      <c r="J296" s="21"/>
      <c r="K296" s="21"/>
      <c r="L296" s="21"/>
      <c r="M296" s="21"/>
    </row>
    <row r="297" spans="1:13" s="24" customFormat="1" ht="31.5" x14ac:dyDescent="0.25">
      <c r="A297" s="21"/>
      <c r="B297" s="17">
        <v>45932</v>
      </c>
      <c r="C297" s="95">
        <v>45901</v>
      </c>
      <c r="D297" s="22" t="s">
        <v>49</v>
      </c>
      <c r="E297" s="18" t="s">
        <v>24</v>
      </c>
      <c r="F297" s="19" t="s">
        <v>6</v>
      </c>
      <c r="G297" s="22" t="s">
        <v>50</v>
      </c>
      <c r="H297" s="23" t="s">
        <v>51</v>
      </c>
      <c r="I297" s="21"/>
      <c r="J297" s="21"/>
      <c r="K297" s="21"/>
      <c r="L297" s="21"/>
      <c r="M297" s="21"/>
    </row>
    <row r="298" spans="1:13" s="24" customFormat="1" ht="31.5" x14ac:dyDescent="0.25">
      <c r="A298" s="21"/>
      <c r="B298" s="17">
        <v>45933</v>
      </c>
      <c r="C298" s="95">
        <v>45901</v>
      </c>
      <c r="D298" s="22" t="s">
        <v>60</v>
      </c>
      <c r="E298" s="22" t="s">
        <v>24</v>
      </c>
      <c r="F298" s="19" t="s">
        <v>4</v>
      </c>
      <c r="G298" s="22" t="s">
        <v>255</v>
      </c>
      <c r="H298" s="23" t="s">
        <v>257</v>
      </c>
      <c r="I298" s="21"/>
      <c r="J298" s="21"/>
      <c r="K298" s="21"/>
      <c r="L298" s="21"/>
      <c r="M298" s="21"/>
    </row>
    <row r="299" spans="1:13" s="24" customFormat="1" x14ac:dyDescent="0.25">
      <c r="A299" s="21"/>
      <c r="B299" s="17">
        <v>45936</v>
      </c>
      <c r="C299" s="95">
        <v>45901</v>
      </c>
      <c r="D299" s="22" t="s">
        <v>105</v>
      </c>
      <c r="E299" s="18" t="s">
        <v>24</v>
      </c>
      <c r="F299" s="19" t="s">
        <v>6</v>
      </c>
      <c r="G299" s="18" t="s">
        <v>25</v>
      </c>
      <c r="H299" s="20" t="s">
        <v>26</v>
      </c>
      <c r="I299" s="21"/>
      <c r="J299" s="21"/>
      <c r="K299" s="21"/>
      <c r="L299" s="21"/>
      <c r="M299" s="21"/>
    </row>
    <row r="300" spans="1:13" s="24" customFormat="1" ht="47.25" x14ac:dyDescent="0.25">
      <c r="A300" s="21"/>
      <c r="B300" s="17">
        <v>45936</v>
      </c>
      <c r="C300" s="95">
        <v>45901</v>
      </c>
      <c r="D300" s="18" t="s">
        <v>27</v>
      </c>
      <c r="E300" s="18" t="s">
        <v>24</v>
      </c>
      <c r="F300" s="19" t="s">
        <v>6</v>
      </c>
      <c r="G300" s="18" t="s">
        <v>28</v>
      </c>
      <c r="H300" s="20" t="s">
        <v>29</v>
      </c>
      <c r="I300" s="21"/>
      <c r="J300" s="21"/>
      <c r="K300" s="21"/>
      <c r="L300" s="21"/>
      <c r="M300" s="21"/>
    </row>
    <row r="301" spans="1:13" s="24" customFormat="1" x14ac:dyDescent="0.25">
      <c r="A301" s="21"/>
      <c r="B301" s="17">
        <v>45937</v>
      </c>
      <c r="C301" s="95">
        <v>45901</v>
      </c>
      <c r="D301" s="22"/>
      <c r="E301" s="22"/>
      <c r="F301" s="22"/>
      <c r="G301" s="22"/>
      <c r="H301" s="23"/>
      <c r="I301" s="21"/>
      <c r="J301" s="21"/>
      <c r="K301" s="21"/>
      <c r="L301" s="21"/>
      <c r="M301" s="21"/>
    </row>
    <row r="302" spans="1:13" s="24" customFormat="1" x14ac:dyDescent="0.25">
      <c r="A302" s="21"/>
      <c r="B302" s="17">
        <v>45937</v>
      </c>
      <c r="C302" s="95">
        <v>45901</v>
      </c>
      <c r="D302" s="22" t="s">
        <v>60</v>
      </c>
      <c r="E302" s="18" t="s">
        <v>24</v>
      </c>
      <c r="F302" s="19" t="s">
        <v>6</v>
      </c>
      <c r="G302" s="22" t="s">
        <v>258</v>
      </c>
      <c r="H302" s="23" t="s">
        <v>259</v>
      </c>
      <c r="I302" s="21"/>
      <c r="J302" s="21"/>
      <c r="K302" s="21"/>
      <c r="L302" s="21"/>
      <c r="M302" s="21"/>
    </row>
    <row r="303" spans="1:13" s="24" customFormat="1" x14ac:dyDescent="0.25">
      <c r="A303" s="21"/>
      <c r="B303" s="17">
        <v>45938</v>
      </c>
      <c r="C303" s="95">
        <v>45901</v>
      </c>
      <c r="D303" s="22"/>
      <c r="E303" s="22"/>
      <c r="F303" s="22"/>
      <c r="G303" s="22"/>
      <c r="H303" s="23"/>
      <c r="I303" s="21"/>
      <c r="J303" s="21"/>
      <c r="K303" s="21"/>
      <c r="L303" s="21"/>
      <c r="M303" s="21"/>
    </row>
    <row r="304" spans="1:13" s="24" customFormat="1" ht="47.25" x14ac:dyDescent="0.25">
      <c r="A304" s="21"/>
      <c r="B304" s="17">
        <v>45938</v>
      </c>
      <c r="C304" s="95">
        <v>45901</v>
      </c>
      <c r="D304" s="18" t="s">
        <v>27</v>
      </c>
      <c r="E304" s="18" t="s">
        <v>24</v>
      </c>
      <c r="F304" s="19" t="s">
        <v>6</v>
      </c>
      <c r="G304" s="18" t="s">
        <v>28</v>
      </c>
      <c r="H304" s="20" t="s">
        <v>29</v>
      </c>
      <c r="I304" s="21"/>
      <c r="J304" s="21"/>
      <c r="K304" s="21"/>
      <c r="L304" s="21"/>
      <c r="M304" s="21"/>
    </row>
    <row r="305" spans="1:13" s="24" customFormat="1" x14ac:dyDescent="0.25">
      <c r="A305" s="21"/>
      <c r="B305" s="17">
        <v>45939</v>
      </c>
      <c r="C305" s="95">
        <v>45901</v>
      </c>
      <c r="D305" s="22" t="s">
        <v>213</v>
      </c>
      <c r="E305" s="18" t="s">
        <v>24</v>
      </c>
      <c r="F305" s="19" t="s">
        <v>6</v>
      </c>
      <c r="G305" s="22" t="s">
        <v>25</v>
      </c>
      <c r="H305" s="23" t="s">
        <v>260</v>
      </c>
      <c r="I305" s="21"/>
      <c r="J305" s="21"/>
      <c r="K305" s="21"/>
      <c r="L305" s="21"/>
      <c r="M305" s="21"/>
    </row>
    <row r="306" spans="1:13" s="24" customFormat="1" ht="31.5" x14ac:dyDescent="0.25">
      <c r="A306" s="21"/>
      <c r="B306" s="17">
        <v>45939</v>
      </c>
      <c r="C306" s="95">
        <v>45901</v>
      </c>
      <c r="D306" s="22" t="s">
        <v>49</v>
      </c>
      <c r="E306" s="18" t="s">
        <v>24</v>
      </c>
      <c r="F306" s="19" t="s">
        <v>6</v>
      </c>
      <c r="G306" s="22" t="s">
        <v>50</v>
      </c>
      <c r="H306" s="23" t="s">
        <v>51</v>
      </c>
      <c r="I306" s="21"/>
      <c r="J306" s="21"/>
      <c r="K306" s="21"/>
      <c r="L306" s="21"/>
      <c r="M306" s="21"/>
    </row>
    <row r="307" spans="1:13" s="123" customFormat="1" x14ac:dyDescent="0.25">
      <c r="B307" s="124"/>
      <c r="C307" s="125"/>
      <c r="D307" s="126"/>
      <c r="E307" s="127"/>
      <c r="F307" s="93" t="s">
        <v>144</v>
      </c>
      <c r="G307" s="126"/>
      <c r="H307" s="128"/>
    </row>
    <row r="308" spans="1:13" s="24" customFormat="1" x14ac:dyDescent="0.25">
      <c r="A308" s="21"/>
      <c r="B308" s="17">
        <v>45940</v>
      </c>
      <c r="C308" s="95">
        <v>45931</v>
      </c>
      <c r="D308" s="22" t="s">
        <v>60</v>
      </c>
      <c r="E308" s="18" t="s">
        <v>24</v>
      </c>
      <c r="F308" s="19" t="s">
        <v>6</v>
      </c>
      <c r="G308" s="22" t="s">
        <v>121</v>
      </c>
      <c r="H308" s="23" t="s">
        <v>122</v>
      </c>
      <c r="I308" s="21"/>
      <c r="J308" s="21"/>
      <c r="K308" s="21"/>
      <c r="L308" s="21"/>
      <c r="M308" s="21"/>
    </row>
    <row r="309" spans="1:13" s="24" customFormat="1" ht="47.25" x14ac:dyDescent="0.25">
      <c r="A309" s="21"/>
      <c r="B309" s="17">
        <v>45940</v>
      </c>
      <c r="C309" s="95">
        <v>45931</v>
      </c>
      <c r="D309" s="18" t="s">
        <v>27</v>
      </c>
      <c r="E309" s="18" t="s">
        <v>24</v>
      </c>
      <c r="F309" s="19" t="s">
        <v>6</v>
      </c>
      <c r="G309" s="18" t="s">
        <v>28</v>
      </c>
      <c r="H309" s="20" t="s">
        <v>29</v>
      </c>
      <c r="I309" s="21"/>
      <c r="J309" s="21"/>
      <c r="K309" s="21"/>
      <c r="L309" s="21"/>
      <c r="M309" s="21"/>
    </row>
    <row r="310" spans="1:13" s="24" customFormat="1" ht="31.5" x14ac:dyDescent="0.25">
      <c r="A310" s="21"/>
      <c r="B310" s="17">
        <v>45943</v>
      </c>
      <c r="C310" s="95">
        <v>45931</v>
      </c>
      <c r="D310" s="18" t="s">
        <v>27</v>
      </c>
      <c r="E310" s="18" t="s">
        <v>24</v>
      </c>
      <c r="F310" s="19" t="s">
        <v>6</v>
      </c>
      <c r="G310" s="18" t="s">
        <v>28</v>
      </c>
      <c r="H310" s="23" t="s">
        <v>51</v>
      </c>
      <c r="I310" s="21"/>
      <c r="J310" s="21"/>
      <c r="K310" s="21"/>
      <c r="L310" s="21"/>
      <c r="M310" s="21"/>
    </row>
    <row r="311" spans="1:13" s="24" customFormat="1" ht="47.25" x14ac:dyDescent="0.25">
      <c r="A311" s="21"/>
      <c r="B311" s="17">
        <v>45944</v>
      </c>
      <c r="C311" s="95">
        <v>45931</v>
      </c>
      <c r="D311" s="22" t="s">
        <v>49</v>
      </c>
      <c r="E311" s="18" t="s">
        <v>24</v>
      </c>
      <c r="F311" s="19" t="s">
        <v>6</v>
      </c>
      <c r="G311" s="22" t="s">
        <v>50</v>
      </c>
      <c r="H311" s="20" t="s">
        <v>29</v>
      </c>
      <c r="I311" s="21"/>
      <c r="J311" s="21"/>
      <c r="K311" s="21"/>
      <c r="L311" s="21"/>
      <c r="M311" s="21"/>
    </row>
    <row r="312" spans="1:13" s="24" customFormat="1" x14ac:dyDescent="0.25">
      <c r="A312" s="21"/>
      <c r="B312" s="17">
        <v>45945</v>
      </c>
      <c r="C312" s="95">
        <v>45931</v>
      </c>
      <c r="D312" s="18" t="s">
        <v>27</v>
      </c>
      <c r="E312" s="18" t="s">
        <v>24</v>
      </c>
      <c r="F312" s="19" t="s">
        <v>6</v>
      </c>
      <c r="G312" s="18" t="s">
        <v>261</v>
      </c>
      <c r="H312" s="23" t="s">
        <v>262</v>
      </c>
      <c r="I312" s="21"/>
      <c r="J312" s="21"/>
      <c r="K312" s="21"/>
      <c r="L312" s="21"/>
      <c r="M312" s="21"/>
    </row>
    <row r="313" spans="1:13" s="24" customFormat="1" ht="31.5" x14ac:dyDescent="0.25">
      <c r="A313" s="21"/>
      <c r="B313" s="17">
        <v>45946</v>
      </c>
      <c r="C313" s="95">
        <v>45931</v>
      </c>
      <c r="D313" s="18" t="s">
        <v>27</v>
      </c>
      <c r="E313" s="18" t="s">
        <v>24</v>
      </c>
      <c r="F313" s="19" t="s">
        <v>6</v>
      </c>
      <c r="G313" s="18" t="s">
        <v>28</v>
      </c>
      <c r="H313" s="23" t="s">
        <v>51</v>
      </c>
      <c r="I313" s="21"/>
      <c r="J313" s="21"/>
      <c r="K313" s="21"/>
      <c r="L313" s="21"/>
      <c r="M313" s="21"/>
    </row>
    <row r="314" spans="1:13" s="24" customFormat="1" ht="47.25" x14ac:dyDescent="0.25">
      <c r="A314" s="21"/>
      <c r="B314" s="17">
        <v>45947</v>
      </c>
      <c r="C314" s="95">
        <v>45931</v>
      </c>
      <c r="D314" s="18" t="s">
        <v>27</v>
      </c>
      <c r="E314" s="18" t="s">
        <v>24</v>
      </c>
      <c r="F314" s="19" t="s">
        <v>6</v>
      </c>
      <c r="G314" s="22" t="s">
        <v>50</v>
      </c>
      <c r="H314" s="20" t="s">
        <v>29</v>
      </c>
      <c r="I314" s="21"/>
      <c r="J314" s="21"/>
      <c r="K314" s="21"/>
      <c r="L314" s="21"/>
      <c r="M314" s="21"/>
    </row>
    <row r="315" spans="1:13" s="24" customFormat="1" ht="31.5" x14ac:dyDescent="0.25">
      <c r="A315" s="21"/>
      <c r="B315" s="17">
        <v>45950</v>
      </c>
      <c r="C315" s="95">
        <v>45931</v>
      </c>
      <c r="D315" s="18" t="s">
        <v>27</v>
      </c>
      <c r="E315" s="18" t="s">
        <v>24</v>
      </c>
      <c r="F315" s="19" t="s">
        <v>6</v>
      </c>
      <c r="G315" s="18" t="s">
        <v>28</v>
      </c>
      <c r="H315" s="23" t="s">
        <v>51</v>
      </c>
      <c r="I315" s="21"/>
      <c r="J315" s="21"/>
      <c r="K315" s="21"/>
      <c r="L315" s="21"/>
      <c r="M315" s="21"/>
    </row>
    <row r="316" spans="1:13" s="24" customFormat="1" x14ac:dyDescent="0.25">
      <c r="A316" s="21"/>
      <c r="B316" s="17">
        <v>45951</v>
      </c>
      <c r="C316" s="95">
        <v>45931</v>
      </c>
      <c r="D316" s="18" t="s">
        <v>68</v>
      </c>
      <c r="E316" s="18" t="s">
        <v>24</v>
      </c>
      <c r="F316" s="19" t="s">
        <v>6</v>
      </c>
      <c r="G316" s="18" t="s">
        <v>25</v>
      </c>
      <c r="H316" s="20" t="s">
        <v>69</v>
      </c>
      <c r="I316" s="21"/>
      <c r="J316" s="21"/>
      <c r="K316" s="21"/>
      <c r="L316" s="21"/>
      <c r="M316" s="21"/>
    </row>
    <row r="317" spans="1:13" s="24" customFormat="1" ht="47.25" x14ac:dyDescent="0.25">
      <c r="A317" s="21"/>
      <c r="B317" s="17">
        <v>45952</v>
      </c>
      <c r="C317" s="95">
        <v>45931</v>
      </c>
      <c r="D317" s="18" t="s">
        <v>27</v>
      </c>
      <c r="E317" s="18" t="s">
        <v>24</v>
      </c>
      <c r="F317" s="19" t="s">
        <v>6</v>
      </c>
      <c r="G317" s="22" t="s">
        <v>50</v>
      </c>
      <c r="H317" s="20" t="s">
        <v>29</v>
      </c>
      <c r="I317" s="21"/>
      <c r="J317" s="21"/>
      <c r="K317" s="21"/>
      <c r="L317" s="21"/>
      <c r="M317" s="21"/>
    </row>
    <row r="318" spans="1:13" s="24" customFormat="1" ht="31.5" x14ac:dyDescent="0.25">
      <c r="A318" s="21"/>
      <c r="B318" s="17">
        <v>45953</v>
      </c>
      <c r="C318" s="95">
        <v>45931</v>
      </c>
      <c r="D318" s="18" t="s">
        <v>27</v>
      </c>
      <c r="E318" s="18" t="s">
        <v>24</v>
      </c>
      <c r="F318" s="19" t="s">
        <v>6</v>
      </c>
      <c r="G318" s="18" t="s">
        <v>28</v>
      </c>
      <c r="H318" s="23" t="s">
        <v>51</v>
      </c>
      <c r="I318" s="21"/>
      <c r="J318" s="21"/>
      <c r="K318" s="21"/>
      <c r="L318" s="21"/>
      <c r="M318" s="21"/>
    </row>
    <row r="319" spans="1:13" s="24" customFormat="1" ht="31.5" x14ac:dyDescent="0.25">
      <c r="A319" s="21"/>
      <c r="B319" s="17">
        <v>45954</v>
      </c>
      <c r="C319" s="95">
        <v>45931</v>
      </c>
      <c r="D319" s="18" t="s">
        <v>27</v>
      </c>
      <c r="E319" s="18" t="s">
        <v>24</v>
      </c>
      <c r="F319" s="19" t="s">
        <v>6</v>
      </c>
      <c r="G319" s="18" t="s">
        <v>28</v>
      </c>
      <c r="H319" s="23" t="s">
        <v>51</v>
      </c>
      <c r="I319" s="21"/>
      <c r="J319" s="21"/>
      <c r="K319" s="21"/>
      <c r="L319" s="21"/>
      <c r="M319" s="21"/>
    </row>
    <row r="320" spans="1:13" s="24" customFormat="1" x14ac:dyDescent="0.25">
      <c r="A320" s="21"/>
      <c r="B320" s="17">
        <v>45957</v>
      </c>
      <c r="C320" s="95">
        <v>45931</v>
      </c>
      <c r="D320" s="22" t="s">
        <v>105</v>
      </c>
      <c r="E320" s="18" t="s">
        <v>24</v>
      </c>
      <c r="F320" s="19" t="s">
        <v>6</v>
      </c>
      <c r="G320" s="18" t="s">
        <v>25</v>
      </c>
      <c r="H320" s="20" t="s">
        <v>26</v>
      </c>
      <c r="I320" s="21"/>
      <c r="J320" s="21"/>
      <c r="K320" s="21"/>
      <c r="L320" s="21"/>
      <c r="M320" s="21"/>
    </row>
    <row r="321" spans="1:13" s="24" customFormat="1" ht="31.5" x14ac:dyDescent="0.25">
      <c r="A321" s="21"/>
      <c r="B321" s="17">
        <v>45957</v>
      </c>
      <c r="C321" s="95">
        <v>45931</v>
      </c>
      <c r="D321" s="18" t="s">
        <v>27</v>
      </c>
      <c r="E321" s="18" t="s">
        <v>24</v>
      </c>
      <c r="F321" s="19" t="s">
        <v>6</v>
      </c>
      <c r="G321" s="18" t="s">
        <v>28</v>
      </c>
      <c r="H321" s="23" t="s">
        <v>51</v>
      </c>
      <c r="I321" s="21"/>
      <c r="J321" s="21"/>
      <c r="K321" s="21"/>
      <c r="L321" s="21"/>
      <c r="M321" s="21"/>
    </row>
    <row r="322" spans="1:13" s="24" customFormat="1" x14ac:dyDescent="0.25">
      <c r="A322" s="21"/>
      <c r="B322" s="17">
        <v>45958</v>
      </c>
      <c r="C322" s="95">
        <v>45931</v>
      </c>
      <c r="D322" s="18" t="s">
        <v>68</v>
      </c>
      <c r="E322" s="18" t="s">
        <v>24</v>
      </c>
      <c r="F322" s="19" t="s">
        <v>6</v>
      </c>
      <c r="G322" s="18" t="s">
        <v>25</v>
      </c>
      <c r="H322" s="20" t="s">
        <v>69</v>
      </c>
      <c r="I322" s="21"/>
      <c r="J322" s="21"/>
      <c r="K322" s="21"/>
      <c r="L322" s="21"/>
      <c r="M322" s="21"/>
    </row>
    <row r="323" spans="1:13" s="24" customFormat="1" ht="31.5" x14ac:dyDescent="0.25">
      <c r="A323" s="21"/>
      <c r="B323" s="17">
        <v>45958</v>
      </c>
      <c r="C323" s="95">
        <v>45931</v>
      </c>
      <c r="D323" s="22" t="s">
        <v>93</v>
      </c>
      <c r="E323" s="18" t="s">
        <v>24</v>
      </c>
      <c r="F323" s="19" t="s">
        <v>4</v>
      </c>
      <c r="G323" s="22" t="s">
        <v>263</v>
      </c>
      <c r="H323" s="23" t="s">
        <v>264</v>
      </c>
      <c r="I323" s="21"/>
      <c r="J323" s="21"/>
      <c r="K323" s="21"/>
      <c r="L323" s="21"/>
      <c r="M323" s="21"/>
    </row>
    <row r="324" spans="1:13" s="24" customFormat="1" ht="47.25" x14ac:dyDescent="0.25">
      <c r="A324" s="21"/>
      <c r="B324" s="17">
        <v>45959</v>
      </c>
      <c r="C324" s="95">
        <v>45931</v>
      </c>
      <c r="D324" s="18" t="s">
        <v>27</v>
      </c>
      <c r="E324" s="18" t="s">
        <v>24</v>
      </c>
      <c r="F324" s="19" t="s">
        <v>6</v>
      </c>
      <c r="G324" s="22" t="s">
        <v>50</v>
      </c>
      <c r="H324" s="20" t="s">
        <v>29</v>
      </c>
      <c r="I324" s="21"/>
      <c r="J324" s="21"/>
      <c r="K324" s="21"/>
      <c r="L324" s="21"/>
      <c r="M324" s="21"/>
    </row>
    <row r="325" spans="1:13" s="24" customFormat="1" ht="31.5" x14ac:dyDescent="0.25">
      <c r="A325" s="21"/>
      <c r="B325" s="17">
        <v>45960</v>
      </c>
      <c r="C325" s="95">
        <v>45931</v>
      </c>
      <c r="D325" s="18" t="s">
        <v>27</v>
      </c>
      <c r="E325" s="18" t="s">
        <v>24</v>
      </c>
      <c r="F325" s="19" t="s">
        <v>6</v>
      </c>
      <c r="G325" s="18" t="s">
        <v>28</v>
      </c>
      <c r="H325" s="23" t="s">
        <v>51</v>
      </c>
      <c r="I325" s="21"/>
      <c r="J325" s="21"/>
      <c r="K325" s="21"/>
      <c r="L325" s="21"/>
      <c r="M325" s="21"/>
    </row>
    <row r="326" spans="1:13" s="24" customFormat="1" x14ac:dyDescent="0.25">
      <c r="A326" s="21"/>
      <c r="B326" s="17">
        <v>45964</v>
      </c>
      <c r="C326" s="95">
        <v>45931</v>
      </c>
      <c r="D326" s="22" t="s">
        <v>110</v>
      </c>
      <c r="E326" s="18" t="s">
        <v>24</v>
      </c>
      <c r="F326" s="19" t="s">
        <v>6</v>
      </c>
      <c r="G326" s="22" t="s">
        <v>25</v>
      </c>
      <c r="H326" s="23" t="s">
        <v>114</v>
      </c>
      <c r="I326" s="21"/>
      <c r="J326" s="21"/>
      <c r="K326" s="21"/>
      <c r="L326" s="21"/>
      <c r="M326" s="21"/>
    </row>
    <row r="327" spans="1:13" s="24" customFormat="1" ht="47.25" x14ac:dyDescent="0.25">
      <c r="A327" s="21"/>
      <c r="B327" s="17">
        <v>45965</v>
      </c>
      <c r="C327" s="95">
        <v>45931</v>
      </c>
      <c r="D327" s="18" t="s">
        <v>27</v>
      </c>
      <c r="E327" s="18" t="s">
        <v>24</v>
      </c>
      <c r="F327" s="19" t="s">
        <v>6</v>
      </c>
      <c r="G327" s="22" t="s">
        <v>50</v>
      </c>
      <c r="H327" s="20" t="s">
        <v>29</v>
      </c>
      <c r="I327" s="21"/>
      <c r="J327" s="21"/>
      <c r="K327" s="21"/>
      <c r="L327" s="21"/>
      <c r="M327" s="21"/>
    </row>
    <row r="328" spans="1:13" s="24" customFormat="1" ht="31.5" x14ac:dyDescent="0.25">
      <c r="A328" s="21"/>
      <c r="B328" s="17">
        <v>45966</v>
      </c>
      <c r="C328" s="95">
        <v>45931</v>
      </c>
      <c r="D328" s="18" t="s">
        <v>27</v>
      </c>
      <c r="E328" s="18" t="s">
        <v>24</v>
      </c>
      <c r="F328" s="19" t="s">
        <v>6</v>
      </c>
      <c r="G328" s="18" t="s">
        <v>28</v>
      </c>
      <c r="H328" s="23" t="s">
        <v>51</v>
      </c>
      <c r="I328" s="21"/>
      <c r="J328" s="21"/>
      <c r="K328" s="21"/>
      <c r="L328" s="21"/>
      <c r="M328" s="21"/>
    </row>
    <row r="329" spans="1:13" s="24" customFormat="1" x14ac:dyDescent="0.25">
      <c r="A329" s="21"/>
      <c r="B329" s="17">
        <v>45967</v>
      </c>
      <c r="C329" s="95">
        <v>45931</v>
      </c>
      <c r="D329" s="18" t="s">
        <v>68</v>
      </c>
      <c r="E329" s="18" t="s">
        <v>24</v>
      </c>
      <c r="F329" s="19" t="s">
        <v>6</v>
      </c>
      <c r="G329" s="18" t="s">
        <v>25</v>
      </c>
      <c r="H329" s="20" t="s">
        <v>69</v>
      </c>
      <c r="I329" s="21"/>
      <c r="J329" s="21"/>
      <c r="K329" s="21"/>
      <c r="L329" s="21"/>
      <c r="M329" s="21"/>
    </row>
    <row r="330" spans="1:13" s="24" customFormat="1" x14ac:dyDescent="0.25">
      <c r="A330" s="21"/>
      <c r="B330" s="17">
        <v>45968</v>
      </c>
      <c r="C330" s="95">
        <v>45931</v>
      </c>
      <c r="D330" s="22" t="s">
        <v>265</v>
      </c>
      <c r="E330" s="18" t="s">
        <v>24</v>
      </c>
      <c r="F330" s="19" t="s">
        <v>4</v>
      </c>
      <c r="G330" s="22" t="s">
        <v>266</v>
      </c>
      <c r="H330" s="23" t="s">
        <v>267</v>
      </c>
      <c r="I330" s="21"/>
      <c r="J330" s="21"/>
      <c r="K330" s="21"/>
      <c r="L330" s="21"/>
      <c r="M330" s="21"/>
    </row>
    <row r="331" spans="1:13" s="123" customFormat="1" x14ac:dyDescent="0.25">
      <c r="B331" s="124"/>
      <c r="C331" s="125"/>
      <c r="D331" s="126"/>
      <c r="E331" s="126"/>
      <c r="F331" s="93" t="s">
        <v>144</v>
      </c>
      <c r="G331" s="126"/>
      <c r="H331" s="128"/>
    </row>
    <row r="332" spans="1:13" s="24" customFormat="1" ht="31.5" x14ac:dyDescent="0.25">
      <c r="A332" s="21"/>
      <c r="B332" s="17">
        <v>45971</v>
      </c>
      <c r="C332" s="95">
        <v>45962</v>
      </c>
      <c r="D332" s="22" t="s">
        <v>185</v>
      </c>
      <c r="E332" s="22" t="s">
        <v>24</v>
      </c>
      <c r="F332" s="19" t="s">
        <v>4</v>
      </c>
      <c r="G332" s="22" t="s">
        <v>215</v>
      </c>
      <c r="H332" s="23" t="s">
        <v>268</v>
      </c>
      <c r="I332" s="21"/>
      <c r="J332" s="21"/>
      <c r="K332" s="21"/>
      <c r="L332" s="21"/>
      <c r="M332" s="21"/>
    </row>
    <row r="333" spans="1:13" s="24" customFormat="1" x14ac:dyDescent="0.25">
      <c r="A333" s="21"/>
      <c r="B333" s="17">
        <v>45971</v>
      </c>
      <c r="C333" s="95">
        <v>45962</v>
      </c>
      <c r="D333" s="22" t="s">
        <v>34</v>
      </c>
      <c r="E333" s="18" t="s">
        <v>24</v>
      </c>
      <c r="F333" s="19" t="s">
        <v>6</v>
      </c>
      <c r="G333" s="22" t="s">
        <v>146</v>
      </c>
      <c r="H333" s="23" t="s">
        <v>269</v>
      </c>
      <c r="I333" s="21"/>
      <c r="J333" s="21"/>
      <c r="K333" s="21"/>
      <c r="L333" s="21"/>
      <c r="M333" s="21"/>
    </row>
    <row r="334" spans="1:13" s="24" customFormat="1" ht="47.25" x14ac:dyDescent="0.25">
      <c r="A334" s="21"/>
      <c r="B334" s="17">
        <v>45972</v>
      </c>
      <c r="C334" s="95">
        <v>45962</v>
      </c>
      <c r="D334" s="18" t="s">
        <v>27</v>
      </c>
      <c r="E334" s="18" t="s">
        <v>24</v>
      </c>
      <c r="F334" s="19" t="s">
        <v>6</v>
      </c>
      <c r="G334" s="22" t="s">
        <v>50</v>
      </c>
      <c r="H334" s="20" t="s">
        <v>29</v>
      </c>
      <c r="I334" s="21"/>
      <c r="J334" s="21"/>
      <c r="K334" s="21"/>
      <c r="L334" s="21"/>
      <c r="M334" s="21"/>
    </row>
    <row r="335" spans="1:13" s="24" customFormat="1" ht="31.5" x14ac:dyDescent="0.25">
      <c r="A335" s="21"/>
      <c r="B335" s="17">
        <v>45972</v>
      </c>
      <c r="C335" s="95">
        <v>45962</v>
      </c>
      <c r="D335" s="22" t="s">
        <v>270</v>
      </c>
      <c r="E335" s="18" t="s">
        <v>24</v>
      </c>
      <c r="F335" s="19" t="s">
        <v>6</v>
      </c>
      <c r="G335" s="22" t="s">
        <v>271</v>
      </c>
      <c r="H335" s="23" t="s">
        <v>272</v>
      </c>
      <c r="I335" s="21"/>
      <c r="J335" s="21"/>
      <c r="K335" s="21"/>
      <c r="L335" s="21"/>
      <c r="M335" s="21"/>
    </row>
    <row r="336" spans="1:13" s="24" customFormat="1" ht="31.5" x14ac:dyDescent="0.25">
      <c r="A336" s="21"/>
      <c r="B336" s="17">
        <v>45973</v>
      </c>
      <c r="C336" s="95">
        <v>45962</v>
      </c>
      <c r="D336" s="18" t="s">
        <v>27</v>
      </c>
      <c r="E336" s="18" t="s">
        <v>24</v>
      </c>
      <c r="F336" s="19" t="s">
        <v>6</v>
      </c>
      <c r="G336" s="18" t="s">
        <v>28</v>
      </c>
      <c r="H336" s="23" t="s">
        <v>51</v>
      </c>
      <c r="I336" s="21"/>
      <c r="J336" s="21"/>
      <c r="K336" s="21"/>
      <c r="L336" s="21"/>
      <c r="M336" s="21"/>
    </row>
    <row r="337" spans="1:13" s="24" customFormat="1" ht="31.5" x14ac:dyDescent="0.25">
      <c r="A337" s="21"/>
      <c r="B337" s="17">
        <v>45973</v>
      </c>
      <c r="C337" s="95">
        <v>45962</v>
      </c>
      <c r="D337" s="22" t="s">
        <v>100</v>
      </c>
      <c r="E337" s="18" t="s">
        <v>24</v>
      </c>
      <c r="F337" s="19" t="s">
        <v>6</v>
      </c>
      <c r="G337" s="22" t="s">
        <v>271</v>
      </c>
      <c r="H337" s="23" t="s">
        <v>272</v>
      </c>
      <c r="I337" s="21"/>
      <c r="J337" s="21"/>
      <c r="K337" s="21"/>
      <c r="L337" s="21"/>
      <c r="M337" s="21"/>
    </row>
    <row r="338" spans="1:13" s="24" customFormat="1" x14ac:dyDescent="0.25">
      <c r="A338" s="21"/>
      <c r="B338" s="17">
        <v>45974</v>
      </c>
      <c r="C338" s="95">
        <v>45962</v>
      </c>
      <c r="D338" s="22" t="s">
        <v>37</v>
      </c>
      <c r="E338" s="18" t="s">
        <v>24</v>
      </c>
      <c r="F338" s="19" t="s">
        <v>6</v>
      </c>
      <c r="G338" s="18" t="s">
        <v>25</v>
      </c>
      <c r="H338" s="20" t="s">
        <v>273</v>
      </c>
      <c r="I338" s="21"/>
      <c r="J338" s="21"/>
      <c r="K338" s="21"/>
      <c r="L338" s="21"/>
      <c r="M338" s="21"/>
    </row>
    <row r="339" spans="1:13" s="24" customFormat="1" x14ac:dyDescent="0.25">
      <c r="A339" s="21"/>
      <c r="B339" s="17">
        <v>45974</v>
      </c>
      <c r="C339" s="95">
        <v>45962</v>
      </c>
      <c r="D339" s="22" t="s">
        <v>135</v>
      </c>
      <c r="E339" s="22" t="s">
        <v>24</v>
      </c>
      <c r="F339" s="19" t="s">
        <v>4</v>
      </c>
      <c r="G339" s="22" t="s">
        <v>274</v>
      </c>
      <c r="H339" s="23" t="s">
        <v>275</v>
      </c>
      <c r="I339" s="21"/>
      <c r="J339" s="21"/>
      <c r="K339" s="21"/>
      <c r="L339" s="21"/>
      <c r="M339" s="21"/>
    </row>
    <row r="340" spans="1:13" s="24" customFormat="1" ht="47.25" x14ac:dyDescent="0.25">
      <c r="A340" s="21"/>
      <c r="B340" s="17">
        <v>45974</v>
      </c>
      <c r="C340" s="95">
        <v>45962</v>
      </c>
      <c r="D340" s="18" t="s">
        <v>27</v>
      </c>
      <c r="E340" s="18" t="s">
        <v>24</v>
      </c>
      <c r="F340" s="19" t="s">
        <v>6</v>
      </c>
      <c r="G340" s="22" t="s">
        <v>50</v>
      </c>
      <c r="H340" s="20" t="s">
        <v>29</v>
      </c>
      <c r="I340" s="21"/>
      <c r="J340" s="21"/>
      <c r="K340" s="21"/>
      <c r="L340" s="21"/>
      <c r="M340" s="21"/>
    </row>
    <row r="341" spans="1:13" s="24" customFormat="1" x14ac:dyDescent="0.25">
      <c r="A341" s="21"/>
      <c r="B341" s="17">
        <v>45974</v>
      </c>
      <c r="C341" s="95">
        <v>45962</v>
      </c>
      <c r="D341" s="22" t="s">
        <v>34</v>
      </c>
      <c r="E341" s="18" t="s">
        <v>24</v>
      </c>
      <c r="F341" s="19" t="s">
        <v>6</v>
      </c>
      <c r="G341" s="22" t="s">
        <v>146</v>
      </c>
      <c r="H341" s="23" t="s">
        <v>276</v>
      </c>
      <c r="I341" s="21"/>
      <c r="J341" s="21"/>
      <c r="K341" s="21"/>
      <c r="L341" s="21"/>
      <c r="M341" s="21"/>
    </row>
    <row r="342" spans="1:13" s="24" customFormat="1" x14ac:dyDescent="0.25">
      <c r="A342" s="42"/>
      <c r="B342" s="17">
        <v>45974</v>
      </c>
      <c r="C342" s="95">
        <v>45962</v>
      </c>
      <c r="D342" s="22" t="s">
        <v>277</v>
      </c>
      <c r="E342" s="18" t="s">
        <v>24</v>
      </c>
      <c r="F342" s="19" t="s">
        <v>4</v>
      </c>
      <c r="G342" s="22" t="s">
        <v>278</v>
      </c>
      <c r="H342" s="23" t="s">
        <v>279</v>
      </c>
      <c r="I342" s="21"/>
      <c r="J342" s="21"/>
      <c r="K342" s="21"/>
      <c r="L342" s="21"/>
      <c r="M342" s="21"/>
    </row>
    <row r="343" spans="1:13" s="24" customFormat="1" x14ac:dyDescent="0.25">
      <c r="A343" s="21"/>
      <c r="B343" s="17">
        <v>45975</v>
      </c>
      <c r="C343" s="95">
        <v>45962</v>
      </c>
      <c r="D343" s="22" t="s">
        <v>280</v>
      </c>
      <c r="E343" s="18" t="s">
        <v>24</v>
      </c>
      <c r="F343" s="19" t="s">
        <v>6</v>
      </c>
      <c r="G343" s="22" t="s">
        <v>278</v>
      </c>
      <c r="H343" s="23" t="s">
        <v>279</v>
      </c>
      <c r="I343" s="21"/>
      <c r="J343" s="21"/>
      <c r="K343" s="21"/>
      <c r="L343" s="21"/>
      <c r="M343" s="21"/>
    </row>
    <row r="344" spans="1:13" s="24" customFormat="1" x14ac:dyDescent="0.25">
      <c r="A344" s="21"/>
      <c r="B344" s="17">
        <v>45975</v>
      </c>
      <c r="C344" s="95">
        <v>45962</v>
      </c>
      <c r="D344" s="22" t="s">
        <v>100</v>
      </c>
      <c r="E344" s="18" t="s">
        <v>24</v>
      </c>
      <c r="F344" s="19" t="s">
        <v>6</v>
      </c>
      <c r="G344" s="22" t="s">
        <v>146</v>
      </c>
      <c r="H344" s="23" t="s">
        <v>281</v>
      </c>
      <c r="I344" s="21"/>
      <c r="J344" s="21"/>
      <c r="K344" s="21"/>
      <c r="L344" s="21"/>
      <c r="M344" s="21"/>
    </row>
    <row r="345" spans="1:13" s="24" customFormat="1" ht="47.25" x14ac:dyDescent="0.25">
      <c r="A345" s="21"/>
      <c r="B345" s="17">
        <v>45978</v>
      </c>
      <c r="C345" s="95">
        <v>45962</v>
      </c>
      <c r="D345" s="18" t="s">
        <v>27</v>
      </c>
      <c r="E345" s="18" t="s">
        <v>24</v>
      </c>
      <c r="F345" s="19" t="s">
        <v>6</v>
      </c>
      <c r="G345" s="22" t="s">
        <v>50</v>
      </c>
      <c r="H345" s="20" t="s">
        <v>29</v>
      </c>
      <c r="I345" s="21"/>
      <c r="J345" s="21"/>
      <c r="K345" s="21"/>
      <c r="L345" s="21"/>
      <c r="M345" s="21"/>
    </row>
    <row r="346" spans="1:13" s="24" customFormat="1" x14ac:dyDescent="0.25">
      <c r="A346" s="21"/>
      <c r="B346" s="17">
        <v>45978</v>
      </c>
      <c r="C346" s="95">
        <v>45962</v>
      </c>
      <c r="D346" s="22" t="s">
        <v>34</v>
      </c>
      <c r="E346" s="18" t="s">
        <v>24</v>
      </c>
      <c r="F346" s="19" t="s">
        <v>6</v>
      </c>
      <c r="G346" s="22" t="s">
        <v>282</v>
      </c>
      <c r="H346" s="23" t="s">
        <v>276</v>
      </c>
      <c r="I346" s="21"/>
      <c r="J346" s="21"/>
      <c r="K346" s="21"/>
      <c r="L346" s="21"/>
      <c r="M346" s="21"/>
    </row>
    <row r="347" spans="1:13" s="24" customFormat="1" ht="31.5" x14ac:dyDescent="0.25">
      <c r="A347" s="21"/>
      <c r="B347" s="17">
        <v>45979</v>
      </c>
      <c r="C347" s="95">
        <v>45962</v>
      </c>
      <c r="D347" s="18" t="s">
        <v>27</v>
      </c>
      <c r="E347" s="18" t="s">
        <v>24</v>
      </c>
      <c r="F347" s="19" t="s">
        <v>6</v>
      </c>
      <c r="G347" s="18" t="s">
        <v>28</v>
      </c>
      <c r="H347" s="23" t="s">
        <v>51</v>
      </c>
      <c r="I347" s="21"/>
      <c r="J347" s="21"/>
      <c r="K347" s="21"/>
      <c r="L347" s="21"/>
      <c r="M347" s="21"/>
    </row>
    <row r="348" spans="1:13" s="24" customFormat="1" ht="31.5" x14ac:dyDescent="0.25">
      <c r="A348" s="21"/>
      <c r="B348" s="17">
        <v>45979</v>
      </c>
      <c r="C348" s="95">
        <v>45962</v>
      </c>
      <c r="D348" s="22" t="s">
        <v>283</v>
      </c>
      <c r="E348" s="18" t="s">
        <v>24</v>
      </c>
      <c r="F348" s="19" t="s">
        <v>6</v>
      </c>
      <c r="G348" s="22" t="s">
        <v>284</v>
      </c>
      <c r="H348" s="23" t="s">
        <v>285</v>
      </c>
      <c r="I348" s="21"/>
      <c r="J348" s="21"/>
      <c r="K348" s="21"/>
      <c r="L348" s="21"/>
      <c r="M348" s="21"/>
    </row>
    <row r="349" spans="1:13" s="24" customFormat="1" ht="31.5" x14ac:dyDescent="0.25">
      <c r="A349" s="21"/>
      <c r="B349" s="17">
        <v>45980</v>
      </c>
      <c r="C349" s="95">
        <v>45962</v>
      </c>
      <c r="D349" s="22" t="s">
        <v>286</v>
      </c>
      <c r="E349" s="18" t="s">
        <v>24</v>
      </c>
      <c r="F349" s="19" t="s">
        <v>6</v>
      </c>
      <c r="G349" s="22" t="s">
        <v>287</v>
      </c>
      <c r="H349" s="23" t="s">
        <v>288</v>
      </c>
      <c r="I349" s="21"/>
      <c r="J349" s="21"/>
      <c r="K349" s="21"/>
      <c r="L349" s="21"/>
      <c r="M349" s="21"/>
    </row>
    <row r="350" spans="1:13" s="24" customFormat="1" ht="47.25" x14ac:dyDescent="0.25">
      <c r="A350" s="21"/>
      <c r="B350" s="17">
        <v>45980</v>
      </c>
      <c r="C350" s="95">
        <v>45962</v>
      </c>
      <c r="D350" s="18" t="s">
        <v>27</v>
      </c>
      <c r="E350" s="18" t="s">
        <v>24</v>
      </c>
      <c r="F350" s="19" t="s">
        <v>6</v>
      </c>
      <c r="G350" s="22" t="s">
        <v>50</v>
      </c>
      <c r="H350" s="20" t="s">
        <v>29</v>
      </c>
      <c r="I350" s="21"/>
      <c r="J350" s="21"/>
      <c r="K350" s="21"/>
      <c r="L350" s="21"/>
      <c r="M350" s="21"/>
    </row>
    <row r="351" spans="1:13" s="24" customFormat="1" x14ac:dyDescent="0.25">
      <c r="A351" s="42"/>
      <c r="B351" s="17">
        <v>45980</v>
      </c>
      <c r="C351" s="95">
        <v>45962</v>
      </c>
      <c r="D351" s="22" t="s">
        <v>95</v>
      </c>
      <c r="E351" s="22" t="s">
        <v>24</v>
      </c>
      <c r="F351" s="19" t="s">
        <v>4</v>
      </c>
      <c r="G351" s="22" t="s">
        <v>289</v>
      </c>
      <c r="H351" s="23" t="s">
        <v>290</v>
      </c>
      <c r="I351" s="21"/>
      <c r="J351" s="21"/>
      <c r="K351" s="21"/>
      <c r="L351" s="21"/>
      <c r="M351" s="21"/>
    </row>
    <row r="352" spans="1:13" s="24" customFormat="1" ht="31.5" x14ac:dyDescent="0.25">
      <c r="A352" s="21"/>
      <c r="B352" s="17">
        <v>45981</v>
      </c>
      <c r="C352" s="95">
        <v>45962</v>
      </c>
      <c r="D352" s="22" t="s">
        <v>291</v>
      </c>
      <c r="E352" s="18" t="s">
        <v>24</v>
      </c>
      <c r="F352" s="19" t="s">
        <v>6</v>
      </c>
      <c r="G352" s="22" t="s">
        <v>292</v>
      </c>
      <c r="H352" s="23" t="s">
        <v>293</v>
      </c>
      <c r="I352" s="21"/>
      <c r="J352" s="21"/>
      <c r="K352" s="21"/>
      <c r="L352" s="21"/>
      <c r="M352" s="21"/>
    </row>
    <row r="353" spans="1:13" s="24" customFormat="1" ht="31.5" x14ac:dyDescent="0.25">
      <c r="A353" s="21"/>
      <c r="B353" s="17">
        <v>45981</v>
      </c>
      <c r="C353" s="95">
        <v>45962</v>
      </c>
      <c r="D353" s="18" t="s">
        <v>27</v>
      </c>
      <c r="E353" s="18" t="s">
        <v>24</v>
      </c>
      <c r="F353" s="19" t="s">
        <v>6</v>
      </c>
      <c r="G353" s="18" t="s">
        <v>28</v>
      </c>
      <c r="H353" s="23" t="s">
        <v>51</v>
      </c>
      <c r="I353" s="21"/>
      <c r="J353" s="21"/>
      <c r="K353" s="21"/>
      <c r="L353" s="21"/>
      <c r="M353" s="21"/>
    </row>
    <row r="354" spans="1:13" s="24" customFormat="1" x14ac:dyDescent="0.25">
      <c r="A354" s="21"/>
      <c r="B354" s="17">
        <v>45982</v>
      </c>
      <c r="C354" s="95">
        <v>45962</v>
      </c>
      <c r="D354" s="18" t="s">
        <v>68</v>
      </c>
      <c r="E354" s="18" t="s">
        <v>24</v>
      </c>
      <c r="F354" s="19" t="s">
        <v>6</v>
      </c>
      <c r="G354" s="18" t="s">
        <v>25</v>
      </c>
      <c r="H354" s="20" t="s">
        <v>69</v>
      </c>
      <c r="I354" s="21"/>
      <c r="J354" s="21"/>
      <c r="K354" s="21"/>
      <c r="L354" s="21"/>
      <c r="M354" s="21"/>
    </row>
    <row r="355" spans="1:13" s="24" customFormat="1" x14ac:dyDescent="0.25">
      <c r="A355" s="21"/>
      <c r="B355" s="17">
        <v>45982</v>
      </c>
      <c r="C355" s="95">
        <v>45962</v>
      </c>
      <c r="D355" s="22" t="s">
        <v>294</v>
      </c>
      <c r="E355" s="18" t="s">
        <v>24</v>
      </c>
      <c r="F355" s="19" t="s">
        <v>6</v>
      </c>
      <c r="G355" s="22" t="s">
        <v>278</v>
      </c>
      <c r="H355" s="23" t="s">
        <v>295</v>
      </c>
      <c r="I355" s="21"/>
      <c r="J355" s="21"/>
      <c r="K355" s="21"/>
      <c r="L355" s="21"/>
      <c r="M355" s="21"/>
    </row>
    <row r="356" spans="1:13" s="24" customFormat="1" ht="47.25" x14ac:dyDescent="0.25">
      <c r="A356" s="21"/>
      <c r="B356" s="17">
        <v>45985</v>
      </c>
      <c r="C356" s="95">
        <v>45962</v>
      </c>
      <c r="D356" s="18" t="s">
        <v>27</v>
      </c>
      <c r="E356" s="18" t="s">
        <v>24</v>
      </c>
      <c r="F356" s="19" t="s">
        <v>6</v>
      </c>
      <c r="G356" s="22" t="s">
        <v>50</v>
      </c>
      <c r="H356" s="20" t="s">
        <v>29</v>
      </c>
      <c r="I356" s="21"/>
      <c r="J356" s="21"/>
      <c r="K356" s="21"/>
      <c r="L356" s="21"/>
      <c r="M356" s="21"/>
    </row>
    <row r="357" spans="1:13" s="24" customFormat="1" ht="31.5" x14ac:dyDescent="0.25">
      <c r="A357" s="21"/>
      <c r="B357" s="17">
        <v>45986</v>
      </c>
      <c r="C357" s="95">
        <v>45962</v>
      </c>
      <c r="D357" s="18" t="s">
        <v>27</v>
      </c>
      <c r="E357" s="18" t="s">
        <v>24</v>
      </c>
      <c r="F357" s="19" t="s">
        <v>6</v>
      </c>
      <c r="G357" s="18" t="s">
        <v>28</v>
      </c>
      <c r="H357" s="23" t="s">
        <v>51</v>
      </c>
      <c r="I357" s="21"/>
      <c r="J357" s="21"/>
      <c r="K357" s="21"/>
      <c r="L357" s="21"/>
      <c r="M357" s="21"/>
    </row>
    <row r="358" spans="1:13" s="24" customFormat="1" ht="47.25" x14ac:dyDescent="0.25">
      <c r="A358" s="21"/>
      <c r="B358" s="17">
        <v>45987</v>
      </c>
      <c r="C358" s="95">
        <v>45962</v>
      </c>
      <c r="D358" s="18" t="s">
        <v>27</v>
      </c>
      <c r="E358" s="18" t="s">
        <v>24</v>
      </c>
      <c r="F358" s="19" t="s">
        <v>6</v>
      </c>
      <c r="G358" s="22" t="s">
        <v>50</v>
      </c>
      <c r="H358" s="20" t="s">
        <v>29</v>
      </c>
      <c r="I358" s="21"/>
      <c r="J358" s="21"/>
      <c r="K358" s="21"/>
      <c r="L358" s="21"/>
      <c r="M358" s="21"/>
    </row>
    <row r="359" spans="1:13" s="24" customFormat="1" ht="31.5" x14ac:dyDescent="0.25">
      <c r="A359" s="21"/>
      <c r="B359" s="17">
        <v>45988</v>
      </c>
      <c r="C359" s="95">
        <v>45962</v>
      </c>
      <c r="D359" s="18" t="s">
        <v>27</v>
      </c>
      <c r="E359" s="18" t="s">
        <v>24</v>
      </c>
      <c r="F359" s="19" t="s">
        <v>6</v>
      </c>
      <c r="G359" s="18" t="s">
        <v>28</v>
      </c>
      <c r="H359" s="23" t="s">
        <v>51</v>
      </c>
      <c r="I359" s="21"/>
      <c r="J359" s="21"/>
      <c r="K359" s="21"/>
      <c r="L359" s="21"/>
      <c r="M359" s="21"/>
    </row>
    <row r="360" spans="1:13" s="24" customFormat="1" x14ac:dyDescent="0.25">
      <c r="A360" s="21"/>
      <c r="B360" s="17">
        <v>45989</v>
      </c>
      <c r="C360" s="95">
        <v>45962</v>
      </c>
      <c r="D360" s="18" t="s">
        <v>68</v>
      </c>
      <c r="E360" s="18" t="s">
        <v>24</v>
      </c>
      <c r="F360" s="19" t="s">
        <v>6</v>
      </c>
      <c r="G360" s="18" t="s">
        <v>25</v>
      </c>
      <c r="H360" s="20" t="s">
        <v>69</v>
      </c>
      <c r="I360" s="21"/>
      <c r="J360" s="21"/>
      <c r="K360" s="21"/>
      <c r="L360" s="21"/>
      <c r="M360" s="21"/>
    </row>
    <row r="361" spans="1:13" s="24" customFormat="1" x14ac:dyDescent="0.25">
      <c r="A361" s="21"/>
      <c r="B361" s="17">
        <v>45992</v>
      </c>
      <c r="C361" s="95">
        <v>45962</v>
      </c>
      <c r="D361" s="22" t="s">
        <v>110</v>
      </c>
      <c r="E361" s="18" t="s">
        <v>24</v>
      </c>
      <c r="F361" s="19" t="s">
        <v>6</v>
      </c>
      <c r="G361" s="22" t="s">
        <v>25</v>
      </c>
      <c r="H361" s="23" t="s">
        <v>114</v>
      </c>
      <c r="I361" s="21"/>
      <c r="J361" s="21"/>
      <c r="K361" s="21"/>
      <c r="L361" s="21"/>
      <c r="M361" s="21"/>
    </row>
    <row r="362" spans="1:13" s="24" customFormat="1" x14ac:dyDescent="0.25">
      <c r="A362" s="21"/>
      <c r="B362" s="17">
        <v>45992</v>
      </c>
      <c r="C362" s="95">
        <v>45962</v>
      </c>
      <c r="D362" s="22" t="s">
        <v>232</v>
      </c>
      <c r="E362" s="18" t="s">
        <v>24</v>
      </c>
      <c r="F362" s="19" t="s">
        <v>6</v>
      </c>
      <c r="G362" s="22" t="s">
        <v>25</v>
      </c>
      <c r="H362" s="23" t="s">
        <v>296</v>
      </c>
      <c r="I362" s="21"/>
      <c r="J362" s="21"/>
      <c r="K362" s="21"/>
      <c r="L362" s="21"/>
      <c r="M362" s="21"/>
    </row>
    <row r="363" spans="1:13" s="24" customFormat="1" ht="47.25" x14ac:dyDescent="0.25">
      <c r="A363" s="21"/>
      <c r="B363" s="17">
        <v>45993</v>
      </c>
      <c r="C363" s="95">
        <v>45962</v>
      </c>
      <c r="D363" s="18" t="s">
        <v>27</v>
      </c>
      <c r="E363" s="18" t="s">
        <v>24</v>
      </c>
      <c r="F363" s="19" t="s">
        <v>6</v>
      </c>
      <c r="G363" s="22" t="s">
        <v>50</v>
      </c>
      <c r="H363" s="20" t="s">
        <v>29</v>
      </c>
      <c r="I363" s="21"/>
      <c r="J363" s="21"/>
      <c r="K363" s="21"/>
      <c r="L363" s="21"/>
      <c r="M363" s="21"/>
    </row>
    <row r="364" spans="1:13" s="24" customFormat="1" ht="31.5" x14ac:dyDescent="0.25">
      <c r="A364" s="21"/>
      <c r="B364" s="17">
        <v>45994</v>
      </c>
      <c r="C364" s="95">
        <v>45962</v>
      </c>
      <c r="D364" s="18" t="s">
        <v>27</v>
      </c>
      <c r="E364" s="18" t="s">
        <v>24</v>
      </c>
      <c r="F364" s="19" t="s">
        <v>6</v>
      </c>
      <c r="G364" s="18" t="s">
        <v>28</v>
      </c>
      <c r="H364" s="23" t="s">
        <v>51</v>
      </c>
      <c r="I364" s="21"/>
      <c r="J364" s="21"/>
      <c r="K364" s="21"/>
      <c r="L364" s="21"/>
      <c r="M364" s="21"/>
    </row>
    <row r="365" spans="1:13" s="24" customFormat="1" x14ac:dyDescent="0.25">
      <c r="A365" s="21"/>
      <c r="B365" s="17">
        <v>45995</v>
      </c>
      <c r="C365" s="95">
        <v>45962</v>
      </c>
      <c r="D365" s="22" t="s">
        <v>171</v>
      </c>
      <c r="E365" s="18" t="s">
        <v>24</v>
      </c>
      <c r="F365" s="19" t="s">
        <v>6</v>
      </c>
      <c r="G365" s="22" t="s">
        <v>297</v>
      </c>
      <c r="H365" s="23" t="s">
        <v>298</v>
      </c>
      <c r="I365" s="21"/>
      <c r="J365" s="21"/>
      <c r="K365" s="21"/>
      <c r="L365" s="21"/>
      <c r="M365" s="21"/>
    </row>
    <row r="366" spans="1:13" s="24" customFormat="1" x14ac:dyDescent="0.25">
      <c r="A366" s="21"/>
      <c r="B366" s="17">
        <v>45996</v>
      </c>
      <c r="C366" s="95">
        <v>45962</v>
      </c>
      <c r="D366" s="22" t="s">
        <v>113</v>
      </c>
      <c r="E366" s="18" t="s">
        <v>24</v>
      </c>
      <c r="F366" s="19" t="s">
        <v>6</v>
      </c>
      <c r="G366" s="18" t="s">
        <v>25</v>
      </c>
      <c r="H366" s="20" t="s">
        <v>26</v>
      </c>
      <c r="I366" s="21"/>
      <c r="J366" s="21"/>
      <c r="K366" s="21"/>
      <c r="L366" s="21"/>
      <c r="M366" s="21"/>
    </row>
    <row r="367" spans="1:13" s="24" customFormat="1" ht="47.25" x14ac:dyDescent="0.25">
      <c r="A367" s="21"/>
      <c r="B367" s="17">
        <v>45996</v>
      </c>
      <c r="C367" s="95">
        <v>45962</v>
      </c>
      <c r="D367" s="18" t="s">
        <v>27</v>
      </c>
      <c r="E367" s="18" t="s">
        <v>24</v>
      </c>
      <c r="F367" s="19" t="s">
        <v>6</v>
      </c>
      <c r="G367" s="22" t="s">
        <v>50</v>
      </c>
      <c r="H367" s="20" t="s">
        <v>29</v>
      </c>
      <c r="I367" s="21"/>
      <c r="J367" s="21"/>
      <c r="K367" s="21"/>
      <c r="L367" s="21"/>
      <c r="M367" s="21"/>
    </row>
    <row r="368" spans="1:13" s="24" customFormat="1" x14ac:dyDescent="0.25">
      <c r="A368" s="21"/>
      <c r="B368" s="17">
        <v>46000</v>
      </c>
      <c r="C368" s="95">
        <v>45962</v>
      </c>
      <c r="D368" s="18" t="s">
        <v>68</v>
      </c>
      <c r="E368" s="18" t="s">
        <v>24</v>
      </c>
      <c r="F368" s="19" t="s">
        <v>6</v>
      </c>
      <c r="G368" s="18" t="s">
        <v>25</v>
      </c>
      <c r="H368" s="20" t="s">
        <v>69</v>
      </c>
      <c r="I368" s="21"/>
      <c r="J368" s="21"/>
      <c r="K368" s="21"/>
      <c r="L368" s="21"/>
      <c r="M368" s="21"/>
    </row>
    <row r="369" spans="1:13" s="24" customFormat="1" x14ac:dyDescent="0.25">
      <c r="A369" s="21"/>
      <c r="B369" s="17">
        <v>46000</v>
      </c>
      <c r="C369" s="95">
        <v>45962</v>
      </c>
      <c r="D369" s="22" t="s">
        <v>105</v>
      </c>
      <c r="E369" s="18" t="s">
        <v>24</v>
      </c>
      <c r="F369" s="19" t="s">
        <v>6</v>
      </c>
      <c r="G369" s="18" t="s">
        <v>25</v>
      </c>
      <c r="H369" s="20" t="s">
        <v>26</v>
      </c>
      <c r="I369" s="21"/>
      <c r="J369" s="21"/>
      <c r="K369" s="21"/>
      <c r="L369" s="21"/>
      <c r="M369" s="21"/>
    </row>
    <row r="370" spans="1:13" s="129" customFormat="1" x14ac:dyDescent="0.25">
      <c r="B370" s="130"/>
      <c r="C370" s="131"/>
      <c r="D370" s="132"/>
      <c r="E370" s="132"/>
      <c r="F370" s="93" t="s">
        <v>144</v>
      </c>
      <c r="G370" s="132"/>
      <c r="H370" s="133"/>
    </row>
    <row r="371" spans="1:13" s="24" customFormat="1" ht="31.5" x14ac:dyDescent="0.25">
      <c r="A371" s="21"/>
      <c r="B371" s="17">
        <v>46001</v>
      </c>
      <c r="C371" s="95">
        <v>45992</v>
      </c>
      <c r="D371" s="18" t="s">
        <v>27</v>
      </c>
      <c r="E371" s="18" t="s">
        <v>24</v>
      </c>
      <c r="F371" s="19" t="s">
        <v>6</v>
      </c>
      <c r="G371" s="18" t="s">
        <v>28</v>
      </c>
      <c r="H371" s="23" t="s">
        <v>51</v>
      </c>
      <c r="I371" s="21"/>
      <c r="J371" s="21"/>
      <c r="K371" s="21"/>
      <c r="L371" s="21"/>
      <c r="M371" s="21"/>
    </row>
    <row r="372" spans="1:13" s="24" customFormat="1" ht="47.25" x14ac:dyDescent="0.25">
      <c r="A372" s="21"/>
      <c r="B372" s="17">
        <v>46002</v>
      </c>
      <c r="C372" s="95">
        <v>45992</v>
      </c>
      <c r="D372" s="18" t="s">
        <v>27</v>
      </c>
      <c r="E372" s="18" t="s">
        <v>24</v>
      </c>
      <c r="F372" s="19" t="s">
        <v>6</v>
      </c>
      <c r="G372" s="22" t="s">
        <v>50</v>
      </c>
      <c r="H372" s="20" t="s">
        <v>29</v>
      </c>
      <c r="I372" s="21"/>
      <c r="J372" s="21"/>
      <c r="K372" s="21"/>
      <c r="L372" s="21"/>
      <c r="M372" s="21"/>
    </row>
    <row r="373" spans="1:13" s="24" customFormat="1" x14ac:dyDescent="0.25">
      <c r="A373" s="21"/>
      <c r="B373" s="17">
        <v>46003</v>
      </c>
      <c r="C373" s="95">
        <v>45992</v>
      </c>
      <c r="D373" s="22" t="s">
        <v>113</v>
      </c>
      <c r="E373" s="18" t="s">
        <v>24</v>
      </c>
      <c r="F373" s="19" t="s">
        <v>6</v>
      </c>
      <c r="G373" s="22" t="s">
        <v>25</v>
      </c>
      <c r="H373" s="23" t="s">
        <v>114</v>
      </c>
      <c r="I373" s="21"/>
      <c r="J373" s="21"/>
      <c r="K373" s="21"/>
      <c r="L373" s="21"/>
      <c r="M373" s="21"/>
    </row>
    <row r="374" spans="1:13" s="24" customFormat="1" ht="31.5" x14ac:dyDescent="0.25">
      <c r="A374" s="21"/>
      <c r="B374" s="17">
        <v>46003</v>
      </c>
      <c r="C374" s="95">
        <v>45992</v>
      </c>
      <c r="D374" s="18" t="s">
        <v>27</v>
      </c>
      <c r="E374" s="18" t="s">
        <v>24</v>
      </c>
      <c r="F374" s="19" t="s">
        <v>6</v>
      </c>
      <c r="G374" s="18" t="s">
        <v>28</v>
      </c>
      <c r="H374" s="23" t="s">
        <v>51</v>
      </c>
      <c r="I374" s="21"/>
      <c r="J374" s="21"/>
      <c r="K374" s="21"/>
      <c r="L374" s="21"/>
      <c r="M374" s="21"/>
    </row>
    <row r="375" spans="1:13" s="24" customFormat="1" x14ac:dyDescent="0.25">
      <c r="A375" s="21"/>
      <c r="B375" s="17">
        <v>46006</v>
      </c>
      <c r="C375" s="95">
        <v>45992</v>
      </c>
      <c r="D375" s="22" t="s">
        <v>34</v>
      </c>
      <c r="E375" s="18" t="s">
        <v>24</v>
      </c>
      <c r="F375" s="19" t="s">
        <v>6</v>
      </c>
      <c r="G375" s="22" t="s">
        <v>146</v>
      </c>
      <c r="H375" s="23" t="s">
        <v>276</v>
      </c>
      <c r="I375" s="21"/>
      <c r="J375" s="21"/>
      <c r="K375" s="21"/>
      <c r="L375" s="21"/>
      <c r="M375" s="21"/>
    </row>
    <row r="376" spans="1:13" s="24" customFormat="1" x14ac:dyDescent="0.25">
      <c r="A376" s="21"/>
      <c r="B376" s="17">
        <v>46006</v>
      </c>
      <c r="C376" s="95">
        <v>45992</v>
      </c>
      <c r="D376" s="22" t="s">
        <v>60</v>
      </c>
      <c r="E376" s="22" t="s">
        <v>24</v>
      </c>
      <c r="F376" s="19" t="s">
        <v>4</v>
      </c>
      <c r="G376" s="22" t="s">
        <v>299</v>
      </c>
      <c r="H376" s="23" t="s">
        <v>300</v>
      </c>
      <c r="I376" s="21"/>
      <c r="J376" s="21"/>
      <c r="K376" s="21"/>
      <c r="L376" s="21"/>
      <c r="M376" s="21"/>
    </row>
    <row r="377" spans="1:13" s="24" customFormat="1" x14ac:dyDescent="0.25">
      <c r="A377" s="21"/>
      <c r="B377" s="17">
        <v>46006</v>
      </c>
      <c r="C377" s="95">
        <v>45992</v>
      </c>
      <c r="D377" s="22" t="s">
        <v>105</v>
      </c>
      <c r="E377" s="18" t="s">
        <v>24</v>
      </c>
      <c r="F377" s="19" t="s">
        <v>6</v>
      </c>
      <c r="G377" s="18" t="s">
        <v>25</v>
      </c>
      <c r="H377" s="20" t="s">
        <v>26</v>
      </c>
      <c r="I377" s="21"/>
      <c r="J377" s="21"/>
      <c r="K377" s="21"/>
      <c r="L377" s="21"/>
      <c r="M377" s="21"/>
    </row>
    <row r="378" spans="1:13" s="24" customFormat="1" ht="31.5" x14ac:dyDescent="0.25">
      <c r="A378" s="21"/>
      <c r="B378" s="17">
        <v>46006</v>
      </c>
      <c r="C378" s="95">
        <v>45992</v>
      </c>
      <c r="D378" s="22" t="s">
        <v>301</v>
      </c>
      <c r="E378" s="22" t="s">
        <v>24</v>
      </c>
      <c r="F378" s="19" t="s">
        <v>4</v>
      </c>
      <c r="G378" s="22" t="s">
        <v>302</v>
      </c>
      <c r="H378" s="23" t="s">
        <v>303</v>
      </c>
      <c r="I378" s="21"/>
      <c r="J378" s="21"/>
      <c r="K378" s="21"/>
      <c r="L378" s="21"/>
      <c r="M378" s="21"/>
    </row>
    <row r="379" spans="1:13" s="24" customFormat="1" ht="47.25" x14ac:dyDescent="0.25">
      <c r="A379" s="21"/>
      <c r="B379" s="17">
        <v>46007</v>
      </c>
      <c r="C379" s="95">
        <v>45992</v>
      </c>
      <c r="D379" s="18" t="s">
        <v>27</v>
      </c>
      <c r="E379" s="18" t="s">
        <v>24</v>
      </c>
      <c r="F379" s="19" t="s">
        <v>6</v>
      </c>
      <c r="G379" s="22" t="s">
        <v>50</v>
      </c>
      <c r="H379" s="20" t="s">
        <v>29</v>
      </c>
      <c r="I379" s="21"/>
      <c r="J379" s="21"/>
      <c r="K379" s="21"/>
      <c r="L379" s="21"/>
      <c r="M379" s="21"/>
    </row>
    <row r="380" spans="1:13" s="24" customFormat="1" x14ac:dyDescent="0.25">
      <c r="A380" s="21"/>
      <c r="B380" s="17">
        <v>46007</v>
      </c>
      <c r="C380" s="95">
        <v>45992</v>
      </c>
      <c r="D380" s="22" t="s">
        <v>60</v>
      </c>
      <c r="E380" s="22" t="s">
        <v>24</v>
      </c>
      <c r="F380" s="19" t="s">
        <v>4</v>
      </c>
      <c r="G380" s="22" t="s">
        <v>299</v>
      </c>
      <c r="H380" s="23" t="s">
        <v>300</v>
      </c>
      <c r="I380" s="21"/>
      <c r="J380" s="21"/>
      <c r="K380" s="21"/>
      <c r="L380" s="21"/>
      <c r="M380" s="21"/>
    </row>
    <row r="381" spans="1:13" s="24" customFormat="1" ht="31.5" x14ac:dyDescent="0.25">
      <c r="A381" s="21"/>
      <c r="B381" s="17">
        <v>46008</v>
      </c>
      <c r="C381" s="95">
        <v>45992</v>
      </c>
      <c r="D381" s="18" t="s">
        <v>27</v>
      </c>
      <c r="E381" s="18" t="s">
        <v>24</v>
      </c>
      <c r="F381" s="19" t="s">
        <v>6</v>
      </c>
      <c r="G381" s="18" t="s">
        <v>28</v>
      </c>
      <c r="H381" s="23" t="s">
        <v>51</v>
      </c>
      <c r="I381" s="21"/>
      <c r="J381" s="21"/>
      <c r="K381" s="21"/>
      <c r="L381" s="21"/>
      <c r="M381" s="21"/>
    </row>
    <row r="382" spans="1:13" s="24" customFormat="1" ht="47.25" x14ac:dyDescent="0.25">
      <c r="A382" s="21"/>
      <c r="B382" s="17">
        <v>46009</v>
      </c>
      <c r="C382" s="95">
        <v>45992</v>
      </c>
      <c r="D382" s="18" t="s">
        <v>27</v>
      </c>
      <c r="E382" s="18" t="s">
        <v>24</v>
      </c>
      <c r="F382" s="19" t="s">
        <v>6</v>
      </c>
      <c r="G382" s="22" t="s">
        <v>50</v>
      </c>
      <c r="H382" s="20" t="s">
        <v>29</v>
      </c>
      <c r="I382" s="21"/>
      <c r="J382" s="21"/>
      <c r="K382" s="21"/>
      <c r="L382" s="21"/>
      <c r="M382" s="21"/>
    </row>
    <row r="383" spans="1:13" s="24" customFormat="1" ht="31.5" x14ac:dyDescent="0.25">
      <c r="A383" s="21"/>
      <c r="B383" s="17">
        <v>46010</v>
      </c>
      <c r="C383" s="95">
        <v>45992</v>
      </c>
      <c r="D383" s="18" t="s">
        <v>27</v>
      </c>
      <c r="E383" s="18" t="s">
        <v>24</v>
      </c>
      <c r="F383" s="19" t="s">
        <v>6</v>
      </c>
      <c r="G383" s="18" t="s">
        <v>28</v>
      </c>
      <c r="H383" s="23" t="s">
        <v>51</v>
      </c>
      <c r="I383" s="21"/>
      <c r="J383" s="21"/>
      <c r="K383" s="21"/>
      <c r="L383" s="21"/>
      <c r="M383" s="21"/>
    </row>
    <row r="384" spans="1:13" s="24" customFormat="1" x14ac:dyDescent="0.25">
      <c r="A384" s="21"/>
      <c r="B384" s="17">
        <v>46013</v>
      </c>
      <c r="C384" s="95">
        <v>45992</v>
      </c>
      <c r="D384" s="22" t="s">
        <v>110</v>
      </c>
      <c r="E384" s="18" t="s">
        <v>24</v>
      </c>
      <c r="F384" s="19" t="s">
        <v>6</v>
      </c>
      <c r="G384" s="22" t="s">
        <v>25</v>
      </c>
      <c r="H384" s="23" t="s">
        <v>114</v>
      </c>
      <c r="I384" s="21"/>
      <c r="J384" s="21"/>
      <c r="K384" s="21"/>
      <c r="L384" s="21"/>
      <c r="M384" s="21"/>
    </row>
    <row r="385" spans="1:13" s="24" customFormat="1" x14ac:dyDescent="0.25">
      <c r="A385" s="21"/>
      <c r="B385" s="17">
        <v>46013</v>
      </c>
      <c r="C385" s="95">
        <v>45992</v>
      </c>
      <c r="D385" s="18" t="s">
        <v>68</v>
      </c>
      <c r="E385" s="18" t="s">
        <v>24</v>
      </c>
      <c r="F385" s="19" t="s">
        <v>6</v>
      </c>
      <c r="G385" s="18" t="s">
        <v>25</v>
      </c>
      <c r="H385" s="20" t="s">
        <v>69</v>
      </c>
      <c r="I385" s="21"/>
      <c r="J385" s="21"/>
      <c r="K385" s="21"/>
      <c r="L385" s="21"/>
      <c r="M385" s="21"/>
    </row>
    <row r="386" spans="1:13" s="24" customFormat="1" ht="47.25" x14ac:dyDescent="0.25">
      <c r="A386" s="21"/>
      <c r="B386" s="17">
        <v>46013</v>
      </c>
      <c r="C386" s="95">
        <v>45992</v>
      </c>
      <c r="D386" s="18" t="s">
        <v>27</v>
      </c>
      <c r="E386" s="18" t="s">
        <v>24</v>
      </c>
      <c r="F386" s="19" t="s">
        <v>6</v>
      </c>
      <c r="G386" s="22" t="s">
        <v>50</v>
      </c>
      <c r="H386" s="20" t="s">
        <v>29</v>
      </c>
      <c r="I386" s="21"/>
      <c r="J386" s="21"/>
      <c r="K386" s="21"/>
      <c r="L386" s="21"/>
      <c r="M386" s="21"/>
    </row>
    <row r="387" spans="1:13" s="24" customFormat="1" x14ac:dyDescent="0.25">
      <c r="A387" s="21"/>
      <c r="B387" s="17">
        <v>46014</v>
      </c>
      <c r="C387" s="95">
        <v>45992</v>
      </c>
      <c r="D387" s="22" t="s">
        <v>304</v>
      </c>
      <c r="E387" s="22" t="s">
        <v>24</v>
      </c>
      <c r="F387" s="19" t="s">
        <v>4</v>
      </c>
      <c r="G387" s="22" t="s">
        <v>299</v>
      </c>
      <c r="H387" s="23" t="s">
        <v>305</v>
      </c>
      <c r="I387" s="21"/>
      <c r="J387" s="21"/>
      <c r="K387" s="21"/>
      <c r="L387" s="21"/>
      <c r="M387" s="21"/>
    </row>
    <row r="388" spans="1:13" s="24" customFormat="1" x14ac:dyDescent="0.25">
      <c r="A388" s="21"/>
      <c r="B388" s="17">
        <v>46014</v>
      </c>
      <c r="C388" s="95">
        <v>45992</v>
      </c>
      <c r="D388" s="22" t="s">
        <v>100</v>
      </c>
      <c r="E388" s="18" t="s">
        <v>24</v>
      </c>
      <c r="F388" s="19" t="s">
        <v>6</v>
      </c>
      <c r="G388" s="22" t="s">
        <v>146</v>
      </c>
      <c r="H388" s="23" t="s">
        <v>306</v>
      </c>
      <c r="I388" s="21"/>
      <c r="J388" s="21"/>
      <c r="K388" s="21"/>
      <c r="L388" s="21"/>
      <c r="M388" s="21"/>
    </row>
    <row r="389" spans="1:13" s="24" customFormat="1" x14ac:dyDescent="0.25">
      <c r="A389" s="21"/>
      <c r="B389" s="17">
        <v>46015</v>
      </c>
      <c r="C389" s="95">
        <v>45992</v>
      </c>
      <c r="D389" s="22" t="s">
        <v>307</v>
      </c>
      <c r="E389" s="18" t="s">
        <v>24</v>
      </c>
      <c r="F389" s="19" t="s">
        <v>6</v>
      </c>
      <c r="G389" s="22" t="s">
        <v>308</v>
      </c>
      <c r="H389" s="23" t="s">
        <v>309</v>
      </c>
      <c r="I389" s="21"/>
      <c r="J389" s="21"/>
      <c r="K389" s="21"/>
      <c r="L389" s="21"/>
      <c r="M389" s="21"/>
    </row>
    <row r="390" spans="1:13" s="24" customFormat="1" ht="31.5" x14ac:dyDescent="0.25">
      <c r="A390" s="21"/>
      <c r="B390" s="17">
        <v>46015</v>
      </c>
      <c r="C390" s="95">
        <v>45992</v>
      </c>
      <c r="D390" s="18" t="s">
        <v>27</v>
      </c>
      <c r="E390" s="18" t="s">
        <v>24</v>
      </c>
      <c r="F390" s="19" t="s">
        <v>6</v>
      </c>
      <c r="G390" s="18" t="s">
        <v>28</v>
      </c>
      <c r="H390" s="23" t="s">
        <v>51</v>
      </c>
      <c r="I390" s="21"/>
      <c r="J390" s="21"/>
      <c r="K390" s="21"/>
      <c r="L390" s="21"/>
      <c r="M390" s="21"/>
    </row>
    <row r="391" spans="1:13" s="24" customFormat="1" x14ac:dyDescent="0.25">
      <c r="A391" s="21"/>
      <c r="B391" s="17">
        <v>46017</v>
      </c>
      <c r="C391" s="95">
        <v>45992</v>
      </c>
      <c r="D391" s="22" t="s">
        <v>301</v>
      </c>
      <c r="E391" s="18" t="s">
        <v>24</v>
      </c>
      <c r="F391" s="19" t="s">
        <v>6</v>
      </c>
      <c r="G391" s="22" t="s">
        <v>310</v>
      </c>
      <c r="H391" s="23" t="s">
        <v>311</v>
      </c>
      <c r="I391" s="21"/>
      <c r="J391" s="21"/>
      <c r="K391" s="21"/>
      <c r="L391" s="21"/>
      <c r="M391" s="21"/>
    </row>
    <row r="392" spans="1:13" s="24" customFormat="1" x14ac:dyDescent="0.25">
      <c r="A392" s="21"/>
      <c r="B392" s="17">
        <v>46020</v>
      </c>
      <c r="C392" s="95">
        <v>45992</v>
      </c>
      <c r="D392" s="18" t="s">
        <v>68</v>
      </c>
      <c r="E392" s="18" t="s">
        <v>24</v>
      </c>
      <c r="F392" s="19" t="s">
        <v>6</v>
      </c>
      <c r="G392" s="18" t="s">
        <v>25</v>
      </c>
      <c r="H392" s="20" t="s">
        <v>69</v>
      </c>
      <c r="I392" s="21"/>
      <c r="J392" s="21"/>
      <c r="K392" s="21"/>
      <c r="L392" s="21"/>
      <c r="M392" s="21"/>
    </row>
    <row r="393" spans="1:13" s="24" customFormat="1" x14ac:dyDescent="0.25">
      <c r="A393" s="21"/>
      <c r="B393" s="17">
        <v>46021</v>
      </c>
      <c r="C393" s="95">
        <v>45992</v>
      </c>
      <c r="D393" s="22" t="s">
        <v>100</v>
      </c>
      <c r="E393" s="18" t="s">
        <v>24</v>
      </c>
      <c r="F393" s="19" t="s">
        <v>6</v>
      </c>
      <c r="G393" s="22" t="s">
        <v>146</v>
      </c>
      <c r="H393" s="23" t="s">
        <v>312</v>
      </c>
      <c r="I393" s="21"/>
      <c r="J393" s="21"/>
      <c r="K393" s="21"/>
      <c r="L393" s="21"/>
      <c r="M393" s="21"/>
    </row>
    <row r="394" spans="1:13" s="24" customFormat="1" ht="47.25" x14ac:dyDescent="0.25">
      <c r="A394" s="21"/>
      <c r="B394" s="17">
        <v>46022</v>
      </c>
      <c r="C394" s="95">
        <v>45992</v>
      </c>
      <c r="D394" s="18" t="s">
        <v>27</v>
      </c>
      <c r="E394" s="18" t="s">
        <v>24</v>
      </c>
      <c r="F394" s="19" t="s">
        <v>6</v>
      </c>
      <c r="G394" s="22" t="s">
        <v>50</v>
      </c>
      <c r="H394" s="20" t="s">
        <v>29</v>
      </c>
      <c r="I394" s="21"/>
      <c r="J394" s="21"/>
      <c r="K394" s="21"/>
      <c r="L394" s="21"/>
      <c r="M394" s="21"/>
    </row>
    <row r="395" spans="1:13" s="24" customFormat="1" x14ac:dyDescent="0.25">
      <c r="A395" s="21"/>
      <c r="B395" s="17">
        <v>46022</v>
      </c>
      <c r="C395" s="95">
        <v>45992</v>
      </c>
      <c r="D395" s="22" t="s">
        <v>301</v>
      </c>
      <c r="E395" s="22" t="s">
        <v>24</v>
      </c>
      <c r="F395" s="19" t="s">
        <v>4</v>
      </c>
      <c r="G395" s="22" t="s">
        <v>313</v>
      </c>
      <c r="H395" s="20" t="s">
        <v>314</v>
      </c>
      <c r="I395" s="21"/>
      <c r="J395" s="21"/>
      <c r="K395" s="21"/>
      <c r="L395" s="21"/>
      <c r="M395" s="21"/>
    </row>
    <row r="396" spans="1:13" s="24" customFormat="1" x14ac:dyDescent="0.25">
      <c r="A396" s="21"/>
      <c r="B396" s="17">
        <v>46024</v>
      </c>
      <c r="C396" s="95">
        <v>45992</v>
      </c>
      <c r="D396" s="22" t="s">
        <v>100</v>
      </c>
      <c r="E396" s="18" t="s">
        <v>24</v>
      </c>
      <c r="F396" s="19" t="s">
        <v>6</v>
      </c>
      <c r="G396" s="22" t="s">
        <v>315</v>
      </c>
      <c r="H396" s="23" t="s">
        <v>312</v>
      </c>
      <c r="I396" s="21"/>
      <c r="J396" s="21"/>
      <c r="K396" s="21"/>
      <c r="L396" s="21"/>
      <c r="M396" s="21"/>
    </row>
    <row r="397" spans="1:13" s="24" customFormat="1" x14ac:dyDescent="0.25">
      <c r="A397" s="21"/>
      <c r="B397" s="17">
        <v>46024</v>
      </c>
      <c r="C397" s="95">
        <v>45992</v>
      </c>
      <c r="D397" s="22" t="s">
        <v>316</v>
      </c>
      <c r="E397" s="22" t="s">
        <v>24</v>
      </c>
      <c r="F397" s="19" t="s">
        <v>4</v>
      </c>
      <c r="G397" s="22" t="s">
        <v>317</v>
      </c>
      <c r="H397" s="23" t="s">
        <v>318</v>
      </c>
      <c r="I397" s="21"/>
      <c r="J397" s="21"/>
      <c r="K397" s="21"/>
      <c r="L397" s="21"/>
      <c r="M397" s="21"/>
    </row>
    <row r="398" spans="1:13" s="24" customFormat="1" x14ac:dyDescent="0.25">
      <c r="A398" s="21"/>
      <c r="B398" s="17">
        <v>46024</v>
      </c>
      <c r="C398" s="95">
        <v>45992</v>
      </c>
      <c r="D398" s="22" t="s">
        <v>110</v>
      </c>
      <c r="E398" s="18" t="s">
        <v>24</v>
      </c>
      <c r="F398" s="19" t="s">
        <v>6</v>
      </c>
      <c r="G398" s="22" t="s">
        <v>25</v>
      </c>
      <c r="H398" s="23" t="s">
        <v>114</v>
      </c>
      <c r="I398" s="21"/>
      <c r="J398" s="21"/>
      <c r="K398" s="21"/>
      <c r="L398" s="21"/>
      <c r="M398" s="21"/>
    </row>
    <row r="399" spans="1:13" s="24" customFormat="1" ht="47.25" x14ac:dyDescent="0.25">
      <c r="A399" s="21"/>
      <c r="B399" s="17">
        <v>46027</v>
      </c>
      <c r="C399" s="95">
        <v>45992</v>
      </c>
      <c r="D399" s="18" t="s">
        <v>27</v>
      </c>
      <c r="E399" s="18" t="s">
        <v>24</v>
      </c>
      <c r="F399" s="19" t="s">
        <v>6</v>
      </c>
      <c r="G399" s="22" t="s">
        <v>50</v>
      </c>
      <c r="H399" s="20" t="s">
        <v>29</v>
      </c>
      <c r="I399" s="21"/>
      <c r="J399" s="21"/>
      <c r="K399" s="21"/>
      <c r="L399" s="21"/>
      <c r="M399" s="21"/>
    </row>
    <row r="400" spans="1:13" s="24" customFormat="1" x14ac:dyDescent="0.25">
      <c r="A400" s="21"/>
      <c r="B400" s="17">
        <v>46027</v>
      </c>
      <c r="C400" s="95">
        <v>45992</v>
      </c>
      <c r="D400" s="22" t="s">
        <v>105</v>
      </c>
      <c r="E400" s="18" t="s">
        <v>24</v>
      </c>
      <c r="F400" s="19" t="s">
        <v>6</v>
      </c>
      <c r="G400" s="18" t="s">
        <v>25</v>
      </c>
      <c r="H400" s="20" t="s">
        <v>26</v>
      </c>
      <c r="I400" s="21"/>
      <c r="J400" s="21"/>
      <c r="K400" s="21"/>
      <c r="L400" s="21"/>
      <c r="M400" s="21"/>
    </row>
    <row r="401" spans="1:13" s="24" customFormat="1" x14ac:dyDescent="0.25">
      <c r="A401" s="21"/>
      <c r="B401" s="17">
        <v>46028</v>
      </c>
      <c r="C401" s="95">
        <v>45992</v>
      </c>
      <c r="D401" s="22" t="s">
        <v>319</v>
      </c>
      <c r="E401" s="18" t="s">
        <v>24</v>
      </c>
      <c r="F401" s="19" t="s">
        <v>6</v>
      </c>
      <c r="G401" s="22" t="s">
        <v>320</v>
      </c>
      <c r="H401" s="23" t="s">
        <v>321</v>
      </c>
      <c r="I401" s="21"/>
      <c r="J401" s="21"/>
      <c r="K401" s="21"/>
      <c r="L401" s="21"/>
      <c r="M401" s="21"/>
    </row>
    <row r="402" spans="1:13" s="24" customFormat="1" ht="31.5" x14ac:dyDescent="0.25">
      <c r="A402" s="21"/>
      <c r="B402" s="17">
        <v>46028</v>
      </c>
      <c r="C402" s="95">
        <v>45992</v>
      </c>
      <c r="D402" s="18" t="s">
        <v>27</v>
      </c>
      <c r="E402" s="18" t="s">
        <v>24</v>
      </c>
      <c r="F402" s="19" t="s">
        <v>6</v>
      </c>
      <c r="G402" s="18" t="s">
        <v>28</v>
      </c>
      <c r="H402" s="23" t="s">
        <v>51</v>
      </c>
      <c r="I402" s="21"/>
      <c r="J402" s="21"/>
      <c r="K402" s="21"/>
      <c r="L402" s="21"/>
      <c r="M402" s="21"/>
    </row>
    <row r="403" spans="1:13" s="24" customFormat="1" x14ac:dyDescent="0.25">
      <c r="A403" s="21"/>
      <c r="B403" s="17">
        <v>46028</v>
      </c>
      <c r="C403" s="95">
        <v>45992</v>
      </c>
      <c r="D403" s="22" t="s">
        <v>322</v>
      </c>
      <c r="E403" s="18" t="s">
        <v>24</v>
      </c>
      <c r="F403" s="19" t="s">
        <v>6</v>
      </c>
      <c r="G403" s="22" t="s">
        <v>310</v>
      </c>
      <c r="H403" s="23" t="s">
        <v>311</v>
      </c>
      <c r="I403" s="21"/>
      <c r="J403" s="21"/>
      <c r="K403" s="21"/>
      <c r="L403" s="21"/>
      <c r="M403" s="21"/>
    </row>
    <row r="404" spans="1:13" s="24" customFormat="1" ht="31.5" x14ac:dyDescent="0.25">
      <c r="A404" s="21"/>
      <c r="B404" s="17">
        <v>46029</v>
      </c>
      <c r="C404" s="95">
        <v>45992</v>
      </c>
      <c r="D404" s="22" t="s">
        <v>100</v>
      </c>
      <c r="E404" s="22" t="s">
        <v>24</v>
      </c>
      <c r="F404" s="19" t="s">
        <v>4</v>
      </c>
      <c r="G404" s="22" t="s">
        <v>323</v>
      </c>
      <c r="H404" s="23" t="s">
        <v>324</v>
      </c>
      <c r="I404" s="21"/>
      <c r="J404" s="21"/>
      <c r="K404" s="21"/>
      <c r="L404" s="21"/>
      <c r="M404" s="21"/>
    </row>
    <row r="405" spans="1:13" s="24" customFormat="1" x14ac:dyDescent="0.25">
      <c r="A405" s="21"/>
      <c r="B405" s="17">
        <v>46029</v>
      </c>
      <c r="C405" s="95">
        <v>45992</v>
      </c>
      <c r="D405" s="18" t="s">
        <v>68</v>
      </c>
      <c r="E405" s="18" t="s">
        <v>24</v>
      </c>
      <c r="F405" s="19" t="s">
        <v>6</v>
      </c>
      <c r="G405" s="18" t="s">
        <v>25</v>
      </c>
      <c r="H405" s="20" t="s">
        <v>69</v>
      </c>
      <c r="I405" s="21"/>
      <c r="J405" s="21"/>
      <c r="K405" s="21"/>
      <c r="L405" s="21"/>
      <c r="M405" s="21"/>
    </row>
    <row r="406" spans="1:13" s="24" customFormat="1" ht="31.5" x14ac:dyDescent="0.25">
      <c r="A406" s="21"/>
      <c r="B406" s="17">
        <v>46030</v>
      </c>
      <c r="C406" s="95">
        <v>45992</v>
      </c>
      <c r="D406" s="22" t="s">
        <v>100</v>
      </c>
      <c r="E406" s="22" t="s">
        <v>24</v>
      </c>
      <c r="F406" s="19" t="s">
        <v>4</v>
      </c>
      <c r="G406" s="22" t="s">
        <v>323</v>
      </c>
      <c r="H406" s="23" t="s">
        <v>324</v>
      </c>
      <c r="I406" s="21"/>
      <c r="J406" s="21"/>
      <c r="K406" s="21"/>
      <c r="L406" s="21"/>
      <c r="M406" s="21"/>
    </row>
    <row r="407" spans="1:13" s="24" customFormat="1" ht="31.5" x14ac:dyDescent="0.25">
      <c r="A407" s="21"/>
      <c r="B407" s="17">
        <v>46031</v>
      </c>
      <c r="C407" s="95">
        <v>45992</v>
      </c>
      <c r="D407" s="18" t="s">
        <v>27</v>
      </c>
      <c r="E407" s="18" t="s">
        <v>24</v>
      </c>
      <c r="F407" s="19" t="s">
        <v>6</v>
      </c>
      <c r="G407" s="18" t="s">
        <v>28</v>
      </c>
      <c r="H407" s="23" t="s">
        <v>51</v>
      </c>
      <c r="I407" s="21"/>
      <c r="J407" s="21"/>
      <c r="K407" s="21"/>
      <c r="L407" s="21"/>
      <c r="M407" s="21"/>
    </row>
    <row r="408" spans="1:13" s="129" customFormat="1" x14ac:dyDescent="0.25">
      <c r="B408" s="130"/>
      <c r="C408" s="131"/>
      <c r="D408" s="132"/>
      <c r="E408" s="132"/>
      <c r="F408" s="132" t="s">
        <v>144</v>
      </c>
      <c r="G408" s="132"/>
      <c r="H408" s="133"/>
    </row>
    <row r="409" spans="1:13" s="24" customFormat="1" ht="47.25" x14ac:dyDescent="0.25">
      <c r="A409" s="21"/>
      <c r="B409" s="17">
        <v>46034</v>
      </c>
      <c r="C409" s="95">
        <v>46023</v>
      </c>
      <c r="D409" s="18" t="s">
        <v>27</v>
      </c>
      <c r="E409" s="18" t="s">
        <v>24</v>
      </c>
      <c r="F409" s="19" t="s">
        <v>6</v>
      </c>
      <c r="G409" s="22" t="s">
        <v>50</v>
      </c>
      <c r="H409" s="20" t="s">
        <v>29</v>
      </c>
      <c r="I409" s="21"/>
      <c r="J409" s="21"/>
      <c r="K409" s="21"/>
      <c r="L409" s="21"/>
      <c r="M409" s="21"/>
    </row>
    <row r="410" spans="1:13" s="24" customFormat="1" x14ac:dyDescent="0.25">
      <c r="A410" s="21"/>
      <c r="B410" s="17">
        <v>46034</v>
      </c>
      <c r="C410" s="95">
        <v>46023</v>
      </c>
      <c r="D410" s="134" t="s">
        <v>110</v>
      </c>
      <c r="E410" s="18" t="s">
        <v>24</v>
      </c>
      <c r="F410" s="19" t="s">
        <v>6</v>
      </c>
      <c r="G410" s="22" t="s">
        <v>25</v>
      </c>
      <c r="H410" s="23" t="s">
        <v>114</v>
      </c>
      <c r="I410" s="21"/>
      <c r="J410" s="21"/>
      <c r="K410" s="21"/>
      <c r="L410" s="21"/>
      <c r="M410" s="21"/>
    </row>
    <row r="411" spans="1:13" s="24" customFormat="1" x14ac:dyDescent="0.25">
      <c r="A411" s="21"/>
      <c r="B411" s="17">
        <v>46034</v>
      </c>
      <c r="C411" s="95">
        <v>46023</v>
      </c>
      <c r="D411" s="22" t="s">
        <v>113</v>
      </c>
      <c r="E411" s="18" t="s">
        <v>24</v>
      </c>
      <c r="F411" s="19" t="s">
        <v>6</v>
      </c>
      <c r="G411" s="22" t="s">
        <v>25</v>
      </c>
      <c r="H411" s="23" t="s">
        <v>114</v>
      </c>
      <c r="I411" s="21"/>
      <c r="J411" s="21"/>
      <c r="K411" s="21"/>
      <c r="L411" s="21"/>
      <c r="M411" s="21"/>
    </row>
    <row r="412" spans="1:13" s="24" customFormat="1" ht="31.5" x14ac:dyDescent="0.25">
      <c r="A412" s="21"/>
      <c r="B412" s="17">
        <v>46035</v>
      </c>
      <c r="C412" s="95">
        <v>46023</v>
      </c>
      <c r="D412" s="18" t="s">
        <v>27</v>
      </c>
      <c r="E412" s="18" t="s">
        <v>24</v>
      </c>
      <c r="F412" s="19" t="s">
        <v>6</v>
      </c>
      <c r="G412" s="18" t="s">
        <v>28</v>
      </c>
      <c r="H412" s="23" t="s">
        <v>51</v>
      </c>
      <c r="I412" s="21"/>
      <c r="J412" s="21"/>
      <c r="K412" s="21"/>
      <c r="L412" s="21"/>
      <c r="M412" s="21"/>
    </row>
    <row r="413" spans="1:13" s="24" customFormat="1" ht="47.25" x14ac:dyDescent="0.25">
      <c r="A413" s="21"/>
      <c r="B413" s="17">
        <v>46035</v>
      </c>
      <c r="C413" s="95">
        <v>46023</v>
      </c>
      <c r="D413" s="18" t="s">
        <v>27</v>
      </c>
      <c r="E413" s="18" t="s">
        <v>24</v>
      </c>
      <c r="F413" s="19" t="s">
        <v>6</v>
      </c>
      <c r="G413" s="22" t="s">
        <v>50</v>
      </c>
      <c r="H413" s="20" t="s">
        <v>29</v>
      </c>
      <c r="I413" s="21"/>
      <c r="J413" s="21"/>
      <c r="K413" s="21"/>
      <c r="L413" s="21"/>
      <c r="M413" s="21"/>
    </row>
    <row r="414" spans="1:13" s="24" customFormat="1" x14ac:dyDescent="0.25">
      <c r="A414" s="21"/>
      <c r="B414" s="17">
        <v>46036</v>
      </c>
      <c r="C414" s="95">
        <v>46023</v>
      </c>
      <c r="D414" s="22" t="s">
        <v>60</v>
      </c>
      <c r="E414" s="22" t="s">
        <v>24</v>
      </c>
      <c r="F414" s="19" t="s">
        <v>325</v>
      </c>
      <c r="G414" s="22" t="s">
        <v>326</v>
      </c>
      <c r="H414" s="23" t="s">
        <v>327</v>
      </c>
      <c r="I414" s="21"/>
      <c r="J414" s="21"/>
      <c r="K414" s="21"/>
      <c r="L414" s="21"/>
      <c r="M414" s="21"/>
    </row>
    <row r="415" spans="1:13" s="24" customFormat="1" x14ac:dyDescent="0.25">
      <c r="A415" s="21"/>
      <c r="B415" s="17">
        <v>46036</v>
      </c>
      <c r="C415" s="95">
        <v>46023</v>
      </c>
      <c r="D415" s="22" t="s">
        <v>328</v>
      </c>
      <c r="E415" s="18" t="s">
        <v>24</v>
      </c>
      <c r="F415" s="19" t="s">
        <v>6</v>
      </c>
      <c r="G415" s="22" t="s">
        <v>25</v>
      </c>
      <c r="H415" s="23" t="s">
        <v>329</v>
      </c>
      <c r="I415" s="21"/>
      <c r="J415" s="21"/>
      <c r="K415" s="21"/>
      <c r="L415" s="21"/>
      <c r="M415" s="21"/>
    </row>
    <row r="416" spans="1:13" s="24" customFormat="1" ht="31.5" x14ac:dyDescent="0.25">
      <c r="A416" s="21"/>
      <c r="B416" s="17">
        <v>46037</v>
      </c>
      <c r="C416" s="95">
        <v>46023</v>
      </c>
      <c r="D416" s="18" t="s">
        <v>27</v>
      </c>
      <c r="E416" s="18" t="s">
        <v>24</v>
      </c>
      <c r="F416" s="19" t="s">
        <v>6</v>
      </c>
      <c r="G416" s="18" t="s">
        <v>28</v>
      </c>
      <c r="H416" s="23" t="s">
        <v>51</v>
      </c>
      <c r="I416" s="21"/>
      <c r="J416" s="21"/>
      <c r="K416" s="21"/>
      <c r="L416" s="21"/>
      <c r="M416" s="21"/>
    </row>
    <row r="417" spans="1:13" s="24" customFormat="1" ht="47.25" x14ac:dyDescent="0.25">
      <c r="A417" s="21"/>
      <c r="B417" s="17">
        <v>46038</v>
      </c>
      <c r="C417" s="95">
        <v>46023</v>
      </c>
      <c r="D417" s="18" t="s">
        <v>27</v>
      </c>
      <c r="E417" s="18" t="s">
        <v>24</v>
      </c>
      <c r="F417" s="19" t="s">
        <v>6</v>
      </c>
      <c r="G417" s="22" t="s">
        <v>50</v>
      </c>
      <c r="H417" s="20" t="s">
        <v>29</v>
      </c>
      <c r="I417" s="21"/>
      <c r="J417" s="21"/>
      <c r="K417" s="21"/>
      <c r="L417" s="21"/>
      <c r="M417" s="21"/>
    </row>
    <row r="418" spans="1:13" s="24" customFormat="1" ht="31.5" x14ac:dyDescent="0.25">
      <c r="A418" s="21"/>
      <c r="B418" s="17">
        <v>46038</v>
      </c>
      <c r="C418" s="95">
        <v>46023</v>
      </c>
      <c r="D418" s="22" t="s">
        <v>283</v>
      </c>
      <c r="E418" s="22" t="s">
        <v>24</v>
      </c>
      <c r="F418" s="19" t="s">
        <v>4</v>
      </c>
      <c r="G418" s="22" t="s">
        <v>330</v>
      </c>
      <c r="H418" s="23" t="s">
        <v>331</v>
      </c>
      <c r="I418" s="21"/>
      <c r="J418" s="21"/>
      <c r="K418" s="21"/>
      <c r="L418" s="21"/>
      <c r="M418" s="21"/>
    </row>
    <row r="419" spans="1:13" s="24" customFormat="1" x14ac:dyDescent="0.25">
      <c r="A419" s="21"/>
      <c r="B419" s="17">
        <v>46041</v>
      </c>
      <c r="C419" s="95">
        <v>46023</v>
      </c>
      <c r="D419" s="22" t="s">
        <v>105</v>
      </c>
      <c r="E419" s="18" t="s">
        <v>24</v>
      </c>
      <c r="F419" s="19" t="s">
        <v>6</v>
      </c>
      <c r="G419" s="18" t="s">
        <v>25</v>
      </c>
      <c r="H419" s="20" t="s">
        <v>26</v>
      </c>
      <c r="I419" s="21"/>
      <c r="J419" s="21"/>
      <c r="K419" s="21"/>
      <c r="L419" s="21"/>
      <c r="M419" s="21"/>
    </row>
    <row r="420" spans="1:13" s="24" customFormat="1" x14ac:dyDescent="0.25">
      <c r="A420" s="21"/>
      <c r="B420" s="17">
        <v>46041</v>
      </c>
      <c r="C420" s="95">
        <v>46023</v>
      </c>
      <c r="D420" s="22" t="s">
        <v>332</v>
      </c>
      <c r="E420" s="22" t="s">
        <v>24</v>
      </c>
      <c r="F420" s="19" t="s">
        <v>6</v>
      </c>
      <c r="G420" s="22" t="s">
        <v>333</v>
      </c>
      <c r="H420" s="23" t="s">
        <v>334</v>
      </c>
      <c r="I420" s="21"/>
      <c r="J420" s="21"/>
      <c r="K420" s="21"/>
      <c r="L420" s="21"/>
      <c r="M420" s="21"/>
    </row>
    <row r="421" spans="1:13" s="24" customFormat="1" x14ac:dyDescent="0.25">
      <c r="A421" s="21"/>
      <c r="B421" s="17">
        <v>46042</v>
      </c>
      <c r="C421" s="95">
        <v>46023</v>
      </c>
      <c r="D421" s="22" t="s">
        <v>34</v>
      </c>
      <c r="E421" s="18" t="s">
        <v>24</v>
      </c>
      <c r="F421" s="19" t="s">
        <v>6</v>
      </c>
      <c r="G421" s="22" t="s">
        <v>146</v>
      </c>
      <c r="H421" s="23" t="s">
        <v>335</v>
      </c>
      <c r="I421" s="21"/>
      <c r="J421" s="21"/>
      <c r="K421" s="21"/>
      <c r="L421" s="21"/>
      <c r="M421" s="21"/>
    </row>
    <row r="422" spans="1:13" s="24" customFormat="1" x14ac:dyDescent="0.25">
      <c r="A422" s="21"/>
      <c r="B422" s="17">
        <v>46043</v>
      </c>
      <c r="C422" s="95">
        <v>46023</v>
      </c>
      <c r="D422" s="22" t="s">
        <v>34</v>
      </c>
      <c r="E422" s="18" t="s">
        <v>24</v>
      </c>
      <c r="F422" s="19" t="s">
        <v>6</v>
      </c>
      <c r="G422" s="22" t="s">
        <v>146</v>
      </c>
      <c r="H422" s="23" t="s">
        <v>336</v>
      </c>
      <c r="I422" s="21"/>
      <c r="J422" s="21"/>
      <c r="K422" s="21"/>
      <c r="L422" s="21"/>
      <c r="M422" s="21"/>
    </row>
    <row r="423" spans="1:13" s="24" customFormat="1" ht="47.25" x14ac:dyDescent="0.25">
      <c r="A423" s="21"/>
      <c r="B423" s="17">
        <v>46044</v>
      </c>
      <c r="C423" s="95">
        <v>46023</v>
      </c>
      <c r="D423" s="18" t="s">
        <v>27</v>
      </c>
      <c r="E423" s="18" t="s">
        <v>24</v>
      </c>
      <c r="F423" s="19" t="s">
        <v>6</v>
      </c>
      <c r="G423" s="22" t="s">
        <v>50</v>
      </c>
      <c r="H423" s="20" t="s">
        <v>29</v>
      </c>
      <c r="I423" s="21"/>
      <c r="J423" s="21"/>
      <c r="K423" s="21"/>
      <c r="L423" s="21"/>
      <c r="M423" s="21"/>
    </row>
    <row r="424" spans="1:13" s="24" customFormat="1" ht="31.5" x14ac:dyDescent="0.25">
      <c r="A424" s="21"/>
      <c r="B424" s="17">
        <v>46045</v>
      </c>
      <c r="C424" s="95">
        <v>46023</v>
      </c>
      <c r="D424" s="18" t="s">
        <v>27</v>
      </c>
      <c r="E424" s="18" t="s">
        <v>24</v>
      </c>
      <c r="F424" s="19" t="s">
        <v>6</v>
      </c>
      <c r="G424" s="18" t="s">
        <v>28</v>
      </c>
      <c r="H424" s="23" t="s">
        <v>51</v>
      </c>
      <c r="I424" s="21"/>
      <c r="J424" s="21"/>
      <c r="K424" s="21"/>
      <c r="L424" s="21"/>
      <c r="M424" s="21"/>
    </row>
    <row r="425" spans="1:13" s="24" customFormat="1" x14ac:dyDescent="0.25">
      <c r="A425" s="21"/>
      <c r="B425" s="17">
        <v>46045</v>
      </c>
      <c r="C425" s="95">
        <v>46023</v>
      </c>
      <c r="D425" s="22" t="s">
        <v>34</v>
      </c>
      <c r="E425" s="18" t="s">
        <v>24</v>
      </c>
      <c r="F425" s="19" t="s">
        <v>6</v>
      </c>
      <c r="G425" s="22" t="s">
        <v>337</v>
      </c>
      <c r="H425" s="23" t="s">
        <v>336</v>
      </c>
      <c r="I425" s="21"/>
      <c r="J425" s="21"/>
      <c r="K425" s="21"/>
      <c r="L425" s="21"/>
      <c r="M425" s="21"/>
    </row>
    <row r="426" spans="1:13" s="24" customFormat="1" ht="31.5" x14ac:dyDescent="0.25">
      <c r="A426" s="21"/>
      <c r="B426" s="17">
        <v>46045</v>
      </c>
      <c r="C426" s="95">
        <v>46023</v>
      </c>
      <c r="D426" s="22" t="s">
        <v>338</v>
      </c>
      <c r="E426" s="22" t="s">
        <v>24</v>
      </c>
      <c r="F426" s="19" t="s">
        <v>325</v>
      </c>
      <c r="G426" s="22" t="s">
        <v>339</v>
      </c>
      <c r="H426" s="23" t="s">
        <v>340</v>
      </c>
      <c r="I426" s="21"/>
      <c r="J426" s="21"/>
      <c r="K426" s="21"/>
      <c r="L426" s="21"/>
      <c r="M426" s="21"/>
    </row>
    <row r="427" spans="1:13" s="24" customFormat="1" x14ac:dyDescent="0.25">
      <c r="A427" s="42"/>
      <c r="B427" s="17">
        <v>46048</v>
      </c>
      <c r="C427" s="95">
        <v>46023</v>
      </c>
      <c r="D427" s="22" t="s">
        <v>316</v>
      </c>
      <c r="E427" s="22" t="s">
        <v>24</v>
      </c>
      <c r="F427" s="19" t="s">
        <v>325</v>
      </c>
      <c r="G427" s="22" t="s">
        <v>341</v>
      </c>
      <c r="H427" s="23" t="s">
        <v>342</v>
      </c>
      <c r="I427" s="21"/>
      <c r="J427" s="21"/>
      <c r="K427" s="21"/>
      <c r="L427" s="21"/>
      <c r="M427" s="21"/>
    </row>
    <row r="428" spans="1:13" s="24" customFormat="1" x14ac:dyDescent="0.25">
      <c r="A428" s="21"/>
      <c r="B428" s="17">
        <v>46048</v>
      </c>
      <c r="C428" s="95">
        <v>46023</v>
      </c>
      <c r="D428" s="18" t="s">
        <v>105</v>
      </c>
      <c r="E428" s="18" t="s">
        <v>24</v>
      </c>
      <c r="F428" s="19" t="s">
        <v>6</v>
      </c>
      <c r="G428" s="18" t="s">
        <v>25</v>
      </c>
      <c r="H428" s="20" t="s">
        <v>343</v>
      </c>
      <c r="I428" s="21"/>
      <c r="J428" s="21"/>
      <c r="K428" s="21"/>
      <c r="L428" s="21"/>
      <c r="M428" s="21"/>
    </row>
    <row r="429" spans="1:13" s="24" customFormat="1" x14ac:dyDescent="0.25">
      <c r="A429" s="21"/>
      <c r="B429" s="17">
        <v>46049</v>
      </c>
      <c r="C429" s="95">
        <v>46023</v>
      </c>
      <c r="D429" s="18" t="s">
        <v>68</v>
      </c>
      <c r="E429" s="18" t="s">
        <v>24</v>
      </c>
      <c r="F429" s="19" t="s">
        <v>6</v>
      </c>
      <c r="G429" s="18" t="s">
        <v>25</v>
      </c>
      <c r="H429" s="20" t="s">
        <v>69</v>
      </c>
      <c r="I429" s="21"/>
      <c r="J429" s="21"/>
      <c r="K429" s="21"/>
      <c r="L429" s="21"/>
      <c r="M429" s="21"/>
    </row>
    <row r="430" spans="1:13" s="24" customFormat="1" x14ac:dyDescent="0.25">
      <c r="A430" s="42"/>
      <c r="B430" s="17">
        <v>46049</v>
      </c>
      <c r="C430" s="95">
        <v>46023</v>
      </c>
      <c r="D430" s="22" t="s">
        <v>316</v>
      </c>
      <c r="E430" s="22" t="s">
        <v>24</v>
      </c>
      <c r="F430" s="19" t="s">
        <v>325</v>
      </c>
      <c r="G430" s="22" t="s">
        <v>344</v>
      </c>
      <c r="H430" s="23" t="s">
        <v>345</v>
      </c>
      <c r="I430" s="21"/>
      <c r="J430" s="21"/>
      <c r="K430" s="21"/>
      <c r="L430" s="21"/>
      <c r="M430" s="21"/>
    </row>
    <row r="431" spans="1:13" s="24" customFormat="1" x14ac:dyDescent="0.25">
      <c r="A431" s="21"/>
      <c r="B431" s="17">
        <v>46049</v>
      </c>
      <c r="C431" s="95">
        <v>46023</v>
      </c>
      <c r="D431" s="22" t="s">
        <v>346</v>
      </c>
      <c r="E431" s="18" t="s">
        <v>24</v>
      </c>
      <c r="F431" s="19" t="s">
        <v>6</v>
      </c>
      <c r="G431" s="18" t="s">
        <v>25</v>
      </c>
      <c r="H431" s="23" t="s">
        <v>347</v>
      </c>
      <c r="I431" s="21"/>
      <c r="J431" s="21"/>
      <c r="K431" s="21"/>
      <c r="L431" s="21"/>
      <c r="M431" s="21"/>
    </row>
    <row r="432" spans="1:13" s="24" customFormat="1" x14ac:dyDescent="0.25">
      <c r="A432" s="21"/>
      <c r="B432" s="17">
        <v>46050</v>
      </c>
      <c r="C432" s="95">
        <v>46023</v>
      </c>
      <c r="D432" s="22" t="s">
        <v>316</v>
      </c>
      <c r="E432" s="18" t="s">
        <v>24</v>
      </c>
      <c r="F432" s="19" t="s">
        <v>6</v>
      </c>
      <c r="G432" s="22" t="s">
        <v>348</v>
      </c>
      <c r="H432" s="23" t="s">
        <v>349</v>
      </c>
      <c r="I432" s="21"/>
      <c r="J432" s="21"/>
      <c r="K432" s="21"/>
      <c r="L432" s="21"/>
      <c r="M432" s="21"/>
    </row>
    <row r="433" spans="1:13" s="24" customFormat="1" x14ac:dyDescent="0.25">
      <c r="A433" s="21"/>
      <c r="B433" s="17">
        <v>46050</v>
      </c>
      <c r="C433" s="95">
        <v>46023</v>
      </c>
      <c r="D433" s="22" t="s">
        <v>350</v>
      </c>
      <c r="E433" s="18" t="s">
        <v>24</v>
      </c>
      <c r="F433" s="19" t="s">
        <v>6</v>
      </c>
      <c r="G433" s="22" t="s">
        <v>25</v>
      </c>
      <c r="H433" s="23" t="s">
        <v>114</v>
      </c>
      <c r="I433" s="21"/>
      <c r="J433" s="21"/>
      <c r="K433" s="21"/>
      <c r="L433" s="21"/>
      <c r="M433" s="21"/>
    </row>
    <row r="434" spans="1:13" s="24" customFormat="1" x14ac:dyDescent="0.25">
      <c r="A434" s="21"/>
      <c r="B434" s="17">
        <v>46051</v>
      </c>
      <c r="C434" s="95">
        <v>46023</v>
      </c>
      <c r="D434" s="22" t="s">
        <v>316</v>
      </c>
      <c r="E434" s="18" t="s">
        <v>24</v>
      </c>
      <c r="F434" s="19" t="s">
        <v>6</v>
      </c>
      <c r="G434" s="22" t="s">
        <v>348</v>
      </c>
      <c r="H434" s="23" t="s">
        <v>349</v>
      </c>
      <c r="I434" s="21"/>
      <c r="J434" s="21"/>
      <c r="K434" s="21"/>
      <c r="L434" s="21"/>
      <c r="M434" s="21"/>
    </row>
    <row r="435" spans="1:13" s="24" customFormat="1" x14ac:dyDescent="0.25">
      <c r="A435" s="21"/>
      <c r="B435" s="17">
        <v>46051</v>
      </c>
      <c r="C435" s="95">
        <v>46023</v>
      </c>
      <c r="D435" s="22" t="s">
        <v>232</v>
      </c>
      <c r="E435" s="18" t="s">
        <v>24</v>
      </c>
      <c r="F435" s="19" t="s">
        <v>6</v>
      </c>
      <c r="G435" s="22" t="s">
        <v>25</v>
      </c>
      <c r="H435" s="23" t="s">
        <v>114</v>
      </c>
      <c r="I435" s="21"/>
      <c r="J435" s="21"/>
      <c r="K435" s="21"/>
      <c r="L435" s="21"/>
      <c r="M435" s="21"/>
    </row>
    <row r="436" spans="1:13" s="24" customFormat="1" x14ac:dyDescent="0.25">
      <c r="A436" s="21"/>
      <c r="B436" s="17">
        <v>46051</v>
      </c>
      <c r="C436" s="95">
        <v>46023</v>
      </c>
      <c r="D436" s="22" t="s">
        <v>328</v>
      </c>
      <c r="E436" s="18" t="s">
        <v>24</v>
      </c>
      <c r="F436" s="19" t="s">
        <v>6</v>
      </c>
      <c r="G436" s="22" t="s">
        <v>25</v>
      </c>
      <c r="H436" s="23" t="s">
        <v>329</v>
      </c>
      <c r="I436" s="21"/>
      <c r="J436" s="21"/>
      <c r="K436" s="21"/>
      <c r="L436" s="21"/>
      <c r="M436" s="21"/>
    </row>
    <row r="437" spans="1:13" s="24" customFormat="1" x14ac:dyDescent="0.25">
      <c r="A437" s="21"/>
      <c r="B437" s="17">
        <v>46052</v>
      </c>
      <c r="C437" s="95">
        <v>46023</v>
      </c>
      <c r="D437" s="22" t="s">
        <v>351</v>
      </c>
      <c r="E437" s="18" t="s">
        <v>24</v>
      </c>
      <c r="F437" s="19" t="s">
        <v>6</v>
      </c>
      <c r="G437" s="22" t="s">
        <v>25</v>
      </c>
      <c r="H437" s="23" t="s">
        <v>329</v>
      </c>
      <c r="I437" s="21"/>
      <c r="J437" s="21"/>
      <c r="K437" s="21"/>
      <c r="L437" s="21"/>
      <c r="M437" s="21"/>
    </row>
    <row r="438" spans="1:13" s="24" customFormat="1" x14ac:dyDescent="0.25">
      <c r="A438" s="21"/>
      <c r="B438" s="17">
        <v>46052</v>
      </c>
      <c r="C438" s="95">
        <v>46023</v>
      </c>
      <c r="D438" s="22" t="s">
        <v>232</v>
      </c>
      <c r="E438" s="18" t="s">
        <v>24</v>
      </c>
      <c r="F438" s="19" t="s">
        <v>6</v>
      </c>
      <c r="G438" s="22" t="s">
        <v>25</v>
      </c>
      <c r="H438" s="23" t="s">
        <v>329</v>
      </c>
      <c r="I438" s="21"/>
      <c r="J438" s="21"/>
      <c r="K438" s="21"/>
      <c r="L438" s="21"/>
      <c r="M438" s="21"/>
    </row>
    <row r="439" spans="1:13" s="24" customFormat="1" x14ac:dyDescent="0.25">
      <c r="A439" s="21"/>
      <c r="B439" s="17">
        <v>46055</v>
      </c>
      <c r="C439" s="95">
        <v>46023</v>
      </c>
      <c r="D439" s="22" t="s">
        <v>110</v>
      </c>
      <c r="E439" s="18" t="s">
        <v>24</v>
      </c>
      <c r="F439" s="19" t="s">
        <v>6</v>
      </c>
      <c r="G439" s="22" t="s">
        <v>25</v>
      </c>
      <c r="H439" s="23" t="s">
        <v>114</v>
      </c>
      <c r="I439" s="21"/>
      <c r="J439" s="21"/>
      <c r="K439" s="21"/>
      <c r="L439" s="21"/>
      <c r="M439" s="21"/>
    </row>
    <row r="440" spans="1:13" s="24" customFormat="1" x14ac:dyDescent="0.25">
      <c r="A440" s="21"/>
      <c r="B440" s="17">
        <v>46058</v>
      </c>
      <c r="C440" s="95">
        <v>46023</v>
      </c>
      <c r="D440" s="22" t="s">
        <v>351</v>
      </c>
      <c r="E440" s="18" t="s">
        <v>24</v>
      </c>
      <c r="F440" s="19" t="s">
        <v>6</v>
      </c>
      <c r="G440" s="22" t="s">
        <v>25</v>
      </c>
      <c r="H440" s="23" t="s">
        <v>329</v>
      </c>
      <c r="I440" s="21"/>
      <c r="J440" s="21"/>
      <c r="K440" s="21"/>
      <c r="L440" s="21"/>
      <c r="M440" s="21"/>
    </row>
    <row r="441" spans="1:13" s="24" customFormat="1" x14ac:dyDescent="0.25">
      <c r="A441" s="21"/>
      <c r="B441" s="17">
        <v>46055</v>
      </c>
      <c r="C441" s="95">
        <v>46023</v>
      </c>
      <c r="D441" s="22" t="s">
        <v>352</v>
      </c>
      <c r="E441" s="18" t="s">
        <v>24</v>
      </c>
      <c r="F441" s="19" t="s">
        <v>6</v>
      </c>
      <c r="G441" s="22" t="s">
        <v>25</v>
      </c>
      <c r="H441" s="23" t="s">
        <v>329</v>
      </c>
      <c r="I441" s="21"/>
      <c r="J441" s="21"/>
      <c r="K441" s="21"/>
      <c r="L441" s="21"/>
      <c r="M441" s="21"/>
    </row>
    <row r="442" spans="1:13" s="24" customFormat="1" ht="31.5" x14ac:dyDescent="0.25">
      <c r="A442" s="21"/>
      <c r="B442" s="17">
        <v>46056</v>
      </c>
      <c r="C442" s="95">
        <v>46023</v>
      </c>
      <c r="D442" s="18" t="s">
        <v>27</v>
      </c>
      <c r="E442" s="18" t="s">
        <v>24</v>
      </c>
      <c r="F442" s="19" t="s">
        <v>6</v>
      </c>
      <c r="G442" s="18" t="s">
        <v>28</v>
      </c>
      <c r="H442" s="23" t="s">
        <v>51</v>
      </c>
      <c r="I442" s="21"/>
      <c r="J442" s="21"/>
      <c r="K442" s="21"/>
      <c r="L442" s="21"/>
      <c r="M442" s="21"/>
    </row>
    <row r="443" spans="1:13" s="24" customFormat="1" x14ac:dyDescent="0.25">
      <c r="A443" s="21"/>
      <c r="B443" s="17">
        <v>46056</v>
      </c>
      <c r="C443" s="95">
        <v>46023</v>
      </c>
      <c r="D443" s="18" t="s">
        <v>68</v>
      </c>
      <c r="E443" s="18" t="s">
        <v>24</v>
      </c>
      <c r="F443" s="19" t="s">
        <v>6</v>
      </c>
      <c r="G443" s="18" t="s">
        <v>25</v>
      </c>
      <c r="H443" s="20" t="s">
        <v>69</v>
      </c>
      <c r="I443" s="21"/>
      <c r="J443" s="21"/>
      <c r="K443" s="21"/>
      <c r="L443" s="21"/>
      <c r="M443" s="21"/>
    </row>
    <row r="444" spans="1:13" s="24" customFormat="1" x14ac:dyDescent="0.25">
      <c r="A444" s="21"/>
      <c r="B444" s="17">
        <v>46057</v>
      </c>
      <c r="C444" s="95">
        <v>46023</v>
      </c>
      <c r="D444" s="22" t="s">
        <v>232</v>
      </c>
      <c r="E444" s="18" t="s">
        <v>24</v>
      </c>
      <c r="F444" s="19" t="s">
        <v>6</v>
      </c>
      <c r="G444" s="22" t="s">
        <v>25</v>
      </c>
      <c r="H444" s="23" t="s">
        <v>329</v>
      </c>
      <c r="I444" s="21"/>
      <c r="J444" s="21"/>
      <c r="K444" s="21"/>
      <c r="L444" s="21"/>
      <c r="M444" s="21"/>
    </row>
    <row r="445" spans="1:13" s="24" customFormat="1" x14ac:dyDescent="0.25">
      <c r="A445" s="21"/>
      <c r="B445" s="17">
        <v>46057</v>
      </c>
      <c r="C445" s="95">
        <v>46023</v>
      </c>
      <c r="D445" s="22" t="s">
        <v>353</v>
      </c>
      <c r="E445" s="18" t="s">
        <v>24</v>
      </c>
      <c r="F445" s="19" t="s">
        <v>6</v>
      </c>
      <c r="G445" s="22" t="s">
        <v>354</v>
      </c>
      <c r="H445" s="23" t="s">
        <v>355</v>
      </c>
      <c r="I445" s="21"/>
      <c r="J445" s="21"/>
      <c r="K445" s="21"/>
      <c r="L445" s="21"/>
      <c r="M445" s="21"/>
    </row>
    <row r="446" spans="1:13" s="24" customFormat="1" x14ac:dyDescent="0.25">
      <c r="A446" s="21"/>
      <c r="B446" s="17">
        <v>46058</v>
      </c>
      <c r="C446" s="95">
        <v>46023</v>
      </c>
      <c r="D446" s="22" t="s">
        <v>356</v>
      </c>
      <c r="E446" s="18" t="s">
        <v>24</v>
      </c>
      <c r="F446" s="19" t="s">
        <v>6</v>
      </c>
      <c r="G446" s="22" t="s">
        <v>25</v>
      </c>
      <c r="H446" s="23" t="s">
        <v>329</v>
      </c>
      <c r="I446" s="21"/>
      <c r="J446" s="21"/>
      <c r="K446" s="21"/>
      <c r="L446" s="21"/>
      <c r="M446" s="21"/>
    </row>
    <row r="447" spans="1:13" s="24" customFormat="1" x14ac:dyDescent="0.25">
      <c r="A447" s="21"/>
      <c r="B447" s="17">
        <v>46058</v>
      </c>
      <c r="C447" s="95">
        <v>46023</v>
      </c>
      <c r="D447" s="18" t="s">
        <v>68</v>
      </c>
      <c r="E447" s="18" t="s">
        <v>24</v>
      </c>
      <c r="F447" s="19" t="s">
        <v>6</v>
      </c>
      <c r="G447" s="18" t="s">
        <v>25</v>
      </c>
      <c r="H447" s="20" t="s">
        <v>69</v>
      </c>
      <c r="I447" s="21"/>
      <c r="J447" s="21"/>
      <c r="K447" s="21"/>
      <c r="L447" s="21"/>
      <c r="M447" s="21"/>
    </row>
    <row r="448" spans="1:13" s="24" customFormat="1" x14ac:dyDescent="0.25">
      <c r="A448" s="21"/>
      <c r="B448" s="17">
        <v>46058</v>
      </c>
      <c r="C448" s="95">
        <v>46023</v>
      </c>
      <c r="D448" s="22" t="s">
        <v>357</v>
      </c>
      <c r="E448" s="18" t="s">
        <v>24</v>
      </c>
      <c r="F448" s="19" t="s">
        <v>6</v>
      </c>
      <c r="G448" s="22" t="s">
        <v>25</v>
      </c>
      <c r="H448" s="23" t="s">
        <v>329</v>
      </c>
      <c r="I448" s="21"/>
      <c r="J448" s="21"/>
      <c r="K448" s="21"/>
      <c r="L448" s="21"/>
      <c r="M448" s="21"/>
    </row>
    <row r="449" spans="1:13" s="24" customFormat="1" x14ac:dyDescent="0.25">
      <c r="A449" s="21"/>
      <c r="B449" s="17">
        <v>46058</v>
      </c>
      <c r="C449" s="95">
        <v>46023</v>
      </c>
      <c r="D449" s="22" t="s">
        <v>120</v>
      </c>
      <c r="E449" s="18" t="s">
        <v>24</v>
      </c>
      <c r="F449" s="19" t="s">
        <v>325</v>
      </c>
      <c r="G449" s="22" t="s">
        <v>358</v>
      </c>
      <c r="H449" s="23" t="s">
        <v>359</v>
      </c>
      <c r="I449" s="21"/>
      <c r="J449" s="21"/>
      <c r="K449" s="21"/>
      <c r="L449" s="21"/>
      <c r="M449" s="21"/>
    </row>
    <row r="450" spans="1:13" s="24" customFormat="1" x14ac:dyDescent="0.25">
      <c r="A450" s="21"/>
      <c r="B450" s="17">
        <v>46058</v>
      </c>
      <c r="C450" s="95">
        <v>46023</v>
      </c>
      <c r="D450" s="22" t="s">
        <v>351</v>
      </c>
      <c r="E450" s="18" t="s">
        <v>24</v>
      </c>
      <c r="F450" s="19" t="s">
        <v>6</v>
      </c>
      <c r="G450" s="22" t="s">
        <v>25</v>
      </c>
      <c r="H450" s="23" t="s">
        <v>329</v>
      </c>
      <c r="I450" s="21"/>
      <c r="J450" s="21"/>
      <c r="K450" s="21"/>
      <c r="L450" s="21"/>
      <c r="M450" s="21"/>
    </row>
    <row r="451" spans="1:13" s="24" customFormat="1" ht="31.5" x14ac:dyDescent="0.25">
      <c r="A451" s="21"/>
      <c r="B451" s="17">
        <v>46059</v>
      </c>
      <c r="C451" s="95">
        <v>46023</v>
      </c>
      <c r="D451" s="22" t="s">
        <v>120</v>
      </c>
      <c r="E451" s="18" t="s">
        <v>24</v>
      </c>
      <c r="F451" s="19" t="s">
        <v>6</v>
      </c>
      <c r="G451" s="22" t="s">
        <v>121</v>
      </c>
      <c r="H451" s="23" t="s">
        <v>360</v>
      </c>
      <c r="I451" s="21"/>
      <c r="J451" s="21"/>
      <c r="K451" s="21"/>
      <c r="L451" s="21"/>
      <c r="M451" s="21"/>
    </row>
    <row r="452" spans="1:13" s="24" customFormat="1" ht="31.5" x14ac:dyDescent="0.25">
      <c r="A452" s="21"/>
      <c r="B452" s="17">
        <v>46059</v>
      </c>
      <c r="C452" s="95">
        <v>46023</v>
      </c>
      <c r="D452" s="22" t="s">
        <v>213</v>
      </c>
      <c r="E452" s="18" t="s">
        <v>24</v>
      </c>
      <c r="F452" s="19" t="s">
        <v>6</v>
      </c>
      <c r="G452" s="22" t="s">
        <v>326</v>
      </c>
      <c r="H452" s="23" t="s">
        <v>361</v>
      </c>
      <c r="I452" s="21"/>
      <c r="J452" s="21"/>
      <c r="K452" s="21"/>
      <c r="L452" s="21"/>
      <c r="M452" s="21"/>
    </row>
    <row r="453" spans="1:13" s="24" customFormat="1" x14ac:dyDescent="0.25">
      <c r="A453" s="21"/>
      <c r="B453" s="17">
        <v>46062</v>
      </c>
      <c r="C453" s="95">
        <v>46023</v>
      </c>
      <c r="D453" s="22" t="s">
        <v>23</v>
      </c>
      <c r="E453" s="18" t="s">
        <v>24</v>
      </c>
      <c r="F453" s="19" t="s">
        <v>6</v>
      </c>
      <c r="G453" s="18" t="s">
        <v>25</v>
      </c>
      <c r="H453" s="20" t="s">
        <v>26</v>
      </c>
      <c r="I453" s="21"/>
      <c r="J453" s="21"/>
      <c r="K453" s="21"/>
      <c r="L453" s="21"/>
      <c r="M453" s="21"/>
    </row>
    <row r="454" spans="1:13" s="24" customFormat="1" ht="31.5" x14ac:dyDescent="0.25">
      <c r="A454" s="21"/>
      <c r="B454" s="17">
        <v>46062</v>
      </c>
      <c r="C454" s="95">
        <v>46023</v>
      </c>
      <c r="D454" s="18" t="s">
        <v>27</v>
      </c>
      <c r="E454" s="18" t="s">
        <v>24</v>
      </c>
      <c r="F454" s="19" t="s">
        <v>6</v>
      </c>
      <c r="G454" s="18" t="s">
        <v>28</v>
      </c>
      <c r="H454" s="23" t="s">
        <v>51</v>
      </c>
      <c r="I454" s="21"/>
      <c r="J454" s="21"/>
      <c r="K454" s="21"/>
      <c r="L454" s="21"/>
      <c r="M454" s="21"/>
    </row>
    <row r="455" spans="1:13" s="24" customFormat="1" x14ac:dyDescent="0.25">
      <c r="A455" s="21"/>
      <c r="B455" s="17">
        <v>46063</v>
      </c>
      <c r="C455" s="95">
        <v>46023</v>
      </c>
      <c r="D455" s="22" t="s">
        <v>113</v>
      </c>
      <c r="E455" s="18" t="s">
        <v>24</v>
      </c>
      <c r="F455" s="19" t="s">
        <v>6</v>
      </c>
      <c r="G455" s="22" t="s">
        <v>25</v>
      </c>
      <c r="H455" s="23" t="s">
        <v>114</v>
      </c>
      <c r="I455" s="21"/>
      <c r="J455" s="21"/>
      <c r="K455" s="21"/>
      <c r="L455" s="21"/>
      <c r="M455" s="21"/>
    </row>
    <row r="456" spans="1:13" s="24" customFormat="1" ht="47.25" x14ac:dyDescent="0.25">
      <c r="A456" s="21"/>
      <c r="B456" s="17">
        <v>46063</v>
      </c>
      <c r="C456" s="95">
        <v>46023</v>
      </c>
      <c r="D456" s="18" t="s">
        <v>27</v>
      </c>
      <c r="E456" s="18" t="s">
        <v>24</v>
      </c>
      <c r="F456" s="19" t="s">
        <v>6</v>
      </c>
      <c r="G456" s="22" t="s">
        <v>50</v>
      </c>
      <c r="H456" s="20" t="s">
        <v>29</v>
      </c>
      <c r="I456" s="21"/>
      <c r="J456" s="21"/>
      <c r="K456" s="21"/>
      <c r="L456" s="21"/>
      <c r="M456" s="21"/>
    </row>
    <row r="457" spans="1:13" s="129" customFormat="1" x14ac:dyDescent="0.3">
      <c r="A457" s="173" t="s">
        <v>362</v>
      </c>
      <c r="B457" s="174" t="s">
        <v>362</v>
      </c>
      <c r="C457" s="175" t="s">
        <v>362</v>
      </c>
      <c r="D457" s="175" t="s">
        <v>362</v>
      </c>
      <c r="E457" s="175" t="s">
        <v>362</v>
      </c>
      <c r="F457" s="176" t="s">
        <v>144</v>
      </c>
      <c r="G457" s="175" t="s">
        <v>362</v>
      </c>
      <c r="H457" s="177" t="s">
        <v>362</v>
      </c>
      <c r="I457" s="173" t="s">
        <v>362</v>
      </c>
      <c r="J457" s="173" t="s">
        <v>362</v>
      </c>
      <c r="K457" s="173" t="s">
        <v>362</v>
      </c>
      <c r="L457" s="173" t="s">
        <v>362</v>
      </c>
      <c r="M457" s="173" t="s">
        <v>362</v>
      </c>
    </row>
    <row r="458" spans="1:13" s="24" customFormat="1" ht="32.25" x14ac:dyDescent="0.3">
      <c r="A458" s="178" t="s">
        <v>362</v>
      </c>
      <c r="B458" s="180">
        <v>46064</v>
      </c>
      <c r="C458" s="182">
        <v>46054</v>
      </c>
      <c r="D458" s="181" t="s">
        <v>27</v>
      </c>
      <c r="E458" s="181" t="s">
        <v>24</v>
      </c>
      <c r="F458" s="183" t="s">
        <v>6</v>
      </c>
      <c r="G458" s="181" t="s">
        <v>28</v>
      </c>
      <c r="H458" s="184" t="s">
        <v>51</v>
      </c>
      <c r="I458" s="178" t="s">
        <v>362</v>
      </c>
      <c r="J458" s="178" t="s">
        <v>362</v>
      </c>
      <c r="K458" s="178" t="s">
        <v>362</v>
      </c>
      <c r="L458" s="178" t="s">
        <v>362</v>
      </c>
      <c r="M458" s="178" t="s">
        <v>362</v>
      </c>
    </row>
    <row r="459" spans="1:13" s="24" customFormat="1" x14ac:dyDescent="0.3">
      <c r="A459" s="178" t="s">
        <v>362</v>
      </c>
      <c r="B459" s="180">
        <v>46064</v>
      </c>
      <c r="C459" s="182">
        <v>46054</v>
      </c>
      <c r="D459" s="181" t="s">
        <v>234</v>
      </c>
      <c r="E459" s="181" t="s">
        <v>24</v>
      </c>
      <c r="F459" s="183" t="s">
        <v>6</v>
      </c>
      <c r="G459" s="181" t="s">
        <v>363</v>
      </c>
      <c r="H459" s="184" t="s">
        <v>364</v>
      </c>
      <c r="I459" s="178" t="s">
        <v>362</v>
      </c>
      <c r="J459" s="178" t="s">
        <v>362</v>
      </c>
      <c r="K459" s="178" t="s">
        <v>362</v>
      </c>
      <c r="L459" s="178" t="s">
        <v>362</v>
      </c>
      <c r="M459" s="178" t="s">
        <v>362</v>
      </c>
    </row>
    <row r="460" spans="1:13" s="24" customFormat="1" ht="48" x14ac:dyDescent="0.3">
      <c r="A460" s="178" t="s">
        <v>362</v>
      </c>
      <c r="B460" s="180">
        <v>46065</v>
      </c>
      <c r="C460" s="182">
        <v>46054</v>
      </c>
      <c r="D460" s="181" t="s">
        <v>27</v>
      </c>
      <c r="E460" s="181" t="s">
        <v>24</v>
      </c>
      <c r="F460" s="183" t="s">
        <v>6</v>
      </c>
      <c r="G460" s="181" t="s">
        <v>50</v>
      </c>
      <c r="H460" s="184" t="s">
        <v>29</v>
      </c>
      <c r="I460" s="178" t="s">
        <v>362</v>
      </c>
      <c r="J460" s="178" t="s">
        <v>362</v>
      </c>
      <c r="K460" s="178" t="s">
        <v>362</v>
      </c>
      <c r="L460" s="178" t="s">
        <v>362</v>
      </c>
      <c r="M460" s="178" t="s">
        <v>362</v>
      </c>
    </row>
    <row r="461" spans="1:13" s="24" customFormat="1" x14ac:dyDescent="0.3">
      <c r="A461" s="178" t="s">
        <v>362</v>
      </c>
      <c r="B461" s="180">
        <v>46065</v>
      </c>
      <c r="C461" s="182">
        <v>46054</v>
      </c>
      <c r="D461" s="181" t="s">
        <v>365</v>
      </c>
      <c r="E461" s="181" t="s">
        <v>24</v>
      </c>
      <c r="F461" s="183" t="s">
        <v>6</v>
      </c>
      <c r="G461" s="181" t="s">
        <v>25</v>
      </c>
      <c r="H461" s="184" t="s">
        <v>329</v>
      </c>
      <c r="I461" s="178" t="s">
        <v>362</v>
      </c>
      <c r="J461" s="178" t="s">
        <v>362</v>
      </c>
      <c r="K461" s="178" t="s">
        <v>362</v>
      </c>
      <c r="L461" s="178" t="s">
        <v>362</v>
      </c>
      <c r="M461" s="178" t="s">
        <v>362</v>
      </c>
    </row>
    <row r="462" spans="1:13" s="24" customFormat="1" ht="32.25" x14ac:dyDescent="0.3">
      <c r="A462" s="178" t="s">
        <v>362</v>
      </c>
      <c r="B462" s="180">
        <v>46066</v>
      </c>
      <c r="C462" s="182">
        <v>46054</v>
      </c>
      <c r="D462" s="181" t="s">
        <v>27</v>
      </c>
      <c r="E462" s="181" t="s">
        <v>24</v>
      </c>
      <c r="F462" s="183" t="s">
        <v>6</v>
      </c>
      <c r="G462" s="181" t="s">
        <v>28</v>
      </c>
      <c r="H462" s="184" t="s">
        <v>51</v>
      </c>
      <c r="I462" s="178" t="s">
        <v>362</v>
      </c>
      <c r="J462" s="178" t="s">
        <v>362</v>
      </c>
      <c r="K462" s="178" t="s">
        <v>362</v>
      </c>
      <c r="L462" s="178" t="s">
        <v>362</v>
      </c>
      <c r="M462" s="178" t="s">
        <v>362</v>
      </c>
    </row>
    <row r="463" spans="1:13" s="24" customFormat="1" x14ac:dyDescent="0.3">
      <c r="A463" s="178" t="s">
        <v>362</v>
      </c>
      <c r="B463" s="180">
        <v>46066</v>
      </c>
      <c r="C463" s="182">
        <v>46054</v>
      </c>
      <c r="D463" s="181" t="s">
        <v>232</v>
      </c>
      <c r="E463" s="181" t="s">
        <v>24</v>
      </c>
      <c r="F463" s="183" t="s">
        <v>6</v>
      </c>
      <c r="G463" s="181" t="s">
        <v>25</v>
      </c>
      <c r="H463" s="184" t="s">
        <v>233</v>
      </c>
      <c r="I463" s="178" t="s">
        <v>362</v>
      </c>
      <c r="J463" s="178" t="s">
        <v>362</v>
      </c>
      <c r="K463" s="178" t="s">
        <v>362</v>
      </c>
      <c r="L463" s="178" t="s">
        <v>362</v>
      </c>
      <c r="M463" s="178" t="s">
        <v>362</v>
      </c>
    </row>
    <row r="464" spans="1:13" s="24" customFormat="1" x14ac:dyDescent="0.3">
      <c r="A464" s="178" t="s">
        <v>362</v>
      </c>
      <c r="B464" s="180">
        <v>46069</v>
      </c>
      <c r="C464" s="182">
        <v>46054</v>
      </c>
      <c r="D464" s="181" t="s">
        <v>234</v>
      </c>
      <c r="E464" s="181" t="s">
        <v>24</v>
      </c>
      <c r="F464" s="183" t="s">
        <v>6</v>
      </c>
      <c r="G464" s="181" t="s">
        <v>25</v>
      </c>
      <c r="H464" s="184" t="s">
        <v>343</v>
      </c>
      <c r="I464" s="178" t="s">
        <v>362</v>
      </c>
      <c r="J464" s="178" t="s">
        <v>362</v>
      </c>
      <c r="K464" s="178" t="s">
        <v>362</v>
      </c>
      <c r="L464" s="178" t="s">
        <v>362</v>
      </c>
      <c r="M464" s="178" t="s">
        <v>362</v>
      </c>
    </row>
    <row r="465" spans="1:13" s="24" customFormat="1" x14ac:dyDescent="0.3">
      <c r="A465" s="178" t="s">
        <v>362</v>
      </c>
      <c r="B465" s="180">
        <v>46069</v>
      </c>
      <c r="C465" s="182">
        <v>46054</v>
      </c>
      <c r="D465" s="181" t="s">
        <v>351</v>
      </c>
      <c r="E465" s="181" t="s">
        <v>24</v>
      </c>
      <c r="F465" s="183" t="s">
        <v>6</v>
      </c>
      <c r="G465" s="181" t="s">
        <v>25</v>
      </c>
      <c r="H465" s="184" t="s">
        <v>329</v>
      </c>
      <c r="I465" s="178" t="s">
        <v>362</v>
      </c>
      <c r="J465" s="178" t="s">
        <v>362</v>
      </c>
      <c r="K465" s="178" t="s">
        <v>362</v>
      </c>
      <c r="L465" s="178" t="s">
        <v>362</v>
      </c>
      <c r="M465" s="178" t="s">
        <v>362</v>
      </c>
    </row>
    <row r="466" spans="1:13" s="24" customFormat="1" ht="32.25" x14ac:dyDescent="0.3">
      <c r="A466" s="178" t="s">
        <v>362</v>
      </c>
      <c r="B466" s="180">
        <v>46070</v>
      </c>
      <c r="C466" s="182">
        <v>46054</v>
      </c>
      <c r="D466" s="181" t="s">
        <v>27</v>
      </c>
      <c r="E466" s="181" t="s">
        <v>24</v>
      </c>
      <c r="F466" s="183" t="s">
        <v>6</v>
      </c>
      <c r="G466" s="181" t="s">
        <v>28</v>
      </c>
      <c r="H466" s="184" t="s">
        <v>51</v>
      </c>
      <c r="I466" s="178" t="s">
        <v>362</v>
      </c>
      <c r="J466" s="178" t="s">
        <v>362</v>
      </c>
      <c r="K466" s="178" t="s">
        <v>362</v>
      </c>
      <c r="L466" s="178" t="s">
        <v>362</v>
      </c>
      <c r="M466" s="178" t="s">
        <v>362</v>
      </c>
    </row>
    <row r="467" spans="1:13" s="24" customFormat="1" ht="48" x14ac:dyDescent="0.3">
      <c r="A467" s="178" t="s">
        <v>362</v>
      </c>
      <c r="B467" s="180">
        <v>46071</v>
      </c>
      <c r="C467" s="182">
        <v>46054</v>
      </c>
      <c r="D467" s="181" t="s">
        <v>27</v>
      </c>
      <c r="E467" s="181" t="s">
        <v>24</v>
      </c>
      <c r="F467" s="183" t="s">
        <v>6</v>
      </c>
      <c r="G467" s="181" t="s">
        <v>50</v>
      </c>
      <c r="H467" s="184" t="s">
        <v>29</v>
      </c>
      <c r="I467" s="178" t="s">
        <v>362</v>
      </c>
      <c r="J467" s="178" t="s">
        <v>362</v>
      </c>
      <c r="K467" s="178" t="s">
        <v>362</v>
      </c>
      <c r="L467" s="178" t="s">
        <v>362</v>
      </c>
      <c r="M467" s="178" t="s">
        <v>362</v>
      </c>
    </row>
    <row r="468" spans="1:13" s="24" customFormat="1" x14ac:dyDescent="0.3">
      <c r="A468" s="178" t="s">
        <v>362</v>
      </c>
      <c r="B468" s="180">
        <v>46072</v>
      </c>
      <c r="C468" s="182">
        <v>46054</v>
      </c>
      <c r="D468" s="181" t="s">
        <v>356</v>
      </c>
      <c r="E468" s="181" t="s">
        <v>24</v>
      </c>
      <c r="F468" s="183" t="s">
        <v>6</v>
      </c>
      <c r="G468" s="181" t="s">
        <v>25</v>
      </c>
      <c r="H468" s="184" t="s">
        <v>329</v>
      </c>
      <c r="I468" s="178" t="s">
        <v>362</v>
      </c>
      <c r="J468" s="178" t="s">
        <v>362</v>
      </c>
      <c r="K468" s="178" t="s">
        <v>362</v>
      </c>
      <c r="L468" s="178" t="s">
        <v>362</v>
      </c>
      <c r="M468" s="178" t="s">
        <v>362</v>
      </c>
    </row>
    <row r="469" spans="1:13" s="24" customFormat="1" x14ac:dyDescent="0.3">
      <c r="A469" s="178" t="s">
        <v>362</v>
      </c>
      <c r="B469" s="180">
        <v>46073</v>
      </c>
      <c r="C469" s="182">
        <v>46054</v>
      </c>
      <c r="D469" s="181" t="s">
        <v>60</v>
      </c>
      <c r="E469" s="181" t="s">
        <v>24</v>
      </c>
      <c r="F469" s="183" t="s">
        <v>6</v>
      </c>
      <c r="G469" s="181" t="s">
        <v>366</v>
      </c>
      <c r="H469" s="184" t="s">
        <v>367</v>
      </c>
      <c r="I469" s="178" t="s">
        <v>362</v>
      </c>
      <c r="J469" s="178" t="s">
        <v>362</v>
      </c>
      <c r="K469" s="178" t="s">
        <v>362</v>
      </c>
      <c r="L469" s="178" t="s">
        <v>362</v>
      </c>
      <c r="M469" s="178" t="s">
        <v>362</v>
      </c>
    </row>
    <row r="470" spans="1:13" s="24" customFormat="1" x14ac:dyDescent="0.3">
      <c r="A470" s="178" t="s">
        <v>362</v>
      </c>
      <c r="B470" s="180">
        <v>46073</v>
      </c>
      <c r="C470" s="182">
        <v>46054</v>
      </c>
      <c r="D470" s="181" t="s">
        <v>368</v>
      </c>
      <c r="E470" s="181" t="s">
        <v>24</v>
      </c>
      <c r="F470" s="181" t="s">
        <v>325</v>
      </c>
      <c r="G470" s="181" t="s">
        <v>369</v>
      </c>
      <c r="H470" s="184" t="s">
        <v>370</v>
      </c>
      <c r="I470" s="178" t="s">
        <v>362</v>
      </c>
      <c r="J470" s="178" t="s">
        <v>362</v>
      </c>
      <c r="K470" s="178" t="s">
        <v>362</v>
      </c>
      <c r="L470" s="178" t="s">
        <v>362</v>
      </c>
      <c r="M470" s="178" t="s">
        <v>362</v>
      </c>
    </row>
    <row r="471" spans="1:13" s="24" customFormat="1" x14ac:dyDescent="0.3">
      <c r="A471" s="178" t="s">
        <v>362</v>
      </c>
      <c r="B471" s="180">
        <v>46076</v>
      </c>
      <c r="C471" s="182">
        <v>46054</v>
      </c>
      <c r="D471" s="181" t="s">
        <v>248</v>
      </c>
      <c r="E471" s="181" t="s">
        <v>24</v>
      </c>
      <c r="F471" s="183" t="s">
        <v>6</v>
      </c>
      <c r="G471" s="181" t="s">
        <v>25</v>
      </c>
      <c r="H471" s="184" t="s">
        <v>343</v>
      </c>
      <c r="I471" s="178" t="s">
        <v>362</v>
      </c>
      <c r="J471" s="178" t="s">
        <v>362</v>
      </c>
      <c r="K471" s="178" t="s">
        <v>362</v>
      </c>
      <c r="L471" s="178" t="s">
        <v>362</v>
      </c>
      <c r="M471" s="178" t="s">
        <v>362</v>
      </c>
    </row>
    <row r="472" spans="1:13" s="24" customFormat="1" ht="32.25" x14ac:dyDescent="0.3">
      <c r="A472" s="178" t="s">
        <v>362</v>
      </c>
      <c r="B472" s="180">
        <v>46077</v>
      </c>
      <c r="C472" s="182">
        <v>46054</v>
      </c>
      <c r="D472" s="181" t="s">
        <v>27</v>
      </c>
      <c r="E472" s="181" t="s">
        <v>24</v>
      </c>
      <c r="F472" s="183" t="s">
        <v>6</v>
      </c>
      <c r="G472" s="181" t="s">
        <v>28</v>
      </c>
      <c r="H472" s="184" t="s">
        <v>51</v>
      </c>
      <c r="I472" s="178" t="s">
        <v>362</v>
      </c>
      <c r="J472" s="178" t="s">
        <v>362</v>
      </c>
      <c r="K472" s="178" t="s">
        <v>362</v>
      </c>
      <c r="L472" s="178" t="s">
        <v>362</v>
      </c>
      <c r="M472" s="178" t="s">
        <v>362</v>
      </c>
    </row>
    <row r="473" spans="1:13" s="24" customFormat="1" ht="48" x14ac:dyDescent="0.3">
      <c r="A473" s="178" t="s">
        <v>362</v>
      </c>
      <c r="B473" s="180">
        <v>46078</v>
      </c>
      <c r="C473" s="182">
        <v>46054</v>
      </c>
      <c r="D473" s="181" t="s">
        <v>27</v>
      </c>
      <c r="E473" s="181" t="s">
        <v>24</v>
      </c>
      <c r="F473" s="183" t="s">
        <v>6</v>
      </c>
      <c r="G473" s="181" t="s">
        <v>50</v>
      </c>
      <c r="H473" s="184" t="s">
        <v>29</v>
      </c>
      <c r="I473" s="178" t="s">
        <v>362</v>
      </c>
      <c r="J473" s="178" t="s">
        <v>362</v>
      </c>
      <c r="K473" s="178" t="s">
        <v>362</v>
      </c>
      <c r="L473" s="178" t="s">
        <v>362</v>
      </c>
      <c r="M473" s="178" t="s">
        <v>362</v>
      </c>
    </row>
    <row r="474" spans="1:13" s="24" customFormat="1" x14ac:dyDescent="0.3">
      <c r="A474" s="178" t="s">
        <v>362</v>
      </c>
      <c r="B474" s="180">
        <v>46079</v>
      </c>
      <c r="C474" s="182">
        <v>46054</v>
      </c>
      <c r="D474" s="181" t="s">
        <v>304</v>
      </c>
      <c r="E474" s="181" t="s">
        <v>24</v>
      </c>
      <c r="F474" s="181" t="s">
        <v>325</v>
      </c>
      <c r="G474" s="181" t="s">
        <v>371</v>
      </c>
      <c r="H474" s="184" t="s">
        <v>372</v>
      </c>
      <c r="I474" s="178" t="s">
        <v>362</v>
      </c>
      <c r="J474" s="178" t="s">
        <v>362</v>
      </c>
      <c r="K474" s="178" t="s">
        <v>362</v>
      </c>
      <c r="L474" s="178" t="s">
        <v>362</v>
      </c>
      <c r="M474" s="178" t="s">
        <v>362</v>
      </c>
    </row>
    <row r="475" spans="1:13" s="24" customFormat="1" ht="32.25" x14ac:dyDescent="0.3">
      <c r="A475" s="178" t="s">
        <v>362</v>
      </c>
      <c r="B475" s="180">
        <v>46080</v>
      </c>
      <c r="C475" s="182">
        <v>46054</v>
      </c>
      <c r="D475" s="181" t="s">
        <v>27</v>
      </c>
      <c r="E475" s="181" t="s">
        <v>24</v>
      </c>
      <c r="F475" s="183" t="s">
        <v>6</v>
      </c>
      <c r="G475" s="181" t="s">
        <v>28</v>
      </c>
      <c r="H475" s="184" t="s">
        <v>51</v>
      </c>
      <c r="I475" s="178" t="s">
        <v>362</v>
      </c>
      <c r="J475" s="178" t="s">
        <v>362</v>
      </c>
      <c r="K475" s="178" t="s">
        <v>362</v>
      </c>
      <c r="L475" s="178" t="s">
        <v>362</v>
      </c>
      <c r="M475" s="178" t="s">
        <v>362</v>
      </c>
    </row>
    <row r="476" spans="1:13" s="24" customFormat="1" ht="48" x14ac:dyDescent="0.3">
      <c r="A476" s="178" t="s">
        <v>362</v>
      </c>
      <c r="B476" s="180">
        <v>46083</v>
      </c>
      <c r="C476" s="182">
        <v>46054</v>
      </c>
      <c r="D476" s="181" t="s">
        <v>27</v>
      </c>
      <c r="E476" s="181" t="s">
        <v>24</v>
      </c>
      <c r="F476" s="183" t="s">
        <v>6</v>
      </c>
      <c r="G476" s="181" t="s">
        <v>50</v>
      </c>
      <c r="H476" s="184" t="s">
        <v>29</v>
      </c>
      <c r="I476" s="178" t="s">
        <v>362</v>
      </c>
      <c r="J476" s="178" t="s">
        <v>362</v>
      </c>
      <c r="K476" s="178" t="s">
        <v>362</v>
      </c>
      <c r="L476" s="178" t="s">
        <v>362</v>
      </c>
      <c r="M476" s="178" t="s">
        <v>362</v>
      </c>
    </row>
    <row r="477" spans="1:13" s="24" customFormat="1" x14ac:dyDescent="0.3">
      <c r="A477" s="178" t="s">
        <v>362</v>
      </c>
      <c r="B477" s="180">
        <v>46084</v>
      </c>
      <c r="C477" s="182">
        <v>46054</v>
      </c>
      <c r="D477" s="181" t="s">
        <v>68</v>
      </c>
      <c r="E477" s="181" t="s">
        <v>24</v>
      </c>
      <c r="F477" s="183" t="s">
        <v>6</v>
      </c>
      <c r="G477" s="181" t="s">
        <v>25</v>
      </c>
      <c r="H477" s="184" t="s">
        <v>69</v>
      </c>
      <c r="I477" s="178" t="s">
        <v>362</v>
      </c>
      <c r="J477" s="178" t="s">
        <v>362</v>
      </c>
      <c r="K477" s="178" t="s">
        <v>362</v>
      </c>
      <c r="L477" s="178" t="s">
        <v>362</v>
      </c>
      <c r="M477" s="178" t="s">
        <v>362</v>
      </c>
    </row>
    <row r="478" spans="1:13" s="24" customFormat="1" x14ac:dyDescent="0.3">
      <c r="A478" s="178" t="s">
        <v>362</v>
      </c>
      <c r="B478" s="180">
        <v>46084</v>
      </c>
      <c r="C478" s="182">
        <v>46054</v>
      </c>
      <c r="D478" s="181" t="s">
        <v>373</v>
      </c>
      <c r="E478" s="181" t="s">
        <v>24</v>
      </c>
      <c r="F478" s="183" t="s">
        <v>6</v>
      </c>
      <c r="G478" s="181" t="s">
        <v>326</v>
      </c>
      <c r="H478" s="184" t="s">
        <v>374</v>
      </c>
      <c r="I478" s="178" t="s">
        <v>362</v>
      </c>
      <c r="J478" s="178" t="s">
        <v>362</v>
      </c>
      <c r="K478" s="178" t="s">
        <v>362</v>
      </c>
      <c r="L478" s="178" t="s">
        <v>362</v>
      </c>
      <c r="M478" s="178" t="s">
        <v>362</v>
      </c>
    </row>
    <row r="479" spans="1:13" s="24" customFormat="1" ht="32.25" x14ac:dyDescent="0.3">
      <c r="A479" s="178" t="s">
        <v>362</v>
      </c>
      <c r="B479" s="180">
        <v>46085</v>
      </c>
      <c r="C479" s="182">
        <v>46054</v>
      </c>
      <c r="D479" s="181" t="s">
        <v>27</v>
      </c>
      <c r="E479" s="181" t="s">
        <v>24</v>
      </c>
      <c r="F479" s="183" t="s">
        <v>6</v>
      </c>
      <c r="G479" s="181" t="s">
        <v>28</v>
      </c>
      <c r="H479" s="184" t="s">
        <v>51</v>
      </c>
      <c r="I479" s="178" t="s">
        <v>362</v>
      </c>
      <c r="J479" s="178" t="s">
        <v>362</v>
      </c>
      <c r="K479" s="178" t="s">
        <v>362</v>
      </c>
      <c r="L479" s="178" t="s">
        <v>362</v>
      </c>
      <c r="M479" s="178" t="s">
        <v>362</v>
      </c>
    </row>
    <row r="480" spans="1:13" s="24" customFormat="1" ht="25.5" customHeight="1" x14ac:dyDescent="0.3">
      <c r="A480" s="178" t="s">
        <v>362</v>
      </c>
      <c r="B480" s="179" t="s">
        <v>362</v>
      </c>
      <c r="C480" s="181" t="s">
        <v>362</v>
      </c>
      <c r="D480" s="181" t="s">
        <v>362</v>
      </c>
      <c r="E480" s="181" t="s">
        <v>362</v>
      </c>
      <c r="F480" s="181" t="s">
        <v>362</v>
      </c>
      <c r="G480" s="181" t="s">
        <v>362</v>
      </c>
      <c r="H480" s="184" t="s">
        <v>362</v>
      </c>
      <c r="I480" s="178" t="s">
        <v>362</v>
      </c>
      <c r="J480" s="178" t="s">
        <v>362</v>
      </c>
      <c r="K480" s="178" t="s">
        <v>362</v>
      </c>
      <c r="L480" s="178" t="s">
        <v>362</v>
      </c>
      <c r="M480" s="178" t="s">
        <v>362</v>
      </c>
    </row>
    <row r="481" spans="1:13" s="24" customFormat="1" ht="48" x14ac:dyDescent="0.3">
      <c r="A481" s="178" t="s">
        <v>362</v>
      </c>
      <c r="B481" s="180">
        <v>46086</v>
      </c>
      <c r="C481" s="182">
        <v>46054</v>
      </c>
      <c r="D481" s="181" t="s">
        <v>27</v>
      </c>
      <c r="E481" s="181" t="s">
        <v>24</v>
      </c>
      <c r="F481" s="183" t="s">
        <v>6</v>
      </c>
      <c r="G481" s="181" t="s">
        <v>50</v>
      </c>
      <c r="H481" s="184" t="s">
        <v>29</v>
      </c>
      <c r="I481" s="178" t="s">
        <v>362</v>
      </c>
      <c r="J481" s="178" t="s">
        <v>362</v>
      </c>
      <c r="K481" s="178" t="s">
        <v>362</v>
      </c>
      <c r="L481" s="178" t="s">
        <v>362</v>
      </c>
      <c r="M481" s="178" t="s">
        <v>362</v>
      </c>
    </row>
    <row r="482" spans="1:13" s="24" customFormat="1" x14ac:dyDescent="0.3">
      <c r="A482" s="178" t="s">
        <v>362</v>
      </c>
      <c r="B482" s="180">
        <v>46086</v>
      </c>
      <c r="C482" s="182">
        <v>46054</v>
      </c>
      <c r="D482" s="181" t="s">
        <v>34</v>
      </c>
      <c r="E482" s="181" t="s">
        <v>24</v>
      </c>
      <c r="F482" s="183" t="s">
        <v>6</v>
      </c>
      <c r="G482" s="181" t="s">
        <v>146</v>
      </c>
      <c r="H482" s="184" t="s">
        <v>375</v>
      </c>
      <c r="I482" s="178" t="s">
        <v>362</v>
      </c>
      <c r="J482" s="178" t="s">
        <v>362</v>
      </c>
      <c r="K482" s="178" t="s">
        <v>362</v>
      </c>
      <c r="L482" s="178" t="s">
        <v>362</v>
      </c>
      <c r="M482" s="178" t="s">
        <v>362</v>
      </c>
    </row>
    <row r="483" spans="1:13" s="24" customFormat="1" x14ac:dyDescent="0.3">
      <c r="A483" s="178" t="s">
        <v>362</v>
      </c>
      <c r="B483" s="180">
        <v>46087</v>
      </c>
      <c r="C483" s="182">
        <v>46054</v>
      </c>
      <c r="D483" s="181" t="s">
        <v>338</v>
      </c>
      <c r="E483" s="181" t="s">
        <v>24</v>
      </c>
      <c r="F483" s="183" t="s">
        <v>6</v>
      </c>
      <c r="G483" s="181" t="s">
        <v>326</v>
      </c>
      <c r="H483" s="184" t="s">
        <v>376</v>
      </c>
      <c r="I483" s="178" t="s">
        <v>362</v>
      </c>
      <c r="J483" s="178" t="s">
        <v>362</v>
      </c>
      <c r="K483" s="178" t="s">
        <v>362</v>
      </c>
      <c r="L483" s="178" t="s">
        <v>362</v>
      </c>
      <c r="M483" s="178" t="s">
        <v>362</v>
      </c>
    </row>
    <row r="484" spans="1:13" s="24" customFormat="1" x14ac:dyDescent="0.3">
      <c r="A484" s="178" t="s">
        <v>362</v>
      </c>
      <c r="B484" s="180">
        <v>46087</v>
      </c>
      <c r="C484" s="182">
        <v>46054</v>
      </c>
      <c r="D484" s="181" t="s">
        <v>60</v>
      </c>
      <c r="E484" s="181" t="s">
        <v>24</v>
      </c>
      <c r="F484" s="183" t="s">
        <v>6</v>
      </c>
      <c r="G484" s="181" t="s">
        <v>377</v>
      </c>
      <c r="H484" s="184" t="s">
        <v>378</v>
      </c>
      <c r="I484" s="178" t="s">
        <v>362</v>
      </c>
      <c r="J484" s="178" t="s">
        <v>362</v>
      </c>
      <c r="K484" s="178" t="s">
        <v>362</v>
      </c>
      <c r="L484" s="178" t="s">
        <v>362</v>
      </c>
      <c r="M484" s="178" t="s">
        <v>362</v>
      </c>
    </row>
    <row r="485" spans="1:13" s="24" customFormat="1" x14ac:dyDescent="0.3">
      <c r="A485" s="178" t="s">
        <v>362</v>
      </c>
      <c r="B485" s="180">
        <v>46090</v>
      </c>
      <c r="C485" s="182">
        <v>46054</v>
      </c>
      <c r="D485" s="181" t="s">
        <v>60</v>
      </c>
      <c r="E485" s="181" t="s">
        <v>24</v>
      </c>
      <c r="F485" s="183" t="s">
        <v>6</v>
      </c>
      <c r="G485" s="181" t="s">
        <v>379</v>
      </c>
      <c r="H485" s="184" t="s">
        <v>380</v>
      </c>
      <c r="I485" s="178" t="s">
        <v>362</v>
      </c>
      <c r="J485" s="178" t="s">
        <v>362</v>
      </c>
      <c r="K485" s="178" t="s">
        <v>362</v>
      </c>
      <c r="L485" s="178" t="s">
        <v>362</v>
      </c>
      <c r="M485" s="178" t="s">
        <v>362</v>
      </c>
    </row>
    <row r="486" spans="1:13" s="24" customFormat="1" x14ac:dyDescent="0.3">
      <c r="A486" s="178" t="s">
        <v>362</v>
      </c>
      <c r="B486" s="180">
        <v>46090</v>
      </c>
      <c r="C486" s="182">
        <v>46054</v>
      </c>
      <c r="D486" s="181" t="s">
        <v>68</v>
      </c>
      <c r="E486" s="181" t="s">
        <v>24</v>
      </c>
      <c r="F486" s="183" t="s">
        <v>6</v>
      </c>
      <c r="G486" s="181" t="s">
        <v>25</v>
      </c>
      <c r="H486" s="184" t="s">
        <v>69</v>
      </c>
      <c r="I486" s="178" t="s">
        <v>362</v>
      </c>
      <c r="J486" s="178" t="s">
        <v>362</v>
      </c>
      <c r="K486" s="178" t="s">
        <v>362</v>
      </c>
      <c r="L486" s="178" t="s">
        <v>362</v>
      </c>
      <c r="M486" s="178" t="s">
        <v>362</v>
      </c>
    </row>
    <row r="487" spans="1:13" s="24" customFormat="1" x14ac:dyDescent="0.3">
      <c r="A487" s="178" t="s">
        <v>362</v>
      </c>
      <c r="B487" s="180">
        <v>46090</v>
      </c>
      <c r="C487" s="182">
        <v>46054</v>
      </c>
      <c r="D487" s="181" t="s">
        <v>105</v>
      </c>
      <c r="E487" s="181" t="s">
        <v>24</v>
      </c>
      <c r="F487" s="183" t="s">
        <v>6</v>
      </c>
      <c r="G487" s="181" t="s">
        <v>25</v>
      </c>
      <c r="H487" s="184" t="s">
        <v>343</v>
      </c>
      <c r="I487" s="178" t="s">
        <v>362</v>
      </c>
      <c r="J487" s="178" t="s">
        <v>362</v>
      </c>
      <c r="K487" s="178" t="s">
        <v>362</v>
      </c>
      <c r="L487" s="178" t="s">
        <v>362</v>
      </c>
      <c r="M487" s="178" t="s">
        <v>362</v>
      </c>
    </row>
    <row r="488" spans="1:13" s="24" customFormat="1" x14ac:dyDescent="0.3">
      <c r="A488" s="173" t="s">
        <v>362</v>
      </c>
      <c r="B488" s="174" t="s">
        <v>362</v>
      </c>
      <c r="C488" s="175" t="s">
        <v>362</v>
      </c>
      <c r="D488" s="175" t="s">
        <v>362</v>
      </c>
      <c r="E488" s="175" t="s">
        <v>362</v>
      </c>
      <c r="F488" s="176" t="s">
        <v>144</v>
      </c>
      <c r="G488" s="175" t="s">
        <v>362</v>
      </c>
      <c r="H488" s="177" t="s">
        <v>362</v>
      </c>
      <c r="I488" s="173" t="s">
        <v>362</v>
      </c>
      <c r="J488" s="173" t="s">
        <v>362</v>
      </c>
      <c r="K488" s="173" t="s">
        <v>362</v>
      </c>
      <c r="L488" s="173" t="s">
        <v>362</v>
      </c>
      <c r="M488" s="173" t="s">
        <v>362</v>
      </c>
    </row>
    <row r="489" spans="1:13" s="24" customFormat="1" ht="32.25" x14ac:dyDescent="0.3">
      <c r="A489" s="178" t="s">
        <v>362</v>
      </c>
      <c r="B489" s="180">
        <v>46091</v>
      </c>
      <c r="C489" s="182">
        <v>46082</v>
      </c>
      <c r="D489" s="181" t="s">
        <v>27</v>
      </c>
      <c r="E489" s="181" t="s">
        <v>24</v>
      </c>
      <c r="F489" s="183" t="s">
        <v>6</v>
      </c>
      <c r="G489" s="181" t="s">
        <v>28</v>
      </c>
      <c r="H489" s="184" t="s">
        <v>51</v>
      </c>
      <c r="I489" s="178" t="s">
        <v>3267</v>
      </c>
      <c r="J489" s="178" t="s">
        <v>3289</v>
      </c>
      <c r="K489" s="178" t="s">
        <v>362</v>
      </c>
      <c r="L489" s="178" t="s">
        <v>362</v>
      </c>
      <c r="M489" s="178" t="s">
        <v>362</v>
      </c>
    </row>
    <row r="490" spans="1:13" s="24" customFormat="1" ht="32.25" x14ac:dyDescent="0.3">
      <c r="A490" s="178" t="s">
        <v>362</v>
      </c>
      <c r="B490" s="180">
        <v>46091</v>
      </c>
      <c r="C490" s="182">
        <v>46082</v>
      </c>
      <c r="D490" s="181" t="s">
        <v>60</v>
      </c>
      <c r="E490" s="181" t="s">
        <v>24</v>
      </c>
      <c r="F490" s="183" t="s">
        <v>6</v>
      </c>
      <c r="G490" s="181" t="s">
        <v>381</v>
      </c>
      <c r="H490" s="184" t="s">
        <v>382</v>
      </c>
      <c r="I490" s="178" t="s">
        <v>3267</v>
      </c>
      <c r="J490" s="178" t="s">
        <v>3322</v>
      </c>
      <c r="K490" s="178" t="s">
        <v>362</v>
      </c>
      <c r="L490" s="178" t="s">
        <v>362</v>
      </c>
      <c r="M490" s="178" t="s">
        <v>362</v>
      </c>
    </row>
    <row r="491" spans="1:13" s="24" customFormat="1" x14ac:dyDescent="0.3">
      <c r="A491" s="178" t="s">
        <v>362</v>
      </c>
      <c r="B491" s="180">
        <v>46092</v>
      </c>
      <c r="C491" s="182">
        <v>46082</v>
      </c>
      <c r="D491" s="181" t="s">
        <v>113</v>
      </c>
      <c r="E491" s="181" t="s">
        <v>24</v>
      </c>
      <c r="F491" s="183" t="s">
        <v>6</v>
      </c>
      <c r="G491" s="181" t="s">
        <v>25</v>
      </c>
      <c r="H491" s="184" t="s">
        <v>114</v>
      </c>
      <c r="I491" s="178" t="s">
        <v>3267</v>
      </c>
      <c r="J491" s="178" t="s">
        <v>3279</v>
      </c>
      <c r="K491" s="178" t="s">
        <v>362</v>
      </c>
      <c r="L491" s="178" t="s">
        <v>362</v>
      </c>
      <c r="M491" s="178" t="s">
        <v>362</v>
      </c>
    </row>
    <row r="492" spans="1:13" s="24" customFormat="1" ht="48" x14ac:dyDescent="0.3">
      <c r="A492" s="178" t="s">
        <v>362</v>
      </c>
      <c r="B492" s="180">
        <v>46092</v>
      </c>
      <c r="C492" s="182">
        <v>46082</v>
      </c>
      <c r="D492" s="181" t="s">
        <v>27</v>
      </c>
      <c r="E492" s="181" t="s">
        <v>24</v>
      </c>
      <c r="F492" s="183" t="s">
        <v>6</v>
      </c>
      <c r="G492" s="181" t="s">
        <v>50</v>
      </c>
      <c r="H492" s="184" t="s">
        <v>29</v>
      </c>
      <c r="I492" s="178" t="s">
        <v>3267</v>
      </c>
      <c r="J492" s="178" t="s">
        <v>3323</v>
      </c>
      <c r="K492" s="178" t="s">
        <v>362</v>
      </c>
      <c r="L492" s="178" t="s">
        <v>362</v>
      </c>
      <c r="M492" s="178" t="s">
        <v>362</v>
      </c>
    </row>
    <row r="493" spans="1:13" s="24" customFormat="1" ht="51.75" customHeight="1" x14ac:dyDescent="0.3">
      <c r="A493" s="178" t="s">
        <v>362</v>
      </c>
      <c r="B493" s="180">
        <v>46093</v>
      </c>
      <c r="C493" s="182">
        <v>46082</v>
      </c>
      <c r="D493" s="181" t="s">
        <v>105</v>
      </c>
      <c r="E493" s="181" t="s">
        <v>24</v>
      </c>
      <c r="F493" s="183" t="s">
        <v>6</v>
      </c>
      <c r="G493" s="181" t="s">
        <v>383</v>
      </c>
      <c r="H493" s="184" t="s">
        <v>384</v>
      </c>
      <c r="I493" s="178" t="s">
        <v>3267</v>
      </c>
      <c r="J493" s="178" t="s">
        <v>3279</v>
      </c>
      <c r="K493" s="178" t="s">
        <v>362</v>
      </c>
      <c r="L493" s="178" t="s">
        <v>362</v>
      </c>
      <c r="M493" s="178" t="s">
        <v>362</v>
      </c>
    </row>
    <row r="494" spans="1:13" s="24" customFormat="1" ht="32.25" x14ac:dyDescent="0.3">
      <c r="A494" s="178" t="s">
        <v>362</v>
      </c>
      <c r="B494" s="180">
        <v>46093</v>
      </c>
      <c r="C494" s="182">
        <v>46082</v>
      </c>
      <c r="D494" s="181" t="s">
        <v>27</v>
      </c>
      <c r="E494" s="181" t="s">
        <v>24</v>
      </c>
      <c r="F494" s="183" t="s">
        <v>6</v>
      </c>
      <c r="G494" s="181" t="s">
        <v>28</v>
      </c>
      <c r="H494" s="184" t="s">
        <v>51</v>
      </c>
      <c r="I494" s="178" t="s">
        <v>3267</v>
      </c>
      <c r="J494" s="178" t="s">
        <v>3289</v>
      </c>
      <c r="K494" s="178" t="s">
        <v>362</v>
      </c>
      <c r="L494" s="178" t="s">
        <v>362</v>
      </c>
      <c r="M494" s="178" t="s">
        <v>362</v>
      </c>
    </row>
    <row r="495" spans="1:13" s="24" customFormat="1" ht="48" x14ac:dyDescent="0.3">
      <c r="A495" s="178" t="s">
        <v>362</v>
      </c>
      <c r="B495" s="180">
        <v>46094</v>
      </c>
      <c r="C495" s="182">
        <v>46082</v>
      </c>
      <c r="D495" s="181" t="s">
        <v>27</v>
      </c>
      <c r="E495" s="181" t="s">
        <v>24</v>
      </c>
      <c r="F495" s="183" t="s">
        <v>6</v>
      </c>
      <c r="G495" s="181" t="s">
        <v>50</v>
      </c>
      <c r="H495" s="184" t="s">
        <v>29</v>
      </c>
      <c r="I495" s="178" t="s">
        <v>3267</v>
      </c>
      <c r="J495" s="178" t="s">
        <v>3323</v>
      </c>
      <c r="K495" s="178" t="s">
        <v>362</v>
      </c>
      <c r="L495" s="178" t="s">
        <v>362</v>
      </c>
      <c r="M495" s="178" t="s">
        <v>362</v>
      </c>
    </row>
    <row r="496" spans="1:13" s="24" customFormat="1" x14ac:dyDescent="0.3">
      <c r="A496" s="178" t="s">
        <v>362</v>
      </c>
      <c r="B496" s="180">
        <v>46094</v>
      </c>
      <c r="C496" s="182">
        <v>46082</v>
      </c>
      <c r="D496" s="181" t="s">
        <v>385</v>
      </c>
      <c r="E496" s="181" t="s">
        <v>24</v>
      </c>
      <c r="F496" s="183" t="s">
        <v>6</v>
      </c>
      <c r="G496" s="181" t="s">
        <v>25</v>
      </c>
      <c r="H496" s="184" t="s">
        <v>329</v>
      </c>
      <c r="I496" s="178" t="s">
        <v>3267</v>
      </c>
      <c r="J496" s="178" t="s">
        <v>3286</v>
      </c>
      <c r="K496" s="178" t="s">
        <v>362</v>
      </c>
      <c r="L496" s="178" t="s">
        <v>362</v>
      </c>
      <c r="M496" s="178" t="s">
        <v>362</v>
      </c>
    </row>
    <row r="497" spans="1:13" s="24" customFormat="1" ht="32.25" x14ac:dyDescent="0.3">
      <c r="A497" s="178" t="s">
        <v>362</v>
      </c>
      <c r="B497" s="180">
        <v>46094</v>
      </c>
      <c r="C497" s="182">
        <v>46082</v>
      </c>
      <c r="D497" s="181" t="s">
        <v>60</v>
      </c>
      <c r="E497" s="181" t="s">
        <v>24</v>
      </c>
      <c r="F497" s="347" t="s">
        <v>325</v>
      </c>
      <c r="G497" s="181" t="s">
        <v>386</v>
      </c>
      <c r="H497" s="184" t="s">
        <v>387</v>
      </c>
      <c r="I497" s="178" t="s">
        <v>3267</v>
      </c>
      <c r="J497" s="178" t="s">
        <v>3289</v>
      </c>
      <c r="K497" s="178" t="s">
        <v>362</v>
      </c>
      <c r="L497" s="178" t="s">
        <v>362</v>
      </c>
      <c r="M497" s="178" t="s">
        <v>362</v>
      </c>
    </row>
    <row r="498" spans="1:13" s="24" customFormat="1" x14ac:dyDescent="0.3">
      <c r="A498" s="178" t="s">
        <v>362</v>
      </c>
      <c r="B498" s="180">
        <v>46097</v>
      </c>
      <c r="C498" s="182">
        <v>46082</v>
      </c>
      <c r="D498" s="181" t="s">
        <v>110</v>
      </c>
      <c r="E498" s="181" t="s">
        <v>24</v>
      </c>
      <c r="F498" s="183" t="s">
        <v>6</v>
      </c>
      <c r="G498" s="181" t="s">
        <v>25</v>
      </c>
      <c r="H498" s="184" t="s">
        <v>343</v>
      </c>
      <c r="I498" s="178" t="s">
        <v>3267</v>
      </c>
      <c r="J498" s="178" t="s">
        <v>3286</v>
      </c>
      <c r="K498" s="178" t="s">
        <v>362</v>
      </c>
      <c r="L498" s="178" t="s">
        <v>362</v>
      </c>
      <c r="M498" s="178" t="s">
        <v>362</v>
      </c>
    </row>
    <row r="499" spans="1:13" s="24" customFormat="1" x14ac:dyDescent="0.3">
      <c r="A499" s="178" t="s">
        <v>362</v>
      </c>
      <c r="B499" s="180">
        <v>46097</v>
      </c>
      <c r="C499" s="182">
        <v>46082</v>
      </c>
      <c r="D499" s="181" t="s">
        <v>105</v>
      </c>
      <c r="E499" s="181" t="s">
        <v>24</v>
      </c>
      <c r="F499" s="183" t="s">
        <v>6</v>
      </c>
      <c r="G499" s="181" t="s">
        <v>388</v>
      </c>
      <c r="H499" s="184" t="s">
        <v>389</v>
      </c>
      <c r="I499" s="178" t="s">
        <v>3267</v>
      </c>
      <c r="J499" s="178" t="s">
        <v>3286</v>
      </c>
      <c r="K499" s="178" t="s">
        <v>362</v>
      </c>
      <c r="L499" s="178" t="s">
        <v>362</v>
      </c>
      <c r="M499" s="178" t="s">
        <v>362</v>
      </c>
    </row>
    <row r="500" spans="1:13" s="24" customFormat="1" x14ac:dyDescent="0.3">
      <c r="A500" s="178" t="s">
        <v>362</v>
      </c>
      <c r="B500" s="180">
        <v>46098</v>
      </c>
      <c r="C500" s="182">
        <v>46082</v>
      </c>
      <c r="D500" s="181" t="s">
        <v>171</v>
      </c>
      <c r="E500" s="181" t="s">
        <v>24</v>
      </c>
      <c r="F500" s="347" t="s">
        <v>325</v>
      </c>
      <c r="G500" s="181" t="s">
        <v>390</v>
      </c>
      <c r="H500" s="184" t="s">
        <v>391</v>
      </c>
      <c r="I500" s="178" t="s">
        <v>3267</v>
      </c>
      <c r="J500" s="178" t="s">
        <v>3287</v>
      </c>
      <c r="K500" s="178" t="s">
        <v>362</v>
      </c>
      <c r="L500" s="178" t="s">
        <v>362</v>
      </c>
      <c r="M500" s="178" t="s">
        <v>362</v>
      </c>
    </row>
    <row r="501" spans="1:13" s="24" customFormat="1" ht="32.25" x14ac:dyDescent="0.3">
      <c r="A501" s="178" t="s">
        <v>362</v>
      </c>
      <c r="B501" s="180">
        <v>46098</v>
      </c>
      <c r="C501" s="182">
        <v>46082</v>
      </c>
      <c r="D501" s="181" t="s">
        <v>60</v>
      </c>
      <c r="E501" s="181" t="s">
        <v>24</v>
      </c>
      <c r="F501" s="183" t="s">
        <v>6</v>
      </c>
      <c r="G501" s="181" t="s">
        <v>392</v>
      </c>
      <c r="H501" s="184" t="s">
        <v>393</v>
      </c>
      <c r="I501" s="178" t="s">
        <v>3267</v>
      </c>
      <c r="J501" s="178" t="s">
        <v>3288</v>
      </c>
      <c r="K501" s="178" t="s">
        <v>362</v>
      </c>
      <c r="L501" s="178" t="s">
        <v>362</v>
      </c>
      <c r="M501" s="178" t="s">
        <v>362</v>
      </c>
    </row>
    <row r="502" spans="1:13" s="24" customFormat="1" x14ac:dyDescent="0.3">
      <c r="A502" s="178" t="s">
        <v>362</v>
      </c>
      <c r="B502" s="180">
        <v>46099</v>
      </c>
      <c r="C502" s="182">
        <v>46082</v>
      </c>
      <c r="D502" s="181" t="s">
        <v>171</v>
      </c>
      <c r="E502" s="181" t="s">
        <v>24</v>
      </c>
      <c r="F502" s="347" t="s">
        <v>325</v>
      </c>
      <c r="G502" s="181" t="s">
        <v>390</v>
      </c>
      <c r="H502" s="184" t="s">
        <v>394</v>
      </c>
      <c r="I502" s="178" t="s">
        <v>3267</v>
      </c>
      <c r="J502" s="178" t="s">
        <v>3286</v>
      </c>
      <c r="K502" s="178" t="s">
        <v>362</v>
      </c>
      <c r="L502" s="178" t="s">
        <v>362</v>
      </c>
      <c r="M502" s="178" t="s">
        <v>362</v>
      </c>
    </row>
    <row r="503" spans="1:13" s="24" customFormat="1" ht="48" x14ac:dyDescent="0.3">
      <c r="A503" s="178" t="s">
        <v>362</v>
      </c>
      <c r="B503" s="180">
        <v>46099</v>
      </c>
      <c r="C503" s="182">
        <v>46082</v>
      </c>
      <c r="D503" s="181" t="s">
        <v>27</v>
      </c>
      <c r="E503" s="181" t="s">
        <v>24</v>
      </c>
      <c r="F503" s="183" t="s">
        <v>6</v>
      </c>
      <c r="G503" s="181" t="s">
        <v>50</v>
      </c>
      <c r="H503" s="184" t="s">
        <v>29</v>
      </c>
      <c r="I503" s="178" t="s">
        <v>3267</v>
      </c>
      <c r="J503" s="178" t="s">
        <v>3323</v>
      </c>
      <c r="K503" s="178" t="s">
        <v>362</v>
      </c>
      <c r="L503" s="178" t="s">
        <v>362</v>
      </c>
      <c r="M503" s="178" t="s">
        <v>362</v>
      </c>
    </row>
    <row r="504" spans="1:13" s="24" customFormat="1" ht="48" x14ac:dyDescent="0.3">
      <c r="A504" s="178" t="s">
        <v>362</v>
      </c>
      <c r="B504" s="180">
        <v>46100</v>
      </c>
      <c r="C504" s="182">
        <v>46082</v>
      </c>
      <c r="D504" s="181" t="s">
        <v>60</v>
      </c>
      <c r="E504" s="181" t="s">
        <v>24</v>
      </c>
      <c r="F504" s="183" t="s">
        <v>6</v>
      </c>
      <c r="G504" s="181" t="s">
        <v>392</v>
      </c>
      <c r="H504" s="184" t="s">
        <v>395</v>
      </c>
      <c r="I504" s="178" t="s">
        <v>3267</v>
      </c>
      <c r="J504" s="178" t="s">
        <v>3287</v>
      </c>
      <c r="K504" s="178" t="s">
        <v>362</v>
      </c>
      <c r="L504" s="178" t="s">
        <v>362</v>
      </c>
      <c r="M504" s="178" t="s">
        <v>362</v>
      </c>
    </row>
    <row r="505" spans="1:13" s="24" customFormat="1" ht="32.25" x14ac:dyDescent="0.3">
      <c r="A505" s="178" t="s">
        <v>362</v>
      </c>
      <c r="B505" s="180">
        <v>46100</v>
      </c>
      <c r="C505" s="182">
        <v>46082</v>
      </c>
      <c r="D505" s="181" t="s">
        <v>27</v>
      </c>
      <c r="E505" s="181" t="s">
        <v>24</v>
      </c>
      <c r="F505" s="183" t="s">
        <v>6</v>
      </c>
      <c r="G505" s="181" t="s">
        <v>28</v>
      </c>
      <c r="H505" s="184" t="s">
        <v>51</v>
      </c>
      <c r="I505" s="178" t="s">
        <v>3267</v>
      </c>
      <c r="J505" s="178" t="s">
        <v>3289</v>
      </c>
      <c r="K505" s="178" t="s">
        <v>362</v>
      </c>
      <c r="L505" s="178" t="s">
        <v>362</v>
      </c>
      <c r="M505" s="178" t="s">
        <v>362</v>
      </c>
    </row>
    <row r="506" spans="1:13" s="24" customFormat="1" x14ac:dyDescent="0.3">
      <c r="A506" s="178" t="s">
        <v>362</v>
      </c>
      <c r="B506" s="180">
        <v>46101</v>
      </c>
      <c r="C506" s="182">
        <v>46082</v>
      </c>
      <c r="D506" s="181" t="s">
        <v>328</v>
      </c>
      <c r="E506" s="181" t="s">
        <v>24</v>
      </c>
      <c r="F506" s="183" t="s">
        <v>6</v>
      </c>
      <c r="G506" s="181" t="s">
        <v>25</v>
      </c>
      <c r="H506" s="184" t="s">
        <v>329</v>
      </c>
      <c r="I506" s="178" t="s">
        <v>3267</v>
      </c>
      <c r="J506" s="178" t="s">
        <v>3290</v>
      </c>
      <c r="K506" s="178" t="s">
        <v>362</v>
      </c>
      <c r="L506" s="178" t="s">
        <v>362</v>
      </c>
      <c r="M506" s="178" t="s">
        <v>362</v>
      </c>
    </row>
    <row r="507" spans="1:13" ht="32.25" x14ac:dyDescent="0.3">
      <c r="A507" s="178" t="s">
        <v>362</v>
      </c>
      <c r="B507" s="180">
        <v>46101</v>
      </c>
      <c r="C507" s="182">
        <v>46082</v>
      </c>
      <c r="D507" s="181" t="s">
        <v>27</v>
      </c>
      <c r="E507" s="181" t="s">
        <v>24</v>
      </c>
      <c r="F507" s="183" t="s">
        <v>6</v>
      </c>
      <c r="G507" s="181" t="s">
        <v>28</v>
      </c>
      <c r="H507" s="184" t="s">
        <v>51</v>
      </c>
      <c r="I507" s="178" t="s">
        <v>3267</v>
      </c>
      <c r="J507" s="178" t="s">
        <v>3289</v>
      </c>
      <c r="K507" s="178" t="s">
        <v>362</v>
      </c>
      <c r="L507" s="178" t="s">
        <v>362</v>
      </c>
      <c r="M507" s="178" t="s">
        <v>362</v>
      </c>
    </row>
    <row r="508" spans="1:13" x14ac:dyDescent="0.3">
      <c r="A508" s="178" t="s">
        <v>362</v>
      </c>
      <c r="B508" s="180">
        <v>46104</v>
      </c>
      <c r="C508" s="182">
        <v>46082</v>
      </c>
      <c r="D508" s="181" t="s">
        <v>23</v>
      </c>
      <c r="E508" s="181" t="s">
        <v>24</v>
      </c>
      <c r="F508" s="183" t="s">
        <v>6</v>
      </c>
      <c r="G508" s="181" t="s">
        <v>25</v>
      </c>
      <c r="H508" s="184" t="s">
        <v>69</v>
      </c>
      <c r="I508" s="178" t="s">
        <v>3267</v>
      </c>
      <c r="J508" s="178" t="s">
        <v>3290</v>
      </c>
      <c r="K508" s="178" t="s">
        <v>362</v>
      </c>
      <c r="L508" s="178" t="s">
        <v>362</v>
      </c>
      <c r="M508" s="178" t="s">
        <v>362</v>
      </c>
    </row>
    <row r="509" spans="1:13" x14ac:dyDescent="0.3">
      <c r="A509" s="178" t="s">
        <v>362</v>
      </c>
      <c r="B509" s="180">
        <v>46104</v>
      </c>
      <c r="C509" s="182">
        <v>46082</v>
      </c>
      <c r="D509" s="181" t="s">
        <v>60</v>
      </c>
      <c r="E509" s="181" t="s">
        <v>24</v>
      </c>
      <c r="F509" s="183" t="s">
        <v>6</v>
      </c>
      <c r="G509" s="181" t="s">
        <v>3280</v>
      </c>
      <c r="H509" s="184" t="s">
        <v>3281</v>
      </c>
      <c r="I509" s="178" t="s">
        <v>3267</v>
      </c>
      <c r="J509" s="178" t="s">
        <v>3279</v>
      </c>
      <c r="K509" s="178" t="s">
        <v>362</v>
      </c>
      <c r="L509" s="178" t="s">
        <v>362</v>
      </c>
      <c r="M509" s="178" t="s">
        <v>362</v>
      </c>
    </row>
    <row r="510" spans="1:13" x14ac:dyDescent="0.3">
      <c r="A510" s="178" t="s">
        <v>362</v>
      </c>
      <c r="B510" s="180">
        <v>46104</v>
      </c>
      <c r="C510" s="182">
        <v>46082</v>
      </c>
      <c r="D510" s="181" t="s">
        <v>68</v>
      </c>
      <c r="E510" s="181" t="s">
        <v>24</v>
      </c>
      <c r="F510" s="348" t="s">
        <v>6</v>
      </c>
      <c r="G510" s="181" t="s">
        <v>25</v>
      </c>
      <c r="H510" s="184" t="s">
        <v>69</v>
      </c>
      <c r="I510" s="178" t="s">
        <v>3267</v>
      </c>
      <c r="J510" s="178" t="s">
        <v>3279</v>
      </c>
      <c r="K510" s="178" t="s">
        <v>362</v>
      </c>
      <c r="L510" s="178" t="s">
        <v>362</v>
      </c>
      <c r="M510" s="178" t="s">
        <v>362</v>
      </c>
    </row>
    <row r="511" spans="1:13" ht="32.25" x14ac:dyDescent="0.3">
      <c r="A511" s="178" t="s">
        <v>362</v>
      </c>
      <c r="B511" s="180">
        <v>46104</v>
      </c>
      <c r="C511" s="182">
        <v>46082</v>
      </c>
      <c r="D511" s="181" t="s">
        <v>93</v>
      </c>
      <c r="E511" s="181" t="s">
        <v>24</v>
      </c>
      <c r="F511" s="347" t="s">
        <v>325</v>
      </c>
      <c r="G511" s="181" t="s">
        <v>390</v>
      </c>
      <c r="H511" s="184" t="s">
        <v>3330</v>
      </c>
      <c r="I511" s="178" t="s">
        <v>3267</v>
      </c>
      <c r="J511" s="178" t="s">
        <v>3286</v>
      </c>
      <c r="K511" s="178" t="s">
        <v>362</v>
      </c>
      <c r="L511" s="178" t="s">
        <v>362</v>
      </c>
      <c r="M511" s="178" t="s">
        <v>362</v>
      </c>
    </row>
    <row r="512" spans="1:13" x14ac:dyDescent="0.3">
      <c r="A512" s="178" t="s">
        <v>362</v>
      </c>
      <c r="B512" s="180">
        <v>46105</v>
      </c>
      <c r="C512" s="182">
        <v>46082</v>
      </c>
      <c r="D512" s="181" t="s">
        <v>34</v>
      </c>
      <c r="E512" s="181" t="s">
        <v>24</v>
      </c>
      <c r="F512" s="183" t="s">
        <v>6</v>
      </c>
      <c r="G512" s="181" t="s">
        <v>146</v>
      </c>
      <c r="H512" s="184" t="s">
        <v>3282</v>
      </c>
      <c r="I512" s="178" t="s">
        <v>3267</v>
      </c>
      <c r="J512" s="178" t="s">
        <v>3289</v>
      </c>
      <c r="K512" s="178" t="s">
        <v>362</v>
      </c>
      <c r="L512" s="178" t="s">
        <v>362</v>
      </c>
      <c r="M512" s="178" t="s">
        <v>362</v>
      </c>
    </row>
    <row r="513" spans="1:13" ht="32.25" x14ac:dyDescent="0.3">
      <c r="A513" s="178" t="s">
        <v>362</v>
      </c>
      <c r="B513" s="180">
        <v>46105</v>
      </c>
      <c r="C513" s="182">
        <v>46082</v>
      </c>
      <c r="D513" s="181" t="s">
        <v>3324</v>
      </c>
      <c r="E513" s="181" t="s">
        <v>24</v>
      </c>
      <c r="F513" s="183" t="s">
        <v>6</v>
      </c>
      <c r="G513" s="181" t="s">
        <v>28</v>
      </c>
      <c r="H513" s="184" t="s">
        <v>3325</v>
      </c>
      <c r="I513" s="178" t="s">
        <v>3267</v>
      </c>
      <c r="J513" s="178" t="s">
        <v>3279</v>
      </c>
      <c r="K513" s="178" t="s">
        <v>362</v>
      </c>
      <c r="L513" s="178" t="s">
        <v>362</v>
      </c>
      <c r="M513" s="178" t="s">
        <v>362</v>
      </c>
    </row>
    <row r="514" spans="1:13" x14ac:dyDescent="0.3">
      <c r="A514" s="178" t="s">
        <v>362</v>
      </c>
      <c r="B514" s="202">
        <v>46106</v>
      </c>
      <c r="C514" s="203">
        <v>46082</v>
      </c>
      <c r="D514" s="181" t="s">
        <v>68</v>
      </c>
      <c r="E514" s="181" t="s">
        <v>24</v>
      </c>
      <c r="F514" s="183" t="s">
        <v>6</v>
      </c>
      <c r="G514" s="181" t="s">
        <v>25</v>
      </c>
      <c r="H514" s="184" t="s">
        <v>69</v>
      </c>
      <c r="I514" s="390" t="s">
        <v>3267</v>
      </c>
      <c r="J514" s="390" t="s">
        <v>3279</v>
      </c>
      <c r="K514" s="178" t="s">
        <v>362</v>
      </c>
      <c r="L514" s="178" t="s">
        <v>362</v>
      </c>
      <c r="M514" s="178" t="s">
        <v>362</v>
      </c>
    </row>
    <row r="515" spans="1:13" ht="32.25" x14ac:dyDescent="0.3">
      <c r="A515" s="178" t="s">
        <v>362</v>
      </c>
      <c r="B515" s="180">
        <v>46106</v>
      </c>
      <c r="C515" s="182">
        <v>46082</v>
      </c>
      <c r="D515" s="181" t="s">
        <v>60</v>
      </c>
      <c r="E515" s="181" t="s">
        <v>24</v>
      </c>
      <c r="F515" s="347" t="s">
        <v>325</v>
      </c>
      <c r="G515" s="181" t="s">
        <v>390</v>
      </c>
      <c r="H515" s="184" t="s">
        <v>3429</v>
      </c>
      <c r="I515" s="391" t="s">
        <v>3267</v>
      </c>
      <c r="J515" s="391" t="s">
        <v>3289</v>
      </c>
      <c r="K515" s="178" t="s">
        <v>362</v>
      </c>
      <c r="L515" s="178" t="s">
        <v>362</v>
      </c>
      <c r="M515" s="178" t="s">
        <v>362</v>
      </c>
    </row>
    <row r="516" spans="1:13" ht="32.25" x14ac:dyDescent="0.3">
      <c r="A516" s="178" t="s">
        <v>362</v>
      </c>
      <c r="B516" s="180">
        <v>46106</v>
      </c>
      <c r="C516" s="182">
        <v>46082</v>
      </c>
      <c r="D516" s="181" t="s">
        <v>3430</v>
      </c>
      <c r="E516" s="181" t="s">
        <v>24</v>
      </c>
      <c r="F516" s="347" t="s">
        <v>325</v>
      </c>
      <c r="G516" s="181" t="s">
        <v>3431</v>
      </c>
      <c r="H516" s="184" t="s">
        <v>3432</v>
      </c>
      <c r="I516" s="391" t="s">
        <v>3267</v>
      </c>
      <c r="J516" s="391" t="s">
        <v>3279</v>
      </c>
      <c r="K516" s="178" t="s">
        <v>362</v>
      </c>
      <c r="L516" s="178" t="s">
        <v>362</v>
      </c>
      <c r="M516" s="178" t="s">
        <v>362</v>
      </c>
    </row>
    <row r="517" spans="1:13" x14ac:dyDescent="0.3">
      <c r="A517" s="178" t="s">
        <v>362</v>
      </c>
      <c r="B517" s="202">
        <v>46107</v>
      </c>
      <c r="C517" s="203">
        <v>46082</v>
      </c>
      <c r="D517" s="181" t="s">
        <v>232</v>
      </c>
      <c r="E517" s="181" t="s">
        <v>24</v>
      </c>
      <c r="F517" s="183" t="s">
        <v>6</v>
      </c>
      <c r="G517" s="181" t="s">
        <v>25</v>
      </c>
      <c r="H517" s="184" t="s">
        <v>233</v>
      </c>
      <c r="I517" s="390" t="s">
        <v>3267</v>
      </c>
      <c r="J517" s="390" t="s">
        <v>3279</v>
      </c>
      <c r="K517" s="178" t="s">
        <v>362</v>
      </c>
      <c r="L517" s="178" t="s">
        <v>362</v>
      </c>
      <c r="M517" s="178" t="s">
        <v>362</v>
      </c>
    </row>
    <row r="518" spans="1:13" ht="32.25" x14ac:dyDescent="0.3">
      <c r="A518" s="178" t="s">
        <v>362</v>
      </c>
      <c r="B518" s="180">
        <v>46107</v>
      </c>
      <c r="C518" s="182">
        <v>46082</v>
      </c>
      <c r="D518" s="181" t="s">
        <v>185</v>
      </c>
      <c r="E518" s="181" t="s">
        <v>24</v>
      </c>
      <c r="F518" s="347" t="s">
        <v>325</v>
      </c>
      <c r="G518" s="181" t="s">
        <v>3500</v>
      </c>
      <c r="H518" s="184" t="s">
        <v>3501</v>
      </c>
      <c r="I518" s="391" t="s">
        <v>3267</v>
      </c>
      <c r="J518" s="391" t="s">
        <v>3279</v>
      </c>
      <c r="K518" s="178" t="s">
        <v>362</v>
      </c>
      <c r="L518" s="178" t="s">
        <v>362</v>
      </c>
      <c r="M518" s="178" t="s">
        <v>362</v>
      </c>
    </row>
    <row r="519" spans="1:13" x14ac:dyDescent="0.3">
      <c r="A519" s="178" t="s">
        <v>362</v>
      </c>
      <c r="B519" s="180">
        <v>46107</v>
      </c>
      <c r="C519" s="182">
        <v>46082</v>
      </c>
      <c r="D519" s="181" t="s">
        <v>34</v>
      </c>
      <c r="E519" s="181" t="s">
        <v>24</v>
      </c>
      <c r="F519" s="183" t="s">
        <v>6</v>
      </c>
      <c r="G519" s="181" t="s">
        <v>146</v>
      </c>
      <c r="H519" s="184" t="s">
        <v>3502</v>
      </c>
      <c r="I519" s="391" t="s">
        <v>3267</v>
      </c>
      <c r="J519" s="391" t="s">
        <v>3289</v>
      </c>
      <c r="K519" s="178" t="s">
        <v>362</v>
      </c>
      <c r="L519" s="178" t="s">
        <v>362</v>
      </c>
      <c r="M519" s="178" t="s">
        <v>362</v>
      </c>
    </row>
    <row r="520" spans="1:13" x14ac:dyDescent="0.3">
      <c r="A520" s="178" t="s">
        <v>362</v>
      </c>
      <c r="B520" s="180">
        <v>46107</v>
      </c>
      <c r="C520" s="182">
        <v>46082</v>
      </c>
      <c r="D520" s="181" t="s">
        <v>34</v>
      </c>
      <c r="E520" s="181" t="s">
        <v>24</v>
      </c>
      <c r="F520" s="183" t="s">
        <v>6</v>
      </c>
      <c r="G520" s="181" t="s">
        <v>146</v>
      </c>
      <c r="H520" s="184" t="s">
        <v>3503</v>
      </c>
      <c r="I520" s="391" t="s">
        <v>3267</v>
      </c>
      <c r="J520" s="391" t="s">
        <v>3289</v>
      </c>
      <c r="K520" s="178" t="s">
        <v>362</v>
      </c>
      <c r="L520" s="178" t="s">
        <v>362</v>
      </c>
      <c r="M520" s="178" t="s">
        <v>362</v>
      </c>
    </row>
    <row r="521" spans="1:13" x14ac:dyDescent="0.3">
      <c r="A521" s="178" t="s">
        <v>362</v>
      </c>
      <c r="B521" s="180">
        <v>46107</v>
      </c>
      <c r="C521" s="182">
        <v>46082</v>
      </c>
      <c r="D521" s="181" t="s">
        <v>338</v>
      </c>
      <c r="E521" s="181" t="s">
        <v>24</v>
      </c>
      <c r="F521" s="183" t="s">
        <v>6</v>
      </c>
      <c r="G521" s="181" t="s">
        <v>326</v>
      </c>
      <c r="H521" s="184" t="s">
        <v>3504</v>
      </c>
      <c r="I521" s="391" t="s">
        <v>3267</v>
      </c>
      <c r="J521" s="391" t="s">
        <v>3279</v>
      </c>
      <c r="K521" s="178" t="s">
        <v>362</v>
      </c>
      <c r="L521" s="178" t="s">
        <v>362</v>
      </c>
      <c r="M521" s="178" t="s">
        <v>362</v>
      </c>
    </row>
    <row r="522" spans="1:13" ht="32.25" x14ac:dyDescent="0.3">
      <c r="A522" s="178" t="s">
        <v>362</v>
      </c>
      <c r="B522" s="180">
        <v>46108</v>
      </c>
      <c r="C522" s="182">
        <v>46082</v>
      </c>
      <c r="D522" s="181" t="s">
        <v>27</v>
      </c>
      <c r="E522" s="181" t="s">
        <v>24</v>
      </c>
      <c r="F522" s="183" t="s">
        <v>6</v>
      </c>
      <c r="G522" s="181" t="s">
        <v>28</v>
      </c>
      <c r="H522" s="184" t="s">
        <v>51</v>
      </c>
      <c r="I522" s="391" t="s">
        <v>3267</v>
      </c>
      <c r="J522" s="391" t="s">
        <v>3279</v>
      </c>
      <c r="K522" s="178" t="s">
        <v>362</v>
      </c>
      <c r="L522" s="178" t="s">
        <v>362</v>
      </c>
      <c r="M522" s="178" t="s">
        <v>362</v>
      </c>
    </row>
    <row r="523" spans="1:13" x14ac:dyDescent="0.3">
      <c r="A523" s="178" t="s">
        <v>362</v>
      </c>
      <c r="B523" s="180">
        <v>46108</v>
      </c>
      <c r="C523" s="182">
        <v>46082</v>
      </c>
      <c r="D523" s="181" t="s">
        <v>328</v>
      </c>
      <c r="E523" s="181" t="s">
        <v>24</v>
      </c>
      <c r="F523" s="183" t="s">
        <v>6</v>
      </c>
      <c r="G523" s="181" t="s">
        <v>25</v>
      </c>
      <c r="H523" s="184" t="s">
        <v>3505</v>
      </c>
      <c r="I523" s="391" t="s">
        <v>3267</v>
      </c>
      <c r="J523" s="391" t="s">
        <v>3279</v>
      </c>
      <c r="K523" s="178" t="s">
        <v>362</v>
      </c>
      <c r="L523" s="178" t="s">
        <v>362</v>
      </c>
      <c r="M523" s="178" t="s">
        <v>362</v>
      </c>
    </row>
    <row r="524" spans="1:13" ht="32.25" x14ac:dyDescent="0.3">
      <c r="A524" s="178" t="s">
        <v>362</v>
      </c>
      <c r="B524" s="180">
        <v>46108</v>
      </c>
      <c r="C524" s="182">
        <v>46082</v>
      </c>
      <c r="D524" s="181" t="s">
        <v>185</v>
      </c>
      <c r="E524" s="181" t="s">
        <v>24</v>
      </c>
      <c r="F524" s="347" t="s">
        <v>325</v>
      </c>
      <c r="G524" s="181" t="s">
        <v>3500</v>
      </c>
      <c r="H524" s="184" t="s">
        <v>3501</v>
      </c>
      <c r="I524" s="391" t="s">
        <v>3267</v>
      </c>
      <c r="J524" s="391" t="s">
        <v>3289</v>
      </c>
      <c r="K524" s="178" t="s">
        <v>362</v>
      </c>
      <c r="L524" s="178" t="s">
        <v>362</v>
      </c>
      <c r="M524" s="178" t="s">
        <v>362</v>
      </c>
    </row>
    <row r="525" spans="1:13" ht="32.25" x14ac:dyDescent="0.3">
      <c r="A525" s="178" t="s">
        <v>362</v>
      </c>
      <c r="B525" s="202">
        <v>46108</v>
      </c>
      <c r="C525" s="203">
        <v>46082</v>
      </c>
      <c r="D525" s="181" t="s">
        <v>60</v>
      </c>
      <c r="E525" s="181" t="s">
        <v>24</v>
      </c>
      <c r="F525" s="183" t="s">
        <v>6</v>
      </c>
      <c r="G525" s="181" t="s">
        <v>3518</v>
      </c>
      <c r="H525" s="184" t="s">
        <v>3519</v>
      </c>
      <c r="I525" s="390" t="s">
        <v>3267</v>
      </c>
      <c r="J525" s="390" t="s">
        <v>3289</v>
      </c>
      <c r="K525" s="178" t="s">
        <v>362</v>
      </c>
      <c r="L525" s="178" t="s">
        <v>362</v>
      </c>
      <c r="M525" s="178" t="s">
        <v>362</v>
      </c>
    </row>
    <row r="526" spans="1:13" x14ac:dyDescent="0.3">
      <c r="A526" s="178" t="s">
        <v>362</v>
      </c>
      <c r="B526" s="53" t="s">
        <v>362</v>
      </c>
      <c r="C526" s="30">
        <v>46082</v>
      </c>
      <c r="D526" s="181" t="s">
        <v>362</v>
      </c>
      <c r="E526" s="181" t="s">
        <v>362</v>
      </c>
      <c r="F526" s="29" t="s">
        <v>362</v>
      </c>
      <c r="G526" s="181" t="s">
        <v>362</v>
      </c>
      <c r="H526" s="184" t="s">
        <v>362</v>
      </c>
      <c r="I526" s="178" t="s">
        <v>362</v>
      </c>
      <c r="J526" s="178" t="s">
        <v>362</v>
      </c>
      <c r="K526" s="178" t="s">
        <v>362</v>
      </c>
      <c r="L526" s="178" t="s">
        <v>362</v>
      </c>
      <c r="M526" s="178" t="s">
        <v>362</v>
      </c>
    </row>
    <row r="527" spans="1:13" x14ac:dyDescent="0.3">
      <c r="A527" s="178" t="s">
        <v>362</v>
      </c>
      <c r="B527" s="53" t="s">
        <v>362</v>
      </c>
      <c r="C527" s="30">
        <v>46082</v>
      </c>
      <c r="D527" s="181" t="s">
        <v>362</v>
      </c>
      <c r="E527" s="181" t="s">
        <v>362</v>
      </c>
      <c r="F527" s="29" t="s">
        <v>362</v>
      </c>
      <c r="G527" s="181" t="s">
        <v>362</v>
      </c>
      <c r="H527" s="184" t="s">
        <v>362</v>
      </c>
      <c r="I527" s="178" t="s">
        <v>362</v>
      </c>
      <c r="J527" s="178" t="s">
        <v>362</v>
      </c>
      <c r="K527" s="178" t="s">
        <v>362</v>
      </c>
      <c r="L527" s="178" t="s">
        <v>362</v>
      </c>
      <c r="M527" s="178" t="s">
        <v>362</v>
      </c>
    </row>
    <row r="528" spans="1:13" x14ac:dyDescent="0.3">
      <c r="A528" s="178" t="s">
        <v>362</v>
      </c>
      <c r="B528" s="53" t="s">
        <v>362</v>
      </c>
      <c r="C528" s="30">
        <v>46082</v>
      </c>
      <c r="D528" s="181" t="s">
        <v>362</v>
      </c>
      <c r="E528" s="181" t="s">
        <v>362</v>
      </c>
      <c r="F528" s="29" t="s">
        <v>362</v>
      </c>
      <c r="G528" s="181" t="s">
        <v>362</v>
      </c>
      <c r="H528" s="184" t="s">
        <v>362</v>
      </c>
      <c r="I528" s="178" t="s">
        <v>362</v>
      </c>
      <c r="J528" s="178" t="s">
        <v>362</v>
      </c>
      <c r="K528" s="178" t="s">
        <v>362</v>
      </c>
      <c r="L528" s="178" t="s">
        <v>362</v>
      </c>
      <c r="M528" s="178" t="s">
        <v>362</v>
      </c>
    </row>
    <row r="529" spans="1:13" x14ac:dyDescent="0.3">
      <c r="A529" s="178" t="s">
        <v>362</v>
      </c>
      <c r="B529" s="53" t="s">
        <v>362</v>
      </c>
      <c r="C529" s="30">
        <v>46082</v>
      </c>
      <c r="D529" s="181" t="s">
        <v>362</v>
      </c>
      <c r="E529" s="181" t="s">
        <v>362</v>
      </c>
      <c r="F529" s="29" t="s">
        <v>362</v>
      </c>
      <c r="G529" s="181" t="s">
        <v>362</v>
      </c>
      <c r="H529" s="184" t="s">
        <v>362</v>
      </c>
      <c r="I529" s="178" t="s">
        <v>362</v>
      </c>
      <c r="J529" s="178" t="s">
        <v>362</v>
      </c>
      <c r="K529" s="178" t="s">
        <v>362</v>
      </c>
      <c r="L529" s="178" t="s">
        <v>362</v>
      </c>
      <c r="M529" s="178" t="s">
        <v>362</v>
      </c>
    </row>
    <row r="530" spans="1:13" x14ac:dyDescent="0.3">
      <c r="A530" s="178" t="s">
        <v>362</v>
      </c>
      <c r="B530" s="53" t="s">
        <v>362</v>
      </c>
      <c r="C530" s="30">
        <v>46082</v>
      </c>
      <c r="D530" s="181" t="s">
        <v>362</v>
      </c>
      <c r="E530" s="181" t="s">
        <v>362</v>
      </c>
      <c r="F530" s="29" t="s">
        <v>362</v>
      </c>
      <c r="G530" s="181" t="s">
        <v>362</v>
      </c>
      <c r="H530" s="184" t="s">
        <v>362</v>
      </c>
      <c r="I530" s="178" t="s">
        <v>362</v>
      </c>
      <c r="J530" s="178" t="s">
        <v>362</v>
      </c>
      <c r="K530" s="178" t="s">
        <v>362</v>
      </c>
      <c r="L530" s="178" t="s">
        <v>362</v>
      </c>
      <c r="M530" s="178" t="s">
        <v>362</v>
      </c>
    </row>
    <row r="531" spans="1:13" x14ac:dyDescent="0.3">
      <c r="A531" s="178" t="s">
        <v>362</v>
      </c>
      <c r="B531" s="53" t="s">
        <v>362</v>
      </c>
      <c r="C531" s="30">
        <v>46082</v>
      </c>
      <c r="D531" s="181" t="s">
        <v>362</v>
      </c>
      <c r="E531" s="181" t="s">
        <v>362</v>
      </c>
      <c r="F531" s="29" t="s">
        <v>362</v>
      </c>
      <c r="G531" s="181" t="s">
        <v>362</v>
      </c>
      <c r="H531" s="184" t="s">
        <v>362</v>
      </c>
      <c r="I531" s="178" t="s">
        <v>362</v>
      </c>
      <c r="J531" s="178" t="s">
        <v>362</v>
      </c>
      <c r="K531" s="178" t="s">
        <v>362</v>
      </c>
      <c r="L531" s="178" t="s">
        <v>362</v>
      </c>
      <c r="M531" s="178" t="s">
        <v>362</v>
      </c>
    </row>
    <row r="532" spans="1:13" x14ac:dyDescent="0.3">
      <c r="A532" s="178" t="s">
        <v>362</v>
      </c>
      <c r="B532" s="53" t="s">
        <v>362</v>
      </c>
      <c r="C532" s="30">
        <v>46082</v>
      </c>
      <c r="D532" s="181" t="s">
        <v>362</v>
      </c>
      <c r="E532" s="181" t="s">
        <v>362</v>
      </c>
      <c r="F532" s="29" t="s">
        <v>362</v>
      </c>
      <c r="G532" s="181" t="s">
        <v>362</v>
      </c>
      <c r="H532" s="184" t="s">
        <v>362</v>
      </c>
      <c r="I532" s="178" t="s">
        <v>362</v>
      </c>
      <c r="J532" s="178" t="s">
        <v>362</v>
      </c>
      <c r="K532" s="178" t="s">
        <v>362</v>
      </c>
      <c r="L532" s="178" t="s">
        <v>362</v>
      </c>
      <c r="M532" s="178" t="s">
        <v>362</v>
      </c>
    </row>
    <row r="533" spans="1:13" x14ac:dyDescent="0.3">
      <c r="A533" s="178" t="s">
        <v>362</v>
      </c>
      <c r="B533" s="53" t="s">
        <v>362</v>
      </c>
      <c r="C533" s="30">
        <v>46082</v>
      </c>
      <c r="D533" s="181" t="s">
        <v>362</v>
      </c>
      <c r="E533" s="181" t="s">
        <v>362</v>
      </c>
      <c r="F533" s="29" t="s">
        <v>362</v>
      </c>
      <c r="G533" s="181" t="s">
        <v>362</v>
      </c>
      <c r="H533" s="184" t="s">
        <v>362</v>
      </c>
      <c r="I533" s="178" t="s">
        <v>362</v>
      </c>
      <c r="J533" s="178" t="s">
        <v>362</v>
      </c>
      <c r="K533" s="178" t="s">
        <v>362</v>
      </c>
      <c r="L533" s="178" t="s">
        <v>362</v>
      </c>
      <c r="M533" s="178" t="s">
        <v>362</v>
      </c>
    </row>
    <row r="534" spans="1:13" x14ac:dyDescent="0.3">
      <c r="A534" s="178" t="s">
        <v>362</v>
      </c>
      <c r="B534" s="53" t="s">
        <v>362</v>
      </c>
      <c r="C534" s="30">
        <v>46082</v>
      </c>
      <c r="D534" s="181" t="s">
        <v>362</v>
      </c>
      <c r="E534" s="181" t="s">
        <v>362</v>
      </c>
      <c r="F534" s="29" t="s">
        <v>362</v>
      </c>
      <c r="G534" s="181" t="s">
        <v>362</v>
      </c>
      <c r="H534" s="184" t="s">
        <v>362</v>
      </c>
      <c r="I534" s="178" t="s">
        <v>362</v>
      </c>
      <c r="J534" s="178" t="s">
        <v>362</v>
      </c>
      <c r="K534" s="178" t="s">
        <v>362</v>
      </c>
      <c r="L534" s="178" t="s">
        <v>362</v>
      </c>
      <c r="M534" s="178" t="s">
        <v>362</v>
      </c>
    </row>
    <row r="535" spans="1:13" x14ac:dyDescent="0.3">
      <c r="A535" s="178" t="s">
        <v>362</v>
      </c>
      <c r="B535" s="53" t="s">
        <v>362</v>
      </c>
      <c r="C535" s="30">
        <v>46082</v>
      </c>
      <c r="D535" s="181" t="s">
        <v>362</v>
      </c>
      <c r="E535" s="181" t="s">
        <v>362</v>
      </c>
      <c r="F535" s="29" t="s">
        <v>362</v>
      </c>
      <c r="G535" s="181" t="s">
        <v>362</v>
      </c>
      <c r="H535" s="184" t="s">
        <v>362</v>
      </c>
      <c r="I535" s="178" t="s">
        <v>362</v>
      </c>
      <c r="J535" s="178" t="s">
        <v>362</v>
      </c>
      <c r="K535" s="178" t="s">
        <v>362</v>
      </c>
      <c r="L535" s="178" t="s">
        <v>362</v>
      </c>
      <c r="M535" s="178" t="s">
        <v>362</v>
      </c>
    </row>
    <row r="536" spans="1:13" x14ac:dyDescent="0.3">
      <c r="A536" s="178" t="s">
        <v>362</v>
      </c>
      <c r="B536" s="53" t="s">
        <v>362</v>
      </c>
      <c r="C536" s="30">
        <v>46082</v>
      </c>
      <c r="D536" s="181" t="s">
        <v>362</v>
      </c>
      <c r="E536" s="181" t="s">
        <v>362</v>
      </c>
      <c r="F536" s="29" t="s">
        <v>362</v>
      </c>
      <c r="G536" s="181" t="s">
        <v>362</v>
      </c>
      <c r="H536" s="184" t="s">
        <v>362</v>
      </c>
      <c r="I536" s="178" t="s">
        <v>362</v>
      </c>
      <c r="J536" s="178" t="s">
        <v>362</v>
      </c>
      <c r="K536" s="178" t="s">
        <v>362</v>
      </c>
      <c r="L536" s="178" t="s">
        <v>362</v>
      </c>
      <c r="M536" s="178" t="s">
        <v>362</v>
      </c>
    </row>
    <row r="537" spans="1:13" x14ac:dyDescent="0.3">
      <c r="A537" s="178" t="s">
        <v>362</v>
      </c>
      <c r="B537" s="53" t="s">
        <v>362</v>
      </c>
      <c r="C537" s="30">
        <v>46082</v>
      </c>
      <c r="D537" s="181" t="s">
        <v>362</v>
      </c>
      <c r="E537" s="181" t="s">
        <v>362</v>
      </c>
      <c r="F537" s="29" t="s">
        <v>362</v>
      </c>
      <c r="G537" s="181" t="s">
        <v>362</v>
      </c>
      <c r="H537" s="184" t="s">
        <v>362</v>
      </c>
      <c r="I537" s="178" t="s">
        <v>362</v>
      </c>
      <c r="J537" s="178" t="s">
        <v>362</v>
      </c>
      <c r="K537" s="178" t="s">
        <v>362</v>
      </c>
      <c r="L537" s="178" t="s">
        <v>362</v>
      </c>
      <c r="M537" s="178" t="s">
        <v>362</v>
      </c>
    </row>
    <row r="538" spans="1:13" x14ac:dyDescent="0.3">
      <c r="A538" s="178" t="s">
        <v>362</v>
      </c>
      <c r="B538" s="53" t="s">
        <v>362</v>
      </c>
      <c r="C538" s="30">
        <v>46082</v>
      </c>
      <c r="D538" s="181" t="s">
        <v>362</v>
      </c>
      <c r="E538" s="181" t="s">
        <v>362</v>
      </c>
      <c r="F538" s="29" t="s">
        <v>362</v>
      </c>
      <c r="G538" s="181" t="s">
        <v>362</v>
      </c>
      <c r="H538" s="184" t="s">
        <v>362</v>
      </c>
      <c r="I538" s="178" t="s">
        <v>362</v>
      </c>
      <c r="J538" s="178" t="s">
        <v>362</v>
      </c>
      <c r="K538" s="178" t="s">
        <v>362</v>
      </c>
      <c r="L538" s="178" t="s">
        <v>362</v>
      </c>
      <c r="M538" s="178" t="s">
        <v>362</v>
      </c>
    </row>
    <row r="539" spans="1:13" x14ac:dyDescent="0.3">
      <c r="A539" s="178" t="s">
        <v>362</v>
      </c>
      <c r="B539" s="53" t="s">
        <v>362</v>
      </c>
      <c r="C539" s="30">
        <v>46082</v>
      </c>
      <c r="D539" s="181" t="s">
        <v>362</v>
      </c>
      <c r="E539" s="181" t="s">
        <v>362</v>
      </c>
      <c r="F539" s="29" t="s">
        <v>362</v>
      </c>
      <c r="G539" s="181" t="s">
        <v>362</v>
      </c>
      <c r="H539" s="184" t="s">
        <v>362</v>
      </c>
      <c r="I539" s="178" t="s">
        <v>362</v>
      </c>
      <c r="J539" s="178" t="s">
        <v>362</v>
      </c>
      <c r="K539" s="178" t="s">
        <v>362</v>
      </c>
      <c r="L539" s="178" t="s">
        <v>362</v>
      </c>
      <c r="M539" s="178" t="s">
        <v>362</v>
      </c>
    </row>
    <row r="540" spans="1:13" x14ac:dyDescent="0.3">
      <c r="A540" s="178" t="s">
        <v>362</v>
      </c>
      <c r="B540" s="53" t="s">
        <v>362</v>
      </c>
      <c r="C540" s="30">
        <v>46082</v>
      </c>
      <c r="D540" s="181" t="s">
        <v>362</v>
      </c>
      <c r="E540" s="181" t="s">
        <v>362</v>
      </c>
      <c r="F540" s="29" t="s">
        <v>362</v>
      </c>
      <c r="G540" s="181" t="s">
        <v>362</v>
      </c>
      <c r="H540" s="184" t="s">
        <v>362</v>
      </c>
      <c r="I540" s="178" t="s">
        <v>362</v>
      </c>
      <c r="J540" s="178" t="s">
        <v>362</v>
      </c>
      <c r="K540" s="178" t="s">
        <v>362</v>
      </c>
      <c r="L540" s="178" t="s">
        <v>362</v>
      </c>
      <c r="M540" s="178" t="s">
        <v>362</v>
      </c>
    </row>
    <row r="541" spans="1:13" x14ac:dyDescent="0.3">
      <c r="A541" s="178" t="s">
        <v>362</v>
      </c>
      <c r="B541" s="53" t="s">
        <v>362</v>
      </c>
      <c r="C541" s="30">
        <v>46082</v>
      </c>
      <c r="D541" s="181" t="s">
        <v>362</v>
      </c>
      <c r="E541" s="181" t="s">
        <v>362</v>
      </c>
      <c r="F541" s="29" t="s">
        <v>362</v>
      </c>
      <c r="G541" s="181" t="s">
        <v>362</v>
      </c>
      <c r="H541" s="184" t="s">
        <v>362</v>
      </c>
      <c r="I541" s="178" t="s">
        <v>362</v>
      </c>
      <c r="J541" s="178" t="s">
        <v>362</v>
      </c>
      <c r="K541" s="178" t="s">
        <v>362</v>
      </c>
      <c r="L541" s="178" t="s">
        <v>362</v>
      </c>
      <c r="M541" s="178" t="s">
        <v>362</v>
      </c>
    </row>
    <row r="542" spans="1:13" x14ac:dyDescent="0.3">
      <c r="A542" s="178" t="s">
        <v>362</v>
      </c>
      <c r="B542" s="53" t="s">
        <v>362</v>
      </c>
      <c r="C542" s="30">
        <v>46082</v>
      </c>
      <c r="D542" s="181" t="s">
        <v>362</v>
      </c>
      <c r="E542" s="181" t="s">
        <v>362</v>
      </c>
      <c r="F542" s="29" t="s">
        <v>362</v>
      </c>
      <c r="G542" s="181" t="s">
        <v>362</v>
      </c>
      <c r="H542" s="184" t="s">
        <v>362</v>
      </c>
      <c r="I542" s="178" t="s">
        <v>362</v>
      </c>
      <c r="J542" s="178" t="s">
        <v>362</v>
      </c>
      <c r="K542" s="178" t="s">
        <v>362</v>
      </c>
      <c r="L542" s="178" t="s">
        <v>362</v>
      </c>
      <c r="M542" s="178" t="s">
        <v>362</v>
      </c>
    </row>
    <row r="543" spans="1:13" x14ac:dyDescent="0.3">
      <c r="A543" s="178" t="s">
        <v>362</v>
      </c>
      <c r="B543" s="53" t="s">
        <v>362</v>
      </c>
      <c r="C543" s="30">
        <v>46082</v>
      </c>
      <c r="D543" s="181" t="s">
        <v>362</v>
      </c>
      <c r="E543" s="181" t="s">
        <v>362</v>
      </c>
      <c r="F543" s="29" t="s">
        <v>362</v>
      </c>
      <c r="G543" s="181" t="s">
        <v>362</v>
      </c>
      <c r="H543" s="184" t="s">
        <v>362</v>
      </c>
      <c r="I543" s="178" t="s">
        <v>362</v>
      </c>
      <c r="J543" s="178" t="s">
        <v>362</v>
      </c>
      <c r="K543" s="178" t="s">
        <v>362</v>
      </c>
      <c r="L543" s="178" t="s">
        <v>362</v>
      </c>
      <c r="M543" s="178" t="s">
        <v>362</v>
      </c>
    </row>
    <row r="544" spans="1:13" x14ac:dyDescent="0.3">
      <c r="A544" s="178" t="s">
        <v>362</v>
      </c>
      <c r="B544" s="53" t="s">
        <v>362</v>
      </c>
      <c r="C544" s="30">
        <v>46082</v>
      </c>
      <c r="D544" s="181" t="s">
        <v>362</v>
      </c>
      <c r="E544" s="181" t="s">
        <v>362</v>
      </c>
      <c r="F544" s="29" t="s">
        <v>362</v>
      </c>
      <c r="G544" s="181" t="s">
        <v>362</v>
      </c>
      <c r="H544" s="184" t="s">
        <v>362</v>
      </c>
      <c r="I544" s="178" t="s">
        <v>362</v>
      </c>
      <c r="J544" s="178" t="s">
        <v>362</v>
      </c>
      <c r="K544" s="178" t="s">
        <v>362</v>
      </c>
      <c r="L544" s="178" t="s">
        <v>362</v>
      </c>
      <c r="M544" s="178" t="s">
        <v>362</v>
      </c>
    </row>
    <row r="545" spans="1:13" x14ac:dyDescent="0.3">
      <c r="A545" s="178" t="s">
        <v>362</v>
      </c>
      <c r="B545" s="53" t="s">
        <v>362</v>
      </c>
      <c r="C545" s="30">
        <v>46082</v>
      </c>
      <c r="D545" s="181" t="s">
        <v>362</v>
      </c>
      <c r="E545" s="181" t="s">
        <v>362</v>
      </c>
      <c r="F545" s="29" t="s">
        <v>362</v>
      </c>
      <c r="G545" s="181" t="s">
        <v>362</v>
      </c>
      <c r="H545" s="184" t="s">
        <v>362</v>
      </c>
      <c r="I545" s="178" t="s">
        <v>362</v>
      </c>
      <c r="J545" s="178" t="s">
        <v>362</v>
      </c>
      <c r="K545" s="178" t="s">
        <v>362</v>
      </c>
      <c r="L545" s="178" t="s">
        <v>362</v>
      </c>
      <c r="M545" s="178" t="s">
        <v>362</v>
      </c>
    </row>
    <row r="546" spans="1:13" x14ac:dyDescent="0.3">
      <c r="A546" s="178" t="s">
        <v>362</v>
      </c>
      <c r="B546" s="53" t="s">
        <v>362</v>
      </c>
      <c r="C546" s="30">
        <v>46082</v>
      </c>
      <c r="D546" s="181" t="s">
        <v>362</v>
      </c>
      <c r="E546" s="181" t="s">
        <v>362</v>
      </c>
      <c r="F546" s="29" t="s">
        <v>362</v>
      </c>
      <c r="G546" s="181" t="s">
        <v>362</v>
      </c>
      <c r="H546" s="184" t="s">
        <v>362</v>
      </c>
      <c r="I546" s="178" t="s">
        <v>362</v>
      </c>
      <c r="J546" s="178" t="s">
        <v>362</v>
      </c>
      <c r="K546" s="178" t="s">
        <v>362</v>
      </c>
      <c r="L546" s="178" t="s">
        <v>362</v>
      </c>
      <c r="M546" s="178" t="s">
        <v>362</v>
      </c>
    </row>
    <row r="547" spans="1:13" x14ac:dyDescent="0.3">
      <c r="A547" s="178" t="s">
        <v>362</v>
      </c>
      <c r="B547" s="53" t="s">
        <v>362</v>
      </c>
      <c r="C547" s="30">
        <v>46082</v>
      </c>
      <c r="D547" s="181" t="s">
        <v>362</v>
      </c>
      <c r="E547" s="181" t="s">
        <v>362</v>
      </c>
      <c r="F547" s="29" t="s">
        <v>362</v>
      </c>
      <c r="G547" s="181" t="s">
        <v>362</v>
      </c>
      <c r="H547" s="184" t="s">
        <v>362</v>
      </c>
      <c r="I547" s="178" t="s">
        <v>362</v>
      </c>
      <c r="J547" s="178" t="s">
        <v>362</v>
      </c>
      <c r="K547" s="178" t="s">
        <v>362</v>
      </c>
      <c r="L547" s="178" t="s">
        <v>362</v>
      </c>
      <c r="M547" s="178" t="s">
        <v>362</v>
      </c>
    </row>
    <row r="548" spans="1:13" x14ac:dyDescent="0.3">
      <c r="A548" s="178" t="s">
        <v>362</v>
      </c>
      <c r="B548" s="53" t="s">
        <v>362</v>
      </c>
      <c r="C548" s="30">
        <v>46082</v>
      </c>
      <c r="D548" s="181" t="s">
        <v>362</v>
      </c>
      <c r="E548" s="181" t="s">
        <v>362</v>
      </c>
      <c r="F548" s="29" t="s">
        <v>362</v>
      </c>
      <c r="G548" s="181" t="s">
        <v>362</v>
      </c>
      <c r="H548" s="184" t="s">
        <v>362</v>
      </c>
      <c r="I548" s="178" t="s">
        <v>362</v>
      </c>
      <c r="J548" s="178" t="s">
        <v>362</v>
      </c>
      <c r="K548" s="178" t="s">
        <v>362</v>
      </c>
      <c r="L548" s="178" t="s">
        <v>362</v>
      </c>
      <c r="M548" s="178" t="s">
        <v>362</v>
      </c>
    </row>
    <row r="549" spans="1:13" x14ac:dyDescent="0.3">
      <c r="A549" s="178" t="s">
        <v>362</v>
      </c>
      <c r="B549" s="53" t="s">
        <v>362</v>
      </c>
      <c r="C549" s="30">
        <v>46082</v>
      </c>
      <c r="D549" s="181" t="s">
        <v>362</v>
      </c>
      <c r="E549" s="181" t="s">
        <v>362</v>
      </c>
      <c r="F549" s="29" t="s">
        <v>362</v>
      </c>
      <c r="G549" s="181" t="s">
        <v>362</v>
      </c>
      <c r="H549" s="184" t="s">
        <v>362</v>
      </c>
      <c r="I549" s="178" t="s">
        <v>362</v>
      </c>
      <c r="J549" s="178" t="s">
        <v>362</v>
      </c>
      <c r="K549" s="178" t="s">
        <v>362</v>
      </c>
      <c r="L549" s="178" t="s">
        <v>362</v>
      </c>
      <c r="M549" s="178" t="s">
        <v>362</v>
      </c>
    </row>
    <row r="550" spans="1:13" x14ac:dyDescent="0.3">
      <c r="A550" s="178" t="s">
        <v>362</v>
      </c>
      <c r="B550" s="53" t="s">
        <v>362</v>
      </c>
      <c r="C550" s="30">
        <v>46082</v>
      </c>
      <c r="D550" s="181" t="s">
        <v>362</v>
      </c>
      <c r="E550" s="181" t="s">
        <v>362</v>
      </c>
      <c r="F550" s="29" t="s">
        <v>362</v>
      </c>
      <c r="G550" s="181" t="s">
        <v>362</v>
      </c>
      <c r="H550" s="184" t="s">
        <v>362</v>
      </c>
      <c r="I550" s="178" t="s">
        <v>362</v>
      </c>
      <c r="J550" s="178" t="s">
        <v>362</v>
      </c>
      <c r="K550" s="178" t="s">
        <v>362</v>
      </c>
      <c r="L550" s="178" t="s">
        <v>362</v>
      </c>
      <c r="M550" s="178" t="s">
        <v>362</v>
      </c>
    </row>
    <row r="551" spans="1:13" x14ac:dyDescent="0.3">
      <c r="A551" s="178" t="s">
        <v>362</v>
      </c>
      <c r="B551" s="53" t="s">
        <v>362</v>
      </c>
      <c r="C551" s="30">
        <v>46082</v>
      </c>
      <c r="D551" s="181" t="s">
        <v>362</v>
      </c>
      <c r="E551" s="181" t="s">
        <v>362</v>
      </c>
      <c r="F551" s="29" t="s">
        <v>362</v>
      </c>
      <c r="G551" s="181" t="s">
        <v>362</v>
      </c>
      <c r="H551" s="184" t="s">
        <v>362</v>
      </c>
      <c r="I551" s="178" t="s">
        <v>362</v>
      </c>
      <c r="J551" s="178" t="s">
        <v>362</v>
      </c>
      <c r="K551" s="178" t="s">
        <v>362</v>
      </c>
      <c r="L551" s="178" t="s">
        <v>362</v>
      </c>
      <c r="M551" s="178" t="s">
        <v>362</v>
      </c>
    </row>
    <row r="552" spans="1:13" x14ac:dyDescent="0.3">
      <c r="A552" s="178" t="s">
        <v>362</v>
      </c>
      <c r="B552" s="53" t="s">
        <v>362</v>
      </c>
      <c r="C552" s="30">
        <v>46082</v>
      </c>
      <c r="D552" s="181" t="s">
        <v>362</v>
      </c>
      <c r="E552" s="181" t="s">
        <v>362</v>
      </c>
      <c r="F552" s="29" t="s">
        <v>362</v>
      </c>
      <c r="G552" s="181" t="s">
        <v>362</v>
      </c>
      <c r="H552" s="184" t="s">
        <v>362</v>
      </c>
      <c r="I552" s="178" t="s">
        <v>362</v>
      </c>
      <c r="J552" s="178" t="s">
        <v>362</v>
      </c>
      <c r="K552" s="178" t="s">
        <v>362</v>
      </c>
      <c r="L552" s="178" t="s">
        <v>362</v>
      </c>
      <c r="M552" s="178" t="s">
        <v>362</v>
      </c>
    </row>
    <row r="553" spans="1:13" x14ac:dyDescent="0.3">
      <c r="A553" s="178" t="s">
        <v>362</v>
      </c>
      <c r="B553" s="53" t="s">
        <v>362</v>
      </c>
      <c r="C553" s="30">
        <v>46082</v>
      </c>
      <c r="D553" s="181" t="s">
        <v>362</v>
      </c>
      <c r="E553" s="181" t="s">
        <v>362</v>
      </c>
      <c r="F553" s="29" t="s">
        <v>362</v>
      </c>
      <c r="G553" s="181" t="s">
        <v>362</v>
      </c>
      <c r="H553" s="184" t="s">
        <v>362</v>
      </c>
      <c r="I553" s="178" t="s">
        <v>362</v>
      </c>
      <c r="J553" s="178" t="s">
        <v>362</v>
      </c>
      <c r="K553" s="178" t="s">
        <v>362</v>
      </c>
      <c r="L553" s="178" t="s">
        <v>362</v>
      </c>
      <c r="M553" s="178" t="s">
        <v>362</v>
      </c>
    </row>
    <row r="554" spans="1:13" x14ac:dyDescent="0.3">
      <c r="A554" s="178" t="s">
        <v>362</v>
      </c>
      <c r="B554" s="53" t="s">
        <v>362</v>
      </c>
      <c r="C554" s="30">
        <v>46082</v>
      </c>
      <c r="D554" s="181" t="s">
        <v>362</v>
      </c>
      <c r="E554" s="181" t="s">
        <v>362</v>
      </c>
      <c r="F554" s="29" t="s">
        <v>362</v>
      </c>
      <c r="G554" s="181" t="s">
        <v>362</v>
      </c>
      <c r="H554" s="184" t="s">
        <v>362</v>
      </c>
      <c r="I554" s="178" t="s">
        <v>362</v>
      </c>
      <c r="J554" s="178" t="s">
        <v>362</v>
      </c>
      <c r="K554" s="178" t="s">
        <v>362</v>
      </c>
      <c r="L554" s="178" t="s">
        <v>362</v>
      </c>
      <c r="M554" s="178" t="s">
        <v>362</v>
      </c>
    </row>
    <row r="555" spans="1:13" x14ac:dyDescent="0.3">
      <c r="A555" s="178" t="s">
        <v>362</v>
      </c>
      <c r="B555" s="53" t="s">
        <v>362</v>
      </c>
      <c r="C555" s="30">
        <v>46082</v>
      </c>
      <c r="D555" s="181" t="s">
        <v>362</v>
      </c>
      <c r="E555" s="181" t="s">
        <v>362</v>
      </c>
      <c r="F555" s="29" t="s">
        <v>362</v>
      </c>
      <c r="G555" s="181" t="s">
        <v>362</v>
      </c>
      <c r="H555" s="184" t="s">
        <v>362</v>
      </c>
      <c r="I555" s="178" t="s">
        <v>362</v>
      </c>
      <c r="J555" s="178" t="s">
        <v>362</v>
      </c>
      <c r="K555" s="178" t="s">
        <v>362</v>
      </c>
      <c r="L555" s="178" t="s">
        <v>362</v>
      </c>
      <c r="M555" s="178" t="s">
        <v>362</v>
      </c>
    </row>
    <row r="556" spans="1:13" x14ac:dyDescent="0.3">
      <c r="A556" s="178" t="s">
        <v>362</v>
      </c>
      <c r="B556" s="53" t="s">
        <v>362</v>
      </c>
      <c r="C556" s="30">
        <v>46082</v>
      </c>
      <c r="D556" s="181" t="s">
        <v>362</v>
      </c>
      <c r="E556" s="181" t="s">
        <v>362</v>
      </c>
      <c r="F556" s="29" t="s">
        <v>362</v>
      </c>
      <c r="G556" s="181" t="s">
        <v>362</v>
      </c>
      <c r="H556" s="184" t="s">
        <v>362</v>
      </c>
      <c r="I556" s="178" t="s">
        <v>362</v>
      </c>
      <c r="J556" s="178" t="s">
        <v>362</v>
      </c>
      <c r="K556" s="178" t="s">
        <v>362</v>
      </c>
      <c r="L556" s="178" t="s">
        <v>362</v>
      </c>
      <c r="M556" s="178" t="s">
        <v>362</v>
      </c>
    </row>
    <row r="557" spans="1:13" x14ac:dyDescent="0.3">
      <c r="A557" s="178" t="s">
        <v>362</v>
      </c>
      <c r="B557" s="53" t="s">
        <v>362</v>
      </c>
      <c r="C557" s="30">
        <v>46082</v>
      </c>
      <c r="D557" s="181" t="s">
        <v>362</v>
      </c>
      <c r="E557" s="181" t="s">
        <v>362</v>
      </c>
      <c r="F557" s="29" t="s">
        <v>362</v>
      </c>
      <c r="G557" s="181" t="s">
        <v>362</v>
      </c>
      <c r="H557" s="184" t="s">
        <v>362</v>
      </c>
      <c r="I557" s="178" t="s">
        <v>362</v>
      </c>
      <c r="J557" s="178" t="s">
        <v>362</v>
      </c>
      <c r="K557" s="178" t="s">
        <v>362</v>
      </c>
      <c r="L557" s="178" t="s">
        <v>362</v>
      </c>
      <c r="M557" s="178" t="s">
        <v>362</v>
      </c>
    </row>
    <row r="558" spans="1:13" x14ac:dyDescent="0.3">
      <c r="A558" s="178" t="s">
        <v>362</v>
      </c>
      <c r="B558" s="53" t="s">
        <v>362</v>
      </c>
      <c r="C558" s="30">
        <v>46082</v>
      </c>
      <c r="D558" s="29" t="s">
        <v>362</v>
      </c>
      <c r="E558" s="29" t="s">
        <v>362</v>
      </c>
      <c r="F558" s="29" t="s">
        <v>362</v>
      </c>
      <c r="G558" s="29" t="s">
        <v>362</v>
      </c>
      <c r="H558" s="34" t="s">
        <v>362</v>
      </c>
      <c r="I558" s="178" t="s">
        <v>362</v>
      </c>
      <c r="J558" s="178" t="s">
        <v>362</v>
      </c>
      <c r="K558" s="178" t="s">
        <v>362</v>
      </c>
      <c r="L558" s="178" t="s">
        <v>362</v>
      </c>
      <c r="M558" s="178" t="s">
        <v>362</v>
      </c>
    </row>
    <row r="559" spans="1:13" x14ac:dyDescent="0.3">
      <c r="A559" s="178" t="s">
        <v>362</v>
      </c>
      <c r="B559" s="53" t="s">
        <v>362</v>
      </c>
      <c r="C559" s="30">
        <v>46082</v>
      </c>
      <c r="D559" s="29" t="s">
        <v>362</v>
      </c>
      <c r="E559" s="29" t="s">
        <v>362</v>
      </c>
      <c r="F559" s="29" t="s">
        <v>362</v>
      </c>
      <c r="G559" s="29" t="s">
        <v>362</v>
      </c>
      <c r="H559" s="34" t="s">
        <v>362</v>
      </c>
      <c r="I559" s="178" t="s">
        <v>362</v>
      </c>
      <c r="J559" s="178" t="s">
        <v>362</v>
      </c>
      <c r="K559" s="178" t="s">
        <v>362</v>
      </c>
      <c r="L559" s="178" t="s">
        <v>362</v>
      </c>
      <c r="M559" s="178" t="s">
        <v>362</v>
      </c>
    </row>
    <row r="560" spans="1:13" x14ac:dyDescent="0.3">
      <c r="A560" s="178" t="s">
        <v>362</v>
      </c>
      <c r="B560" s="53" t="s">
        <v>362</v>
      </c>
      <c r="C560" s="30">
        <v>46082</v>
      </c>
      <c r="D560" s="29" t="s">
        <v>362</v>
      </c>
      <c r="E560" s="29" t="s">
        <v>362</v>
      </c>
      <c r="F560" s="29" t="s">
        <v>362</v>
      </c>
      <c r="G560" s="29" t="s">
        <v>362</v>
      </c>
      <c r="H560" s="34" t="s">
        <v>362</v>
      </c>
      <c r="I560" s="178" t="s">
        <v>362</v>
      </c>
      <c r="J560" s="178" t="s">
        <v>362</v>
      </c>
      <c r="K560" s="178" t="s">
        <v>362</v>
      </c>
      <c r="L560" s="178" t="s">
        <v>362</v>
      </c>
      <c r="M560" s="178" t="s">
        <v>362</v>
      </c>
    </row>
    <row r="561" spans="1:13" x14ac:dyDescent="0.3">
      <c r="A561" s="178" t="s">
        <v>362</v>
      </c>
      <c r="B561" s="53" t="s">
        <v>362</v>
      </c>
      <c r="C561" s="30">
        <v>46082</v>
      </c>
      <c r="D561" s="29" t="s">
        <v>362</v>
      </c>
      <c r="E561" s="29" t="s">
        <v>362</v>
      </c>
      <c r="F561" s="29" t="s">
        <v>362</v>
      </c>
      <c r="G561" s="29" t="s">
        <v>362</v>
      </c>
      <c r="H561" s="34" t="s">
        <v>362</v>
      </c>
      <c r="I561" s="178" t="s">
        <v>362</v>
      </c>
      <c r="J561" s="178" t="s">
        <v>362</v>
      </c>
      <c r="K561" s="178" t="s">
        <v>362</v>
      </c>
      <c r="L561" s="178" t="s">
        <v>362</v>
      </c>
      <c r="M561" s="178" t="s">
        <v>362</v>
      </c>
    </row>
    <row r="562" spans="1:13" x14ac:dyDescent="0.3">
      <c r="A562" s="178" t="s">
        <v>362</v>
      </c>
      <c r="B562" s="53" t="s">
        <v>362</v>
      </c>
      <c r="C562" s="30">
        <v>46082</v>
      </c>
      <c r="D562" s="29" t="s">
        <v>362</v>
      </c>
      <c r="E562" s="29" t="s">
        <v>362</v>
      </c>
      <c r="F562" s="29" t="s">
        <v>362</v>
      </c>
      <c r="G562" s="29" t="s">
        <v>362</v>
      </c>
      <c r="H562" s="34" t="s">
        <v>362</v>
      </c>
      <c r="I562" s="178" t="s">
        <v>362</v>
      </c>
      <c r="J562" s="178" t="s">
        <v>362</v>
      </c>
      <c r="K562" s="178" t="s">
        <v>362</v>
      </c>
      <c r="L562" s="178" t="s">
        <v>362</v>
      </c>
      <c r="M562" s="178" t="s">
        <v>362</v>
      </c>
    </row>
    <row r="563" spans="1:13" x14ac:dyDescent="0.3">
      <c r="A563" s="178" t="s">
        <v>362</v>
      </c>
      <c r="B563" s="53" t="s">
        <v>362</v>
      </c>
      <c r="C563" s="30">
        <v>46082</v>
      </c>
      <c r="D563" s="29" t="s">
        <v>362</v>
      </c>
      <c r="E563" s="29" t="s">
        <v>362</v>
      </c>
      <c r="F563" s="29" t="s">
        <v>362</v>
      </c>
      <c r="G563" s="29" t="s">
        <v>362</v>
      </c>
      <c r="H563" s="34" t="s">
        <v>362</v>
      </c>
      <c r="I563" s="178" t="s">
        <v>362</v>
      </c>
      <c r="J563" s="178" t="s">
        <v>362</v>
      </c>
      <c r="K563" s="178" t="s">
        <v>362</v>
      </c>
      <c r="L563" s="178" t="s">
        <v>362</v>
      </c>
      <c r="M563" s="178" t="s">
        <v>362</v>
      </c>
    </row>
    <row r="564" spans="1:13" x14ac:dyDescent="0.3">
      <c r="A564" s="178" t="s">
        <v>362</v>
      </c>
      <c r="B564" s="53" t="s">
        <v>362</v>
      </c>
      <c r="C564" s="30">
        <v>46082</v>
      </c>
      <c r="D564" s="29" t="s">
        <v>362</v>
      </c>
      <c r="E564" s="29" t="s">
        <v>362</v>
      </c>
      <c r="F564" s="29" t="s">
        <v>362</v>
      </c>
      <c r="G564" s="29" t="s">
        <v>362</v>
      </c>
      <c r="H564" s="34" t="s">
        <v>362</v>
      </c>
      <c r="I564" s="178" t="s">
        <v>362</v>
      </c>
      <c r="J564" s="178" t="s">
        <v>362</v>
      </c>
      <c r="K564" s="178" t="s">
        <v>362</v>
      </c>
      <c r="L564" s="178" t="s">
        <v>362</v>
      </c>
      <c r="M564" s="178" t="s">
        <v>362</v>
      </c>
    </row>
    <row r="565" spans="1:13" x14ac:dyDescent="0.3">
      <c r="A565" s="178" t="s">
        <v>362</v>
      </c>
      <c r="B565" s="53" t="s">
        <v>362</v>
      </c>
      <c r="C565" s="30">
        <v>46082</v>
      </c>
      <c r="D565" s="29" t="s">
        <v>362</v>
      </c>
      <c r="E565" s="29" t="s">
        <v>362</v>
      </c>
      <c r="F565" s="29" t="s">
        <v>362</v>
      </c>
      <c r="G565" s="29" t="s">
        <v>362</v>
      </c>
      <c r="H565" s="34" t="s">
        <v>362</v>
      </c>
      <c r="I565" s="178" t="s">
        <v>362</v>
      </c>
      <c r="J565" s="178" t="s">
        <v>362</v>
      </c>
      <c r="K565" s="178" t="s">
        <v>362</v>
      </c>
      <c r="L565" s="178" t="s">
        <v>362</v>
      </c>
      <c r="M565" s="178" t="s">
        <v>362</v>
      </c>
    </row>
    <row r="566" spans="1:13" x14ac:dyDescent="0.3">
      <c r="A566" s="178" t="s">
        <v>362</v>
      </c>
      <c r="B566" s="53" t="s">
        <v>362</v>
      </c>
      <c r="C566" s="30">
        <v>46082</v>
      </c>
      <c r="D566" s="29" t="s">
        <v>362</v>
      </c>
      <c r="E566" s="29" t="s">
        <v>362</v>
      </c>
      <c r="F566" s="29" t="s">
        <v>362</v>
      </c>
      <c r="G566" s="29" t="s">
        <v>362</v>
      </c>
      <c r="H566" s="34" t="s">
        <v>362</v>
      </c>
      <c r="I566" s="178" t="s">
        <v>362</v>
      </c>
      <c r="J566" s="178" t="s">
        <v>362</v>
      </c>
      <c r="K566" s="178" t="s">
        <v>362</v>
      </c>
      <c r="L566" s="178" t="s">
        <v>362</v>
      </c>
      <c r="M566" s="178" t="s">
        <v>362</v>
      </c>
    </row>
    <row r="567" spans="1:13" x14ac:dyDescent="0.3">
      <c r="A567" s="178" t="s">
        <v>362</v>
      </c>
      <c r="B567" s="53" t="s">
        <v>362</v>
      </c>
      <c r="C567" s="30">
        <v>46082</v>
      </c>
      <c r="D567" s="29" t="s">
        <v>362</v>
      </c>
      <c r="E567" s="29" t="s">
        <v>362</v>
      </c>
      <c r="F567" s="29" t="s">
        <v>362</v>
      </c>
      <c r="G567" s="29" t="s">
        <v>362</v>
      </c>
      <c r="H567" s="34" t="s">
        <v>362</v>
      </c>
      <c r="I567" s="178" t="s">
        <v>362</v>
      </c>
      <c r="J567" s="178" t="s">
        <v>362</v>
      </c>
      <c r="K567" s="178" t="s">
        <v>362</v>
      </c>
      <c r="L567" s="178" t="s">
        <v>362</v>
      </c>
      <c r="M567" s="178" t="s">
        <v>362</v>
      </c>
    </row>
    <row r="568" spans="1:13" x14ac:dyDescent="0.3">
      <c r="A568" s="178" t="s">
        <v>362</v>
      </c>
      <c r="B568" s="53" t="s">
        <v>362</v>
      </c>
      <c r="C568" s="30">
        <v>46082</v>
      </c>
      <c r="D568" s="29" t="s">
        <v>362</v>
      </c>
      <c r="E568" s="29" t="s">
        <v>362</v>
      </c>
      <c r="F568" s="29" t="s">
        <v>362</v>
      </c>
      <c r="G568" s="29" t="s">
        <v>362</v>
      </c>
      <c r="H568" s="34" t="s">
        <v>362</v>
      </c>
      <c r="I568" s="178" t="s">
        <v>362</v>
      </c>
      <c r="J568" s="178" t="s">
        <v>362</v>
      </c>
      <c r="K568" s="178" t="s">
        <v>362</v>
      </c>
      <c r="L568" s="178" t="s">
        <v>362</v>
      </c>
      <c r="M568" s="178" t="s">
        <v>362</v>
      </c>
    </row>
    <row r="569" spans="1:13" x14ac:dyDescent="0.3">
      <c r="A569" s="178" t="s">
        <v>362</v>
      </c>
      <c r="B569" s="53" t="s">
        <v>362</v>
      </c>
      <c r="C569" s="29" t="s">
        <v>362</v>
      </c>
      <c r="D569" s="29" t="s">
        <v>362</v>
      </c>
      <c r="E569" s="29" t="s">
        <v>362</v>
      </c>
      <c r="F569" s="29" t="s">
        <v>362</v>
      </c>
      <c r="G569" s="29" t="s">
        <v>362</v>
      </c>
      <c r="H569" s="34" t="s">
        <v>362</v>
      </c>
      <c r="I569" s="178" t="s">
        <v>362</v>
      </c>
      <c r="J569" s="178" t="s">
        <v>362</v>
      </c>
      <c r="K569" s="178" t="s">
        <v>362</v>
      </c>
      <c r="L569" s="178" t="s">
        <v>362</v>
      </c>
      <c r="M569" s="178" t="s">
        <v>362</v>
      </c>
    </row>
  </sheetData>
  <autoFilter ref="B1:H1" xr:uid="{0A6AA95B-8FA1-43BF-96D4-C5F7BEAF96B1}"/>
  <mergeCells count="5">
    <mergeCell ref="C188:C231"/>
    <mergeCell ref="C2:C52"/>
    <mergeCell ref="C53:C98"/>
    <mergeCell ref="C99:C147"/>
    <mergeCell ref="C148:C187"/>
  </mergeCells>
  <conditionalFormatting sqref="F1:F456 F570:F10000">
    <cfRule type="cellIs" dxfId="65" priority="2" operator="equal">
      <formula>"WARNING"</formula>
    </cfRule>
    <cfRule type="cellIs" dxfId="64" priority="9" operator="equal">
      <formula>"REQ"</formula>
    </cfRule>
    <cfRule type="cellIs" dxfId="63" priority="10" operator="equal">
      <formula>"INC"</formula>
    </cfRule>
  </conditionalFormatting>
  <pageMargins left="0.3" right="0.3" top="0.3" bottom="0.3" header="0" footer="0"/>
  <pageSetup scale="53" fitToHeight="0" orientation="landscape"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C431A-A231-40ED-A264-6C4A113AD74D}">
  <sheetPr codeName="Hoja3">
    <tabColor rgb="FF0070C0"/>
    <pageSetUpPr fitToPage="1"/>
  </sheetPr>
  <dimension ref="A1:M469"/>
  <sheetViews>
    <sheetView showGridLines="0" zoomScale="90" zoomScaleNormal="90" workbookViewId="0">
      <pane ySplit="1" topLeftCell="A245" activePane="bottomLeft" state="frozen"/>
      <selection pane="bottomLeft" activeCell="H264" sqref="H264"/>
    </sheetView>
  </sheetViews>
  <sheetFormatPr baseColWidth="10" defaultColWidth="11" defaultRowHeight="17.25" x14ac:dyDescent="0.3"/>
  <cols>
    <col min="1" max="1" width="3.375" style="1" customWidth="1"/>
    <col min="2" max="2" width="13.375" style="11" customWidth="1"/>
    <col min="3" max="3" width="16.875" style="11" customWidth="1"/>
    <col min="4" max="4" width="29.125" style="2" customWidth="1"/>
    <col min="5" max="5" width="20.875" style="2" customWidth="1"/>
    <col min="6" max="6" width="15.125" style="2" bestFit="1" customWidth="1"/>
    <col min="7" max="7" width="82.375" style="37" customWidth="1"/>
    <col min="8" max="8" width="102.5" style="2" customWidth="1"/>
    <col min="9" max="9" width="17.75" style="1" customWidth="1"/>
    <col min="10" max="10" width="13.625" style="1" bestFit="1" customWidth="1"/>
    <col min="11" max="13" width="11" style="1" customWidth="1"/>
    <col min="14" max="14" width="11" style="2" customWidth="1"/>
    <col min="15" max="16384" width="11" style="2"/>
  </cols>
  <sheetData>
    <row r="1" spans="1:13" s="4" customFormat="1" ht="68.25" customHeight="1" x14ac:dyDescent="0.25">
      <c r="A1" s="3"/>
      <c r="B1" s="8" t="s">
        <v>16</v>
      </c>
      <c r="C1" s="8" t="s">
        <v>17</v>
      </c>
      <c r="D1" s="8" t="s">
        <v>18</v>
      </c>
      <c r="E1" s="8" t="s">
        <v>19</v>
      </c>
      <c r="F1" s="8" t="s">
        <v>20</v>
      </c>
      <c r="G1" s="35" t="s">
        <v>21</v>
      </c>
      <c r="H1" s="8" t="s">
        <v>22</v>
      </c>
      <c r="I1" s="280" t="s">
        <v>3266</v>
      </c>
      <c r="J1" s="280" t="s">
        <v>3269</v>
      </c>
      <c r="K1" s="3"/>
      <c r="L1" s="3"/>
      <c r="M1" s="3"/>
    </row>
    <row r="2" spans="1:13" customFormat="1" ht="15.75" x14ac:dyDescent="0.25">
      <c r="B2" s="13">
        <v>45748</v>
      </c>
      <c r="C2" s="9">
        <v>45748</v>
      </c>
      <c r="D2" s="199" t="s">
        <v>332</v>
      </c>
      <c r="E2" s="5" t="s">
        <v>396</v>
      </c>
      <c r="F2" s="6" t="s">
        <v>6</v>
      </c>
      <c r="G2" s="199" t="s">
        <v>397</v>
      </c>
      <c r="H2" s="5"/>
    </row>
    <row r="3" spans="1:13" customFormat="1" ht="15.75" x14ac:dyDescent="0.25">
      <c r="B3" s="13">
        <v>45749</v>
      </c>
      <c r="C3" s="9">
        <v>45749</v>
      </c>
      <c r="D3" s="199" t="s">
        <v>332</v>
      </c>
      <c r="E3" s="5" t="s">
        <v>396</v>
      </c>
      <c r="F3" s="6" t="s">
        <v>6</v>
      </c>
      <c r="G3" s="199" t="s">
        <v>397</v>
      </c>
      <c r="H3" s="5"/>
    </row>
    <row r="4" spans="1:13" customFormat="1" ht="15.75" x14ac:dyDescent="0.25">
      <c r="B4" s="13">
        <v>45750</v>
      </c>
      <c r="C4" s="9">
        <v>45750</v>
      </c>
      <c r="D4" s="199" t="s">
        <v>398</v>
      </c>
      <c r="E4" s="5" t="s">
        <v>396</v>
      </c>
      <c r="F4" s="6" t="s">
        <v>6</v>
      </c>
      <c r="G4" s="199" t="s">
        <v>399</v>
      </c>
      <c r="H4" s="199"/>
    </row>
    <row r="5" spans="1:13" customFormat="1" ht="15.75" x14ac:dyDescent="0.25">
      <c r="B5" s="13">
        <v>45751</v>
      </c>
      <c r="C5" s="9">
        <v>45751</v>
      </c>
      <c r="D5" s="199" t="s">
        <v>398</v>
      </c>
      <c r="E5" s="5" t="s">
        <v>396</v>
      </c>
      <c r="F5" s="39" t="s">
        <v>4</v>
      </c>
      <c r="G5" s="199" t="s">
        <v>399</v>
      </c>
      <c r="H5" s="5"/>
    </row>
    <row r="6" spans="1:13" customFormat="1" ht="15.75" x14ac:dyDescent="0.25">
      <c r="B6" s="13">
        <v>45754</v>
      </c>
      <c r="C6" s="9">
        <v>45752</v>
      </c>
      <c r="D6" s="199" t="s">
        <v>398</v>
      </c>
      <c r="E6" s="5" t="s">
        <v>396</v>
      </c>
      <c r="F6" s="6" t="s">
        <v>6</v>
      </c>
      <c r="G6" s="199" t="s">
        <v>399</v>
      </c>
      <c r="H6" s="5"/>
    </row>
    <row r="7" spans="1:13" customFormat="1" ht="15.75" x14ac:dyDescent="0.25">
      <c r="B7" s="13">
        <v>45755</v>
      </c>
      <c r="C7" s="9">
        <v>45753</v>
      </c>
      <c r="D7" s="199" t="s">
        <v>400</v>
      </c>
      <c r="E7" s="5" t="s">
        <v>396</v>
      </c>
      <c r="F7" s="6" t="s">
        <v>6</v>
      </c>
      <c r="G7" t="s">
        <v>401</v>
      </c>
      <c r="H7" s="5"/>
    </row>
    <row r="8" spans="1:13" customFormat="1" ht="15.75" x14ac:dyDescent="0.25">
      <c r="B8" s="13">
        <v>45756</v>
      </c>
      <c r="C8" s="9">
        <v>45754</v>
      </c>
      <c r="D8" s="199" t="s">
        <v>402</v>
      </c>
      <c r="E8" s="5" t="s">
        <v>396</v>
      </c>
      <c r="F8" s="6" t="s">
        <v>6</v>
      </c>
      <c r="G8" s="199" t="s">
        <v>403</v>
      </c>
      <c r="H8" s="5"/>
    </row>
    <row r="9" spans="1:13" customFormat="1" ht="15.75" x14ac:dyDescent="0.25">
      <c r="B9" s="13">
        <v>45757</v>
      </c>
      <c r="C9" s="9">
        <v>45755</v>
      </c>
      <c r="D9" s="199" t="s">
        <v>402</v>
      </c>
      <c r="E9" s="5" t="s">
        <v>396</v>
      </c>
      <c r="F9" s="6" t="s">
        <v>6</v>
      </c>
      <c r="G9" s="199" t="s">
        <v>403</v>
      </c>
      <c r="H9" s="5"/>
    </row>
    <row r="10" spans="1:13" customFormat="1" ht="15.75" x14ac:dyDescent="0.25">
      <c r="B10" s="13">
        <v>45758</v>
      </c>
      <c r="C10" s="9">
        <v>45756</v>
      </c>
      <c r="D10" s="199" t="s">
        <v>404</v>
      </c>
      <c r="E10" s="5" t="s">
        <v>396</v>
      </c>
      <c r="F10" s="6" t="s">
        <v>6</v>
      </c>
      <c r="G10" s="199" t="s">
        <v>405</v>
      </c>
      <c r="H10" s="5"/>
    </row>
    <row r="11" spans="1:13" customFormat="1" ht="15.75" x14ac:dyDescent="0.25">
      <c r="B11" s="13">
        <v>45761</v>
      </c>
      <c r="C11" s="9">
        <v>45757</v>
      </c>
      <c r="D11" s="199" t="s">
        <v>404</v>
      </c>
      <c r="E11" s="5" t="s">
        <v>396</v>
      </c>
      <c r="F11" s="6" t="s">
        <v>6</v>
      </c>
      <c r="G11" s="199" t="s">
        <v>405</v>
      </c>
      <c r="H11" s="5"/>
    </row>
    <row r="12" spans="1:13" x14ac:dyDescent="0.3">
      <c r="B12" s="13">
        <v>45762</v>
      </c>
      <c r="C12" s="9">
        <v>45758</v>
      </c>
      <c r="D12" s="199" t="s">
        <v>406</v>
      </c>
      <c r="E12" s="5" t="s">
        <v>396</v>
      </c>
      <c r="F12" s="6" t="s">
        <v>6</v>
      </c>
      <c r="G12" s="38" t="s">
        <v>407</v>
      </c>
      <c r="H12" s="7"/>
    </row>
    <row r="13" spans="1:13" x14ac:dyDescent="0.3">
      <c r="B13" s="13">
        <v>45763</v>
      </c>
      <c r="C13" s="9">
        <v>45759</v>
      </c>
      <c r="D13" s="199" t="s">
        <v>406</v>
      </c>
      <c r="E13" s="5" t="s">
        <v>396</v>
      </c>
      <c r="F13" s="6" t="s">
        <v>6</v>
      </c>
      <c r="G13" t="s">
        <v>408</v>
      </c>
      <c r="H13" s="7"/>
    </row>
    <row r="14" spans="1:13" x14ac:dyDescent="0.3">
      <c r="B14" s="13">
        <v>45764</v>
      </c>
      <c r="C14" s="9">
        <v>45760</v>
      </c>
      <c r="D14" s="199" t="s">
        <v>332</v>
      </c>
      <c r="E14" s="5" t="s">
        <v>396</v>
      </c>
      <c r="F14" s="6" t="s">
        <v>6</v>
      </c>
      <c r="G14" s="199" t="s">
        <v>409</v>
      </c>
      <c r="H14" s="7"/>
    </row>
    <row r="15" spans="1:13" x14ac:dyDescent="0.3">
      <c r="B15" s="13">
        <v>45765</v>
      </c>
      <c r="C15" s="9">
        <v>45761</v>
      </c>
      <c r="D15" s="199" t="s">
        <v>332</v>
      </c>
      <c r="E15" s="5" t="s">
        <v>396</v>
      </c>
      <c r="F15" s="6" t="s">
        <v>6</v>
      </c>
      <c r="G15" s="199" t="s">
        <v>409</v>
      </c>
      <c r="H15" s="7"/>
    </row>
    <row r="16" spans="1:13" x14ac:dyDescent="0.3">
      <c r="B16" s="13">
        <v>45767</v>
      </c>
      <c r="C16" s="9">
        <v>45762</v>
      </c>
      <c r="D16" s="199" t="s">
        <v>410</v>
      </c>
      <c r="E16" s="5" t="s">
        <v>396</v>
      </c>
      <c r="F16" s="6" t="s">
        <v>6</v>
      </c>
      <c r="G16" s="199" t="s">
        <v>411</v>
      </c>
      <c r="H16" s="7"/>
    </row>
    <row r="17" spans="2:8" x14ac:dyDescent="0.3">
      <c r="B17" s="13">
        <v>45768</v>
      </c>
      <c r="C17" s="9">
        <v>45763</v>
      </c>
      <c r="D17" s="199" t="s">
        <v>332</v>
      </c>
      <c r="E17" s="5" t="s">
        <v>396</v>
      </c>
      <c r="F17" s="6" t="s">
        <v>6</v>
      </c>
      <c r="G17" s="199" t="s">
        <v>412</v>
      </c>
      <c r="H17" s="7"/>
    </row>
    <row r="18" spans="2:8" x14ac:dyDescent="0.3">
      <c r="B18" s="13">
        <v>45769</v>
      </c>
      <c r="C18" s="9">
        <v>45764</v>
      </c>
      <c r="D18" s="199" t="s">
        <v>332</v>
      </c>
      <c r="E18" s="5" t="s">
        <v>396</v>
      </c>
      <c r="F18" s="6" t="s">
        <v>6</v>
      </c>
      <c r="G18" s="199" t="s">
        <v>412</v>
      </c>
      <c r="H18" s="7"/>
    </row>
    <row r="19" spans="2:8" x14ac:dyDescent="0.3">
      <c r="B19" s="13">
        <v>45770</v>
      </c>
      <c r="C19" s="9">
        <v>45765</v>
      </c>
      <c r="D19" s="199" t="s">
        <v>413</v>
      </c>
      <c r="E19" s="5" t="s">
        <v>396</v>
      </c>
      <c r="F19" s="6" t="s">
        <v>6</v>
      </c>
      <c r="G19" s="199" t="s">
        <v>414</v>
      </c>
      <c r="H19" s="7"/>
    </row>
    <row r="20" spans="2:8" x14ac:dyDescent="0.3">
      <c r="B20" s="13">
        <v>45771</v>
      </c>
      <c r="C20" s="9">
        <v>45766</v>
      </c>
      <c r="D20" s="199" t="s">
        <v>413</v>
      </c>
      <c r="E20" s="5" t="s">
        <v>396</v>
      </c>
      <c r="F20" s="6" t="s">
        <v>6</v>
      </c>
      <c r="G20" s="199" t="s">
        <v>414</v>
      </c>
      <c r="H20" s="7"/>
    </row>
    <row r="21" spans="2:8" x14ac:dyDescent="0.3">
      <c r="B21" s="13">
        <v>45772</v>
      </c>
      <c r="C21" s="9">
        <v>45767</v>
      </c>
      <c r="D21" s="199" t="s">
        <v>413</v>
      </c>
      <c r="E21" s="5" t="s">
        <v>396</v>
      </c>
      <c r="F21" s="6" t="s">
        <v>6</v>
      </c>
      <c r="G21" s="199" t="s">
        <v>415</v>
      </c>
      <c r="H21" s="7"/>
    </row>
    <row r="22" spans="2:8" x14ac:dyDescent="0.3">
      <c r="B22" s="13">
        <v>45775</v>
      </c>
      <c r="C22" s="9">
        <v>45768</v>
      </c>
      <c r="D22" s="199" t="s">
        <v>416</v>
      </c>
      <c r="E22" s="5" t="s">
        <v>396</v>
      </c>
      <c r="F22" s="6" t="s">
        <v>6</v>
      </c>
      <c r="G22" s="199" t="s">
        <v>417</v>
      </c>
      <c r="H22" s="7"/>
    </row>
    <row r="23" spans="2:8" x14ac:dyDescent="0.3">
      <c r="B23" s="13">
        <v>45776</v>
      </c>
      <c r="C23" s="9">
        <v>45769</v>
      </c>
      <c r="D23" s="199" t="s">
        <v>413</v>
      </c>
      <c r="E23" s="5" t="s">
        <v>396</v>
      </c>
      <c r="F23" s="6" t="s">
        <v>6</v>
      </c>
      <c r="G23" s="199" t="s">
        <v>415</v>
      </c>
      <c r="H23" s="7"/>
    </row>
    <row r="24" spans="2:8" x14ac:dyDescent="0.3">
      <c r="B24" s="13">
        <v>45777</v>
      </c>
      <c r="C24" s="9">
        <v>45770</v>
      </c>
      <c r="D24" s="199" t="s">
        <v>416</v>
      </c>
      <c r="E24" s="5" t="s">
        <v>396</v>
      </c>
      <c r="F24" s="6" t="s">
        <v>6</v>
      </c>
      <c r="G24" s="41" t="s">
        <v>418</v>
      </c>
      <c r="H24" s="7"/>
    </row>
    <row r="25" spans="2:8" x14ac:dyDescent="0.3">
      <c r="B25" s="13">
        <v>45779</v>
      </c>
      <c r="C25" s="9">
        <v>45778</v>
      </c>
      <c r="D25" s="199" t="s">
        <v>419</v>
      </c>
      <c r="E25" s="5" t="s">
        <v>396</v>
      </c>
      <c r="F25" s="6" t="s">
        <v>6</v>
      </c>
      <c r="G25" s="199" t="s">
        <v>420</v>
      </c>
      <c r="H25" s="7"/>
    </row>
    <row r="26" spans="2:8" x14ac:dyDescent="0.3">
      <c r="B26" s="13">
        <v>45782</v>
      </c>
      <c r="C26" s="9">
        <v>45779</v>
      </c>
      <c r="D26" s="199" t="s">
        <v>419</v>
      </c>
      <c r="E26" s="5" t="s">
        <v>396</v>
      </c>
      <c r="F26" s="6" t="s">
        <v>6</v>
      </c>
      <c r="G26" s="199" t="s">
        <v>421</v>
      </c>
      <c r="H26" s="7"/>
    </row>
    <row r="27" spans="2:8" x14ac:dyDescent="0.3">
      <c r="B27" s="13">
        <v>45783</v>
      </c>
      <c r="C27" s="9">
        <v>45780</v>
      </c>
      <c r="D27" s="199" t="s">
        <v>419</v>
      </c>
      <c r="E27" s="5" t="s">
        <v>396</v>
      </c>
      <c r="F27" s="6" t="s">
        <v>6</v>
      </c>
      <c r="G27" s="199" t="s">
        <v>422</v>
      </c>
      <c r="H27" s="7"/>
    </row>
    <row r="28" spans="2:8" x14ac:dyDescent="0.3">
      <c r="B28" s="13">
        <v>45784</v>
      </c>
      <c r="C28" s="9">
        <v>45781</v>
      </c>
      <c r="D28" s="199" t="s">
        <v>419</v>
      </c>
      <c r="E28" s="5" t="s">
        <v>396</v>
      </c>
      <c r="F28" s="6" t="s">
        <v>6</v>
      </c>
      <c r="G28" s="199" t="s">
        <v>423</v>
      </c>
      <c r="H28" s="7"/>
    </row>
    <row r="29" spans="2:8" x14ac:dyDescent="0.3">
      <c r="B29" s="13">
        <v>45785</v>
      </c>
      <c r="C29" s="9">
        <v>45782</v>
      </c>
      <c r="D29" s="199" t="s">
        <v>419</v>
      </c>
      <c r="E29" s="5" t="s">
        <v>396</v>
      </c>
      <c r="F29" s="6" t="s">
        <v>6</v>
      </c>
      <c r="G29" s="199" t="s">
        <v>423</v>
      </c>
      <c r="H29" s="7"/>
    </row>
    <row r="30" spans="2:8" x14ac:dyDescent="0.3">
      <c r="B30" s="13">
        <v>45786</v>
      </c>
      <c r="C30" s="9">
        <v>45783</v>
      </c>
      <c r="D30" s="199" t="s">
        <v>419</v>
      </c>
      <c r="E30" s="5" t="s">
        <v>396</v>
      </c>
      <c r="F30" s="6" t="s">
        <v>6</v>
      </c>
      <c r="G30" s="199" t="s">
        <v>424</v>
      </c>
      <c r="H30" s="7"/>
    </row>
    <row r="31" spans="2:8" x14ac:dyDescent="0.3">
      <c r="B31" s="13">
        <v>45789</v>
      </c>
      <c r="C31" s="9">
        <v>45784</v>
      </c>
      <c r="D31" s="199" t="s">
        <v>419</v>
      </c>
      <c r="E31" s="5" t="s">
        <v>396</v>
      </c>
      <c r="F31" s="6" t="s">
        <v>6</v>
      </c>
      <c r="G31" s="199" t="s">
        <v>425</v>
      </c>
      <c r="H31" s="7"/>
    </row>
    <row r="32" spans="2:8" x14ac:dyDescent="0.3">
      <c r="B32" s="13">
        <v>45790</v>
      </c>
      <c r="C32" s="9">
        <v>45785</v>
      </c>
      <c r="D32" s="199" t="s">
        <v>419</v>
      </c>
      <c r="E32" s="5" t="s">
        <v>396</v>
      </c>
      <c r="F32" s="6" t="s">
        <v>6</v>
      </c>
      <c r="G32" s="199" t="s">
        <v>426</v>
      </c>
      <c r="H32" s="7"/>
    </row>
    <row r="33" spans="2:8" x14ac:dyDescent="0.3">
      <c r="B33" s="13">
        <v>45791</v>
      </c>
      <c r="C33" s="9">
        <v>45786</v>
      </c>
      <c r="D33" s="199" t="s">
        <v>419</v>
      </c>
      <c r="E33" s="5" t="s">
        <v>396</v>
      </c>
      <c r="F33" s="6" t="s">
        <v>6</v>
      </c>
      <c r="G33" s="199" t="s">
        <v>426</v>
      </c>
      <c r="H33" s="7"/>
    </row>
    <row r="34" spans="2:8" x14ac:dyDescent="0.3">
      <c r="B34" s="13">
        <v>45792</v>
      </c>
      <c r="C34" s="9">
        <v>45787</v>
      </c>
      <c r="D34" s="199" t="s">
        <v>419</v>
      </c>
      <c r="E34" s="5" t="s">
        <v>396</v>
      </c>
      <c r="F34" s="6" t="s">
        <v>6</v>
      </c>
      <c r="G34" s="199" t="s">
        <v>427</v>
      </c>
      <c r="H34" s="7"/>
    </row>
    <row r="35" spans="2:8" x14ac:dyDescent="0.3">
      <c r="B35" s="13">
        <v>45793</v>
      </c>
      <c r="C35" s="9">
        <v>45788</v>
      </c>
      <c r="D35" s="199" t="s">
        <v>419</v>
      </c>
      <c r="E35" s="5" t="s">
        <v>396</v>
      </c>
      <c r="F35" s="6" t="s">
        <v>6</v>
      </c>
      <c r="G35" s="199" t="s">
        <v>428</v>
      </c>
      <c r="H35" s="7"/>
    </row>
    <row r="36" spans="2:8" x14ac:dyDescent="0.3">
      <c r="B36" s="13">
        <v>45796</v>
      </c>
      <c r="C36" s="9">
        <v>45789</v>
      </c>
      <c r="D36" s="199" t="s">
        <v>419</v>
      </c>
      <c r="E36" s="5" t="s">
        <v>396</v>
      </c>
      <c r="F36" s="6" t="s">
        <v>6</v>
      </c>
      <c r="G36" s="199" t="s">
        <v>429</v>
      </c>
      <c r="H36" s="7"/>
    </row>
    <row r="37" spans="2:8" x14ac:dyDescent="0.3">
      <c r="B37" s="13">
        <v>45797</v>
      </c>
      <c r="C37" s="9">
        <v>45790</v>
      </c>
      <c r="D37" s="199" t="s">
        <v>419</v>
      </c>
      <c r="E37" s="5" t="s">
        <v>396</v>
      </c>
      <c r="F37" s="6" t="s">
        <v>6</v>
      </c>
      <c r="G37" s="199" t="s">
        <v>430</v>
      </c>
      <c r="H37" s="7"/>
    </row>
    <row r="38" spans="2:8" x14ac:dyDescent="0.3">
      <c r="B38" s="13">
        <v>45799</v>
      </c>
      <c r="C38" s="9">
        <v>45791</v>
      </c>
      <c r="D38" s="199" t="s">
        <v>419</v>
      </c>
      <c r="E38" s="5" t="s">
        <v>396</v>
      </c>
      <c r="F38" s="6" t="s">
        <v>6</v>
      </c>
      <c r="G38" s="199" t="s">
        <v>431</v>
      </c>
      <c r="H38" s="7"/>
    </row>
    <row r="39" spans="2:8" x14ac:dyDescent="0.3">
      <c r="B39" s="13">
        <v>45800</v>
      </c>
      <c r="C39" s="9">
        <v>45792</v>
      </c>
      <c r="D39" s="199" t="s">
        <v>419</v>
      </c>
      <c r="E39" s="5" t="s">
        <v>396</v>
      </c>
      <c r="F39" s="6" t="s">
        <v>6</v>
      </c>
      <c r="G39" s="199" t="s">
        <v>432</v>
      </c>
      <c r="H39" s="7"/>
    </row>
    <row r="40" spans="2:8" x14ac:dyDescent="0.3">
      <c r="B40" s="13">
        <v>45803</v>
      </c>
      <c r="C40" s="9">
        <v>45793</v>
      </c>
      <c r="D40" s="199" t="s">
        <v>419</v>
      </c>
      <c r="E40" s="5" t="s">
        <v>396</v>
      </c>
      <c r="F40" s="6" t="s">
        <v>6</v>
      </c>
      <c r="G40" s="199" t="s">
        <v>433</v>
      </c>
      <c r="H40" s="7"/>
    </row>
    <row r="41" spans="2:8" x14ac:dyDescent="0.3">
      <c r="B41" s="13">
        <v>45804</v>
      </c>
      <c r="C41" s="9">
        <v>45794</v>
      </c>
      <c r="D41" s="199" t="s">
        <v>419</v>
      </c>
      <c r="E41" s="5" t="s">
        <v>396</v>
      </c>
      <c r="F41" s="6" t="s">
        <v>6</v>
      </c>
      <c r="G41" s="199" t="s">
        <v>434</v>
      </c>
      <c r="H41" s="7"/>
    </row>
    <row r="42" spans="2:8" x14ac:dyDescent="0.3">
      <c r="B42" s="13">
        <v>45805</v>
      </c>
      <c r="C42" s="9">
        <v>45795</v>
      </c>
      <c r="D42" s="199" t="s">
        <v>419</v>
      </c>
      <c r="E42" s="5" t="s">
        <v>396</v>
      </c>
      <c r="F42" s="6" t="s">
        <v>6</v>
      </c>
      <c r="G42" s="199" t="s">
        <v>435</v>
      </c>
      <c r="H42" s="7"/>
    </row>
    <row r="43" spans="2:8" x14ac:dyDescent="0.3">
      <c r="B43" s="13">
        <v>45806</v>
      </c>
      <c r="C43" s="9">
        <v>45796</v>
      </c>
      <c r="D43" s="199" t="s">
        <v>419</v>
      </c>
      <c r="E43" s="5" t="s">
        <v>396</v>
      </c>
      <c r="F43" s="6" t="s">
        <v>6</v>
      </c>
      <c r="G43" s="199" t="s">
        <v>432</v>
      </c>
      <c r="H43" s="7"/>
    </row>
    <row r="44" spans="2:8" x14ac:dyDescent="0.3">
      <c r="B44" s="13">
        <v>45807</v>
      </c>
      <c r="C44" s="9">
        <v>45797</v>
      </c>
      <c r="D44" s="199" t="s">
        <v>419</v>
      </c>
      <c r="E44" s="5" t="s">
        <v>396</v>
      </c>
      <c r="F44" s="6" t="s">
        <v>6</v>
      </c>
      <c r="G44" s="199" t="s">
        <v>436</v>
      </c>
      <c r="H44" s="7"/>
    </row>
    <row r="45" spans="2:8" x14ac:dyDescent="0.3">
      <c r="B45" s="13">
        <v>45810</v>
      </c>
      <c r="C45" s="9">
        <v>45809</v>
      </c>
      <c r="D45" s="199" t="s">
        <v>419</v>
      </c>
      <c r="E45" s="5" t="s">
        <v>396</v>
      </c>
      <c r="F45" s="6" t="s">
        <v>6</v>
      </c>
      <c r="G45" s="199" t="s">
        <v>436</v>
      </c>
      <c r="H45" s="7"/>
    </row>
    <row r="46" spans="2:8" x14ac:dyDescent="0.3">
      <c r="B46" s="13">
        <v>45811</v>
      </c>
      <c r="C46" s="9">
        <v>45810</v>
      </c>
      <c r="D46" s="199" t="s">
        <v>419</v>
      </c>
      <c r="E46" s="5" t="s">
        <v>396</v>
      </c>
      <c r="F46" s="6" t="s">
        <v>6</v>
      </c>
      <c r="G46" s="199" t="s">
        <v>436</v>
      </c>
      <c r="H46" s="7"/>
    </row>
    <row r="47" spans="2:8" x14ac:dyDescent="0.3">
      <c r="B47" s="13">
        <v>45812</v>
      </c>
      <c r="C47" s="9">
        <v>45811</v>
      </c>
      <c r="D47" s="199" t="s">
        <v>419</v>
      </c>
      <c r="E47" s="5" t="s">
        <v>396</v>
      </c>
      <c r="F47" s="6" t="s">
        <v>6</v>
      </c>
      <c r="G47" s="199" t="s">
        <v>437</v>
      </c>
      <c r="H47" s="7"/>
    </row>
    <row r="48" spans="2:8" x14ac:dyDescent="0.3">
      <c r="B48" s="13">
        <v>45813</v>
      </c>
      <c r="C48" s="9">
        <v>45812</v>
      </c>
      <c r="D48" s="199" t="s">
        <v>419</v>
      </c>
      <c r="E48" s="5" t="s">
        <v>396</v>
      </c>
      <c r="F48" s="6" t="s">
        <v>6</v>
      </c>
      <c r="G48" s="199" t="s">
        <v>438</v>
      </c>
      <c r="H48" s="7"/>
    </row>
    <row r="49" spans="2:8" x14ac:dyDescent="0.3">
      <c r="B49" s="13">
        <v>45814</v>
      </c>
      <c r="C49" s="9">
        <v>45813</v>
      </c>
      <c r="D49" s="199" t="s">
        <v>419</v>
      </c>
      <c r="E49" s="5" t="s">
        <v>396</v>
      </c>
      <c r="F49" s="6" t="s">
        <v>6</v>
      </c>
      <c r="G49" s="199" t="s">
        <v>439</v>
      </c>
      <c r="H49" s="7"/>
    </row>
    <row r="50" spans="2:8" x14ac:dyDescent="0.3">
      <c r="B50" s="13">
        <v>45817</v>
      </c>
      <c r="C50" s="9">
        <v>45814</v>
      </c>
      <c r="D50" s="199" t="s">
        <v>419</v>
      </c>
      <c r="E50" s="5" t="s">
        <v>396</v>
      </c>
      <c r="F50" s="6" t="s">
        <v>6</v>
      </c>
      <c r="G50" s="199" t="s">
        <v>440</v>
      </c>
      <c r="H50" s="7"/>
    </row>
    <row r="51" spans="2:8" x14ac:dyDescent="0.3">
      <c r="B51" s="13">
        <v>45818</v>
      </c>
      <c r="C51" s="9">
        <v>45815</v>
      </c>
      <c r="D51" s="199" t="s">
        <v>441</v>
      </c>
      <c r="E51" s="5" t="s">
        <v>396</v>
      </c>
      <c r="F51" s="6" t="s">
        <v>6</v>
      </c>
      <c r="G51" s="199" t="s">
        <v>442</v>
      </c>
      <c r="H51" s="7"/>
    </row>
    <row r="52" spans="2:8" x14ac:dyDescent="0.3">
      <c r="B52" s="13">
        <v>45819</v>
      </c>
      <c r="C52" s="9">
        <v>45816</v>
      </c>
      <c r="D52" s="199" t="s">
        <v>441</v>
      </c>
      <c r="E52" s="5" t="s">
        <v>396</v>
      </c>
      <c r="F52" s="6" t="s">
        <v>6</v>
      </c>
      <c r="G52" s="199" t="s">
        <v>442</v>
      </c>
      <c r="H52" s="7"/>
    </row>
    <row r="53" spans="2:8" x14ac:dyDescent="0.3">
      <c r="B53" s="13">
        <v>45820</v>
      </c>
      <c r="C53" s="9">
        <v>45817</v>
      </c>
      <c r="D53" s="199" t="s">
        <v>443</v>
      </c>
      <c r="E53" s="5" t="s">
        <v>396</v>
      </c>
      <c r="F53" s="6" t="s">
        <v>6</v>
      </c>
      <c r="G53" s="60" t="s">
        <v>444</v>
      </c>
      <c r="H53" s="7"/>
    </row>
    <row r="54" spans="2:8" x14ac:dyDescent="0.3">
      <c r="B54" s="13">
        <v>45821</v>
      </c>
      <c r="C54" s="9">
        <v>45818</v>
      </c>
      <c r="D54" s="199" t="s">
        <v>443</v>
      </c>
      <c r="E54" s="5" t="s">
        <v>396</v>
      </c>
      <c r="F54" s="6" t="s">
        <v>6</v>
      </c>
      <c r="G54" s="199" t="s">
        <v>445</v>
      </c>
      <c r="H54" s="7"/>
    </row>
    <row r="55" spans="2:8" x14ac:dyDescent="0.3">
      <c r="B55" s="13">
        <v>45824</v>
      </c>
      <c r="C55" s="9">
        <v>45819</v>
      </c>
      <c r="D55" s="199" t="s">
        <v>446</v>
      </c>
      <c r="E55" s="5" t="s">
        <v>396</v>
      </c>
      <c r="F55" s="6" t="s">
        <v>6</v>
      </c>
      <c r="G55" s="199" t="s">
        <v>447</v>
      </c>
      <c r="H55" s="7"/>
    </row>
    <row r="56" spans="2:8" x14ac:dyDescent="0.3">
      <c r="B56" s="13">
        <v>45825</v>
      </c>
      <c r="C56" s="9">
        <v>45820</v>
      </c>
      <c r="D56" s="199" t="s">
        <v>446</v>
      </c>
      <c r="E56" s="5" t="s">
        <v>396</v>
      </c>
      <c r="F56" s="6" t="s">
        <v>6</v>
      </c>
      <c r="G56" s="199" t="s">
        <v>448</v>
      </c>
      <c r="H56" s="7"/>
    </row>
    <row r="57" spans="2:8" x14ac:dyDescent="0.3">
      <c r="B57" s="13">
        <v>45826</v>
      </c>
      <c r="C57" s="9">
        <v>45821</v>
      </c>
      <c r="D57" s="199" t="s">
        <v>446</v>
      </c>
      <c r="E57" s="5" t="s">
        <v>396</v>
      </c>
      <c r="F57" s="6" t="s">
        <v>6</v>
      </c>
      <c r="G57" s="199" t="s">
        <v>449</v>
      </c>
      <c r="H57" s="7"/>
    </row>
    <row r="58" spans="2:8" x14ac:dyDescent="0.3">
      <c r="B58" s="13">
        <v>45827</v>
      </c>
      <c r="C58" s="9">
        <v>45822</v>
      </c>
      <c r="D58" s="199" t="s">
        <v>446</v>
      </c>
      <c r="E58" s="5" t="s">
        <v>396</v>
      </c>
      <c r="F58" s="6" t="s">
        <v>6</v>
      </c>
      <c r="G58" s="199" t="s">
        <v>449</v>
      </c>
      <c r="H58" s="7"/>
    </row>
    <row r="59" spans="2:8" x14ac:dyDescent="0.3">
      <c r="B59" s="13">
        <v>45831</v>
      </c>
      <c r="C59" s="9">
        <v>45823</v>
      </c>
      <c r="D59" s="199" t="s">
        <v>450</v>
      </c>
      <c r="E59" s="5" t="s">
        <v>396</v>
      </c>
      <c r="F59" s="39" t="s">
        <v>4</v>
      </c>
      <c r="G59" s="199" t="s">
        <v>451</v>
      </c>
      <c r="H59" s="7"/>
    </row>
    <row r="60" spans="2:8" x14ac:dyDescent="0.3">
      <c r="B60" s="13">
        <v>45832</v>
      </c>
      <c r="C60" s="9">
        <v>45824</v>
      </c>
      <c r="D60" s="199" t="s">
        <v>446</v>
      </c>
      <c r="E60" s="5" t="s">
        <v>396</v>
      </c>
      <c r="F60" s="6" t="s">
        <v>6</v>
      </c>
      <c r="G60" s="199" t="s">
        <v>448</v>
      </c>
      <c r="H60" s="7"/>
    </row>
    <row r="61" spans="2:8" x14ac:dyDescent="0.3">
      <c r="B61" s="13">
        <v>45833</v>
      </c>
      <c r="C61" s="9">
        <v>45814</v>
      </c>
      <c r="D61" s="199" t="s">
        <v>446</v>
      </c>
      <c r="E61" s="5" t="s">
        <v>396</v>
      </c>
      <c r="F61" s="6" t="s">
        <v>6</v>
      </c>
      <c r="G61" s="199" t="s">
        <v>452</v>
      </c>
      <c r="H61" s="7"/>
    </row>
    <row r="62" spans="2:8" x14ac:dyDescent="0.3">
      <c r="B62" s="13">
        <v>45834</v>
      </c>
      <c r="C62" s="9">
        <v>45815</v>
      </c>
      <c r="D62" s="199" t="s">
        <v>446</v>
      </c>
      <c r="E62" s="5" t="s">
        <v>396</v>
      </c>
      <c r="F62" s="6" t="s">
        <v>6</v>
      </c>
      <c r="G62" s="199" t="s">
        <v>453</v>
      </c>
      <c r="H62" s="7"/>
    </row>
    <row r="63" spans="2:8" x14ac:dyDescent="0.3">
      <c r="B63" s="13">
        <v>45835</v>
      </c>
      <c r="C63" s="9">
        <v>45816</v>
      </c>
      <c r="D63" s="199" t="s">
        <v>446</v>
      </c>
      <c r="E63" s="5" t="s">
        <v>396</v>
      </c>
      <c r="F63" s="6" t="s">
        <v>6</v>
      </c>
      <c r="G63" s="199" t="s">
        <v>452</v>
      </c>
      <c r="H63" s="7"/>
    </row>
    <row r="64" spans="2:8" x14ac:dyDescent="0.3">
      <c r="B64" s="13">
        <v>45837</v>
      </c>
      <c r="C64" s="9">
        <v>45815</v>
      </c>
      <c r="D64" s="199" t="s">
        <v>446</v>
      </c>
      <c r="E64" s="5" t="s">
        <v>396</v>
      </c>
      <c r="F64" s="6" t="s">
        <v>6</v>
      </c>
      <c r="G64" s="199" t="s">
        <v>452</v>
      </c>
      <c r="H64" s="7"/>
    </row>
    <row r="65" spans="2:8" x14ac:dyDescent="0.3">
      <c r="B65" s="13">
        <v>45838</v>
      </c>
      <c r="C65" s="9">
        <v>45816</v>
      </c>
      <c r="D65" s="199" t="s">
        <v>446</v>
      </c>
      <c r="E65" s="5" t="s">
        <v>396</v>
      </c>
      <c r="F65" s="6" t="s">
        <v>6</v>
      </c>
      <c r="G65" s="199" t="s">
        <v>453</v>
      </c>
      <c r="H65" s="7"/>
    </row>
    <row r="66" spans="2:8" x14ac:dyDescent="0.3">
      <c r="B66" s="13">
        <v>45839</v>
      </c>
      <c r="C66" s="9">
        <v>45839</v>
      </c>
      <c r="D66" s="199" t="s">
        <v>454</v>
      </c>
      <c r="E66" s="5" t="s">
        <v>396</v>
      </c>
      <c r="F66" s="6" t="s">
        <v>6</v>
      </c>
      <c r="G66" s="199" t="s">
        <v>455</v>
      </c>
      <c r="H66" s="7"/>
    </row>
    <row r="67" spans="2:8" x14ac:dyDescent="0.3">
      <c r="B67" s="13">
        <v>45840</v>
      </c>
      <c r="C67" s="9">
        <v>45840</v>
      </c>
      <c r="D67" s="199" t="s">
        <v>454</v>
      </c>
      <c r="E67" s="5" t="s">
        <v>396</v>
      </c>
      <c r="F67" s="6" t="s">
        <v>6</v>
      </c>
      <c r="G67" s="199" t="s">
        <v>456</v>
      </c>
      <c r="H67" s="7"/>
    </row>
    <row r="68" spans="2:8" x14ac:dyDescent="0.3">
      <c r="B68" s="13">
        <v>45841</v>
      </c>
      <c r="C68" s="9">
        <v>45841</v>
      </c>
      <c r="D68" s="199" t="s">
        <v>454</v>
      </c>
      <c r="E68" s="5" t="s">
        <v>396</v>
      </c>
      <c r="F68" s="6" t="s">
        <v>6</v>
      </c>
      <c r="G68" s="199" t="s">
        <v>457</v>
      </c>
      <c r="H68" s="7"/>
    </row>
    <row r="69" spans="2:8" x14ac:dyDescent="0.3">
      <c r="B69" s="13">
        <v>45842</v>
      </c>
      <c r="C69" s="9">
        <v>45842</v>
      </c>
      <c r="D69" s="199" t="s">
        <v>406</v>
      </c>
      <c r="E69" s="5" t="s">
        <v>396</v>
      </c>
      <c r="F69" s="6" t="s">
        <v>6</v>
      </c>
      <c r="G69" s="199" t="s">
        <v>458</v>
      </c>
      <c r="H69" s="7"/>
    </row>
    <row r="70" spans="2:8" x14ac:dyDescent="0.3">
      <c r="B70" s="13">
        <v>45845</v>
      </c>
      <c r="C70" s="9">
        <v>45843</v>
      </c>
      <c r="D70" s="199" t="s">
        <v>446</v>
      </c>
      <c r="E70" s="5" t="s">
        <v>396</v>
      </c>
      <c r="F70" s="6" t="s">
        <v>6</v>
      </c>
      <c r="G70" s="199" t="s">
        <v>459</v>
      </c>
      <c r="H70" s="7"/>
    </row>
    <row r="71" spans="2:8" x14ac:dyDescent="0.3">
      <c r="B71" s="13">
        <v>45846</v>
      </c>
      <c r="C71" s="9">
        <v>45844</v>
      </c>
      <c r="D71" s="199" t="s">
        <v>446</v>
      </c>
      <c r="E71" s="5" t="s">
        <v>396</v>
      </c>
      <c r="F71" s="6" t="s">
        <v>6</v>
      </c>
      <c r="G71" s="199" t="s">
        <v>459</v>
      </c>
      <c r="H71" s="7"/>
    </row>
    <row r="72" spans="2:8" x14ac:dyDescent="0.3">
      <c r="B72" s="13">
        <v>45847</v>
      </c>
      <c r="C72" s="9">
        <v>45845</v>
      </c>
      <c r="D72" s="199" t="s">
        <v>406</v>
      </c>
      <c r="E72" s="5" t="s">
        <v>396</v>
      </c>
      <c r="F72" s="6" t="s">
        <v>6</v>
      </c>
      <c r="G72" s="199" t="s">
        <v>460</v>
      </c>
      <c r="H72" s="7"/>
    </row>
    <row r="73" spans="2:8" x14ac:dyDescent="0.3">
      <c r="B73" s="13">
        <v>45848</v>
      </c>
      <c r="C73" s="9">
        <v>45846</v>
      </c>
      <c r="D73" s="199" t="s">
        <v>406</v>
      </c>
      <c r="E73" s="5" t="s">
        <v>396</v>
      </c>
      <c r="F73" s="6" t="s">
        <v>6</v>
      </c>
      <c r="G73" s="199" t="s">
        <v>461</v>
      </c>
      <c r="H73" s="7"/>
    </row>
    <row r="74" spans="2:8" x14ac:dyDescent="0.3">
      <c r="B74" s="13">
        <v>45849</v>
      </c>
      <c r="C74" s="9">
        <v>45847</v>
      </c>
      <c r="D74" s="199" t="s">
        <v>406</v>
      </c>
      <c r="E74" s="5" t="s">
        <v>396</v>
      </c>
      <c r="F74" s="6" t="s">
        <v>6</v>
      </c>
      <c r="G74" s="199" t="s">
        <v>461</v>
      </c>
      <c r="H74" s="7"/>
    </row>
    <row r="75" spans="2:8" x14ac:dyDescent="0.3">
      <c r="B75" s="13">
        <v>45852</v>
      </c>
      <c r="C75" s="9">
        <v>45848</v>
      </c>
      <c r="D75" s="199" t="s">
        <v>462</v>
      </c>
      <c r="E75" s="5" t="s">
        <v>396</v>
      </c>
      <c r="F75" s="6" t="s">
        <v>6</v>
      </c>
      <c r="G75" s="199" t="s">
        <v>461</v>
      </c>
      <c r="H75" s="7"/>
    </row>
    <row r="76" spans="2:8" x14ac:dyDescent="0.3">
      <c r="B76" s="13">
        <v>45853</v>
      </c>
      <c r="C76" s="9">
        <v>45849</v>
      </c>
      <c r="D76" s="199" t="s">
        <v>462</v>
      </c>
      <c r="E76" s="5" t="s">
        <v>396</v>
      </c>
      <c r="F76" s="6" t="s">
        <v>6</v>
      </c>
      <c r="G76" s="199" t="s">
        <v>463</v>
      </c>
      <c r="H76" s="7"/>
    </row>
    <row r="77" spans="2:8" x14ac:dyDescent="0.3">
      <c r="B77" s="13">
        <v>45855</v>
      </c>
      <c r="C77" s="9">
        <v>45850</v>
      </c>
      <c r="D77" s="199" t="s">
        <v>406</v>
      </c>
      <c r="E77" s="5" t="s">
        <v>396</v>
      </c>
      <c r="F77" s="6" t="s">
        <v>6</v>
      </c>
      <c r="G77" s="199" t="s">
        <v>464</v>
      </c>
      <c r="H77" s="7"/>
    </row>
    <row r="78" spans="2:8" x14ac:dyDescent="0.3">
      <c r="B78" s="13">
        <v>45856</v>
      </c>
      <c r="C78" s="9">
        <v>45851</v>
      </c>
      <c r="D78" s="199" t="s">
        <v>406</v>
      </c>
      <c r="E78" s="5" t="s">
        <v>396</v>
      </c>
      <c r="F78" s="6" t="s">
        <v>6</v>
      </c>
      <c r="G78" s="199" t="s">
        <v>461</v>
      </c>
      <c r="H78" s="7"/>
    </row>
    <row r="79" spans="2:8" x14ac:dyDescent="0.3">
      <c r="B79" s="13">
        <v>45859</v>
      </c>
      <c r="C79" s="9">
        <v>45852</v>
      </c>
      <c r="D79" s="199" t="s">
        <v>406</v>
      </c>
      <c r="E79" s="5" t="s">
        <v>396</v>
      </c>
      <c r="F79" s="6" t="s">
        <v>6</v>
      </c>
      <c r="G79" s="199" t="s">
        <v>461</v>
      </c>
      <c r="H79" s="7"/>
    </row>
    <row r="80" spans="2:8" x14ac:dyDescent="0.3">
      <c r="B80" s="13">
        <v>45860</v>
      </c>
      <c r="C80" s="9">
        <v>45853</v>
      </c>
      <c r="D80" s="199" t="s">
        <v>465</v>
      </c>
      <c r="E80" s="5" t="s">
        <v>396</v>
      </c>
      <c r="F80" s="6" t="s">
        <v>6</v>
      </c>
      <c r="G80" s="199" t="s">
        <v>466</v>
      </c>
      <c r="H80" s="7"/>
    </row>
    <row r="81" spans="2:8" x14ac:dyDescent="0.3">
      <c r="B81" s="13">
        <v>45861</v>
      </c>
      <c r="C81" s="9">
        <v>45854</v>
      </c>
      <c r="D81" s="199" t="s">
        <v>462</v>
      </c>
      <c r="E81" s="5" t="s">
        <v>396</v>
      </c>
      <c r="F81" s="6" t="s">
        <v>6</v>
      </c>
      <c r="G81" s="199" t="s">
        <v>467</v>
      </c>
      <c r="H81" s="7"/>
    </row>
    <row r="82" spans="2:8" x14ac:dyDescent="0.3">
      <c r="B82" s="13">
        <v>45862</v>
      </c>
      <c r="C82" s="9">
        <v>45855</v>
      </c>
      <c r="D82" s="199" t="s">
        <v>419</v>
      </c>
      <c r="E82" s="5" t="s">
        <v>396</v>
      </c>
      <c r="F82" s="6" t="s">
        <v>6</v>
      </c>
      <c r="G82" s="199" t="s">
        <v>468</v>
      </c>
      <c r="H82" s="7"/>
    </row>
    <row r="83" spans="2:8" x14ac:dyDescent="0.3">
      <c r="B83" s="13">
        <v>45863</v>
      </c>
      <c r="C83" s="9">
        <v>45856</v>
      </c>
      <c r="D83" s="199" t="s">
        <v>419</v>
      </c>
      <c r="E83" s="5" t="s">
        <v>396</v>
      </c>
      <c r="F83" s="6" t="s">
        <v>6</v>
      </c>
      <c r="G83" s="199" t="s">
        <v>468</v>
      </c>
      <c r="H83" s="7"/>
    </row>
    <row r="84" spans="2:8" x14ac:dyDescent="0.3">
      <c r="B84" s="13">
        <v>45866</v>
      </c>
      <c r="C84" s="9">
        <v>45857</v>
      </c>
      <c r="D84" s="199" t="s">
        <v>419</v>
      </c>
      <c r="E84" s="5" t="s">
        <v>396</v>
      </c>
      <c r="F84" s="6" t="s">
        <v>6</v>
      </c>
      <c r="G84" s="199" t="s">
        <v>468</v>
      </c>
      <c r="H84" s="7"/>
    </row>
    <row r="85" spans="2:8" x14ac:dyDescent="0.3">
      <c r="B85" s="13">
        <v>45867</v>
      </c>
      <c r="C85" s="9">
        <v>45858</v>
      </c>
      <c r="D85" s="199" t="s">
        <v>419</v>
      </c>
      <c r="E85" s="5" t="s">
        <v>396</v>
      </c>
      <c r="F85" s="6" t="s">
        <v>6</v>
      </c>
      <c r="G85" s="199" t="s">
        <v>469</v>
      </c>
      <c r="H85" s="7"/>
    </row>
    <row r="86" spans="2:8" x14ac:dyDescent="0.3">
      <c r="B86" s="13">
        <v>45868</v>
      </c>
      <c r="C86" s="9">
        <v>45859</v>
      </c>
      <c r="D86" s="199" t="s">
        <v>406</v>
      </c>
      <c r="E86" s="5" t="s">
        <v>396</v>
      </c>
      <c r="F86" s="6" t="s">
        <v>6</v>
      </c>
      <c r="G86" s="199" t="s">
        <v>470</v>
      </c>
      <c r="H86" s="7"/>
    </row>
    <row r="87" spans="2:8" x14ac:dyDescent="0.3">
      <c r="B87" s="13">
        <v>45869</v>
      </c>
      <c r="C87" s="9">
        <v>45860</v>
      </c>
      <c r="D87" s="199" t="s">
        <v>406</v>
      </c>
      <c r="E87" s="5" t="s">
        <v>396</v>
      </c>
      <c r="F87" s="6" t="s">
        <v>6</v>
      </c>
      <c r="G87" s="199" t="s">
        <v>471</v>
      </c>
      <c r="H87" s="7"/>
    </row>
    <row r="88" spans="2:8" x14ac:dyDescent="0.3">
      <c r="B88" s="13">
        <v>45870</v>
      </c>
      <c r="C88" s="9">
        <v>45870</v>
      </c>
      <c r="D88" s="199" t="s">
        <v>406</v>
      </c>
      <c r="E88" s="5" t="s">
        <v>396</v>
      </c>
      <c r="F88" s="6" t="s">
        <v>6</v>
      </c>
      <c r="G88" s="199" t="s">
        <v>471</v>
      </c>
      <c r="H88" s="7"/>
    </row>
    <row r="89" spans="2:8" x14ac:dyDescent="0.3">
      <c r="B89" s="13">
        <v>45873</v>
      </c>
      <c r="C89" s="9">
        <v>45871</v>
      </c>
      <c r="D89" s="199" t="s">
        <v>406</v>
      </c>
      <c r="E89" s="5" t="s">
        <v>396</v>
      </c>
      <c r="F89" s="6" t="s">
        <v>6</v>
      </c>
      <c r="G89" s="199" t="s">
        <v>472</v>
      </c>
      <c r="H89" s="7"/>
    </row>
    <row r="90" spans="2:8" x14ac:dyDescent="0.3">
      <c r="B90" s="13">
        <v>45874</v>
      </c>
      <c r="C90" s="9">
        <v>45872</v>
      </c>
      <c r="D90" s="199" t="s">
        <v>473</v>
      </c>
      <c r="E90" s="5" t="s">
        <v>396</v>
      </c>
      <c r="F90" s="6" t="s">
        <v>6</v>
      </c>
      <c r="G90" s="199" t="s">
        <v>474</v>
      </c>
      <c r="H90" s="7"/>
    </row>
    <row r="91" spans="2:8" x14ac:dyDescent="0.3">
      <c r="B91" s="13">
        <v>45875</v>
      </c>
      <c r="C91" s="9">
        <v>45873</v>
      </c>
      <c r="D91" s="199" t="s">
        <v>473</v>
      </c>
      <c r="E91" s="5" t="s">
        <v>396</v>
      </c>
      <c r="F91" s="6" t="s">
        <v>6</v>
      </c>
      <c r="G91" s="199" t="s">
        <v>475</v>
      </c>
      <c r="H91" s="7"/>
    </row>
    <row r="92" spans="2:8" x14ac:dyDescent="0.3">
      <c r="B92" s="13">
        <v>45876</v>
      </c>
      <c r="C92" s="9">
        <v>45874</v>
      </c>
      <c r="D92" s="199" t="s">
        <v>473</v>
      </c>
      <c r="E92" s="5" t="s">
        <v>396</v>
      </c>
      <c r="F92" s="6" t="s">
        <v>6</v>
      </c>
      <c r="G92" s="199" t="s">
        <v>476</v>
      </c>
      <c r="H92" s="7"/>
    </row>
    <row r="93" spans="2:8" x14ac:dyDescent="0.3">
      <c r="B93" s="13">
        <v>45877</v>
      </c>
      <c r="C93" s="9">
        <v>45875</v>
      </c>
      <c r="D93" s="199" t="s">
        <v>473</v>
      </c>
      <c r="E93" s="5" t="s">
        <v>396</v>
      </c>
      <c r="F93" s="6" t="s">
        <v>6</v>
      </c>
      <c r="G93" s="199" t="s">
        <v>477</v>
      </c>
      <c r="H93" s="7"/>
    </row>
    <row r="94" spans="2:8" x14ac:dyDescent="0.3">
      <c r="B94" s="13">
        <v>45880</v>
      </c>
      <c r="C94" s="9">
        <v>45876</v>
      </c>
      <c r="D94" s="199" t="s">
        <v>473</v>
      </c>
      <c r="E94" s="5" t="s">
        <v>396</v>
      </c>
      <c r="F94" s="6" t="s">
        <v>6</v>
      </c>
      <c r="G94" s="199" t="s">
        <v>478</v>
      </c>
      <c r="H94" s="7"/>
    </row>
    <row r="95" spans="2:8" x14ac:dyDescent="0.3">
      <c r="B95" s="13">
        <v>45881</v>
      </c>
      <c r="C95" s="9">
        <v>45877</v>
      </c>
      <c r="D95" s="199" t="s">
        <v>473</v>
      </c>
      <c r="E95" s="5" t="s">
        <v>396</v>
      </c>
      <c r="F95" s="6" t="s">
        <v>6</v>
      </c>
      <c r="G95" s="199" t="s">
        <v>479</v>
      </c>
      <c r="H95" s="7"/>
    </row>
    <row r="96" spans="2:8" x14ac:dyDescent="0.3">
      <c r="B96" s="13">
        <v>45882</v>
      </c>
      <c r="C96" s="9">
        <v>45878</v>
      </c>
      <c r="D96" s="199" t="s">
        <v>462</v>
      </c>
      <c r="E96" s="5" t="s">
        <v>396</v>
      </c>
      <c r="F96" s="6" t="s">
        <v>6</v>
      </c>
      <c r="G96" s="199" t="s">
        <v>480</v>
      </c>
      <c r="H96" s="7"/>
    </row>
    <row r="97" spans="2:8" x14ac:dyDescent="0.3">
      <c r="B97" s="13">
        <v>45883</v>
      </c>
      <c r="C97" s="9">
        <v>45879</v>
      </c>
      <c r="D97" s="199" t="s">
        <v>462</v>
      </c>
      <c r="E97" s="5" t="s">
        <v>396</v>
      </c>
      <c r="F97" s="6" t="s">
        <v>6</v>
      </c>
      <c r="G97" s="199" t="s">
        <v>481</v>
      </c>
      <c r="H97" s="7"/>
    </row>
    <row r="98" spans="2:8" x14ac:dyDescent="0.3">
      <c r="B98" s="13">
        <v>45887</v>
      </c>
      <c r="C98" s="9">
        <v>45880</v>
      </c>
      <c r="D98" s="199" t="s">
        <v>462</v>
      </c>
      <c r="E98" s="5" t="s">
        <v>396</v>
      </c>
      <c r="F98" s="6" t="s">
        <v>6</v>
      </c>
      <c r="G98" s="86" t="s">
        <v>482</v>
      </c>
      <c r="H98" s="7"/>
    </row>
    <row r="99" spans="2:8" x14ac:dyDescent="0.3">
      <c r="B99" s="13">
        <v>45888</v>
      </c>
      <c r="C99" s="9">
        <v>45881</v>
      </c>
      <c r="D99" s="199" t="s">
        <v>419</v>
      </c>
      <c r="E99" s="5" t="s">
        <v>396</v>
      </c>
      <c r="F99" s="6" t="s">
        <v>6</v>
      </c>
      <c r="G99" s="199" t="s">
        <v>483</v>
      </c>
      <c r="H99" s="7"/>
    </row>
    <row r="100" spans="2:8" x14ac:dyDescent="0.3">
      <c r="B100" s="13">
        <v>45889</v>
      </c>
      <c r="C100" s="9">
        <v>45882</v>
      </c>
      <c r="D100" s="199" t="s">
        <v>419</v>
      </c>
      <c r="E100" s="5" t="s">
        <v>396</v>
      </c>
      <c r="F100" s="6" t="s">
        <v>6</v>
      </c>
      <c r="G100" s="199" t="s">
        <v>483</v>
      </c>
      <c r="H100" s="7"/>
    </row>
    <row r="101" spans="2:8" x14ac:dyDescent="0.3">
      <c r="B101" s="13">
        <v>45890</v>
      </c>
      <c r="C101" s="9">
        <v>45883</v>
      </c>
      <c r="D101" s="199" t="s">
        <v>419</v>
      </c>
      <c r="E101" s="5" t="s">
        <v>396</v>
      </c>
      <c r="F101" s="6" t="s">
        <v>6</v>
      </c>
      <c r="G101" s="199" t="s">
        <v>483</v>
      </c>
      <c r="H101" s="7"/>
    </row>
    <row r="102" spans="2:8" x14ac:dyDescent="0.3">
      <c r="B102" s="13">
        <v>45891</v>
      </c>
      <c r="C102" s="9">
        <v>45884</v>
      </c>
      <c r="D102" s="199" t="s">
        <v>419</v>
      </c>
      <c r="E102" s="5" t="s">
        <v>396</v>
      </c>
      <c r="F102" s="6" t="s">
        <v>6</v>
      </c>
      <c r="G102" s="199" t="s">
        <v>484</v>
      </c>
      <c r="H102" s="7"/>
    </row>
    <row r="103" spans="2:8" x14ac:dyDescent="0.3">
      <c r="B103" s="13">
        <v>45894</v>
      </c>
      <c r="C103" s="9">
        <v>45885</v>
      </c>
      <c r="D103" s="199" t="s">
        <v>485</v>
      </c>
      <c r="E103" s="5" t="s">
        <v>396</v>
      </c>
      <c r="F103" s="6" t="s">
        <v>6</v>
      </c>
      <c r="G103" s="199" t="s">
        <v>486</v>
      </c>
      <c r="H103" s="7"/>
    </row>
    <row r="104" spans="2:8" x14ac:dyDescent="0.3">
      <c r="B104" s="13">
        <v>45895</v>
      </c>
      <c r="C104" s="9">
        <v>45886</v>
      </c>
      <c r="D104" s="199" t="s">
        <v>487</v>
      </c>
      <c r="E104" s="5" t="s">
        <v>396</v>
      </c>
      <c r="F104" s="6" t="s">
        <v>6</v>
      </c>
      <c r="G104" s="199" t="s">
        <v>488</v>
      </c>
      <c r="H104" s="7"/>
    </row>
    <row r="105" spans="2:8" x14ac:dyDescent="0.3">
      <c r="B105" s="13">
        <v>45896</v>
      </c>
      <c r="C105" s="9">
        <v>45887</v>
      </c>
      <c r="D105" s="199" t="s">
        <v>489</v>
      </c>
      <c r="E105" s="5" t="s">
        <v>396</v>
      </c>
      <c r="F105" s="6" t="s">
        <v>6</v>
      </c>
      <c r="G105" s="60" t="s">
        <v>490</v>
      </c>
      <c r="H105" s="7"/>
    </row>
    <row r="106" spans="2:8" x14ac:dyDescent="0.3">
      <c r="B106" s="13">
        <v>45897</v>
      </c>
      <c r="C106" s="9">
        <v>45888</v>
      </c>
      <c r="D106" s="199" t="s">
        <v>419</v>
      </c>
      <c r="E106" s="5" t="s">
        <v>396</v>
      </c>
      <c r="F106" s="6" t="s">
        <v>6</v>
      </c>
      <c r="G106" s="199" t="s">
        <v>491</v>
      </c>
      <c r="H106" s="7"/>
    </row>
    <row r="107" spans="2:8" x14ac:dyDescent="0.3">
      <c r="B107" s="13">
        <v>45898</v>
      </c>
      <c r="C107" s="9">
        <v>45889</v>
      </c>
      <c r="D107" s="199" t="s">
        <v>419</v>
      </c>
      <c r="E107" s="5" t="s">
        <v>396</v>
      </c>
      <c r="F107" s="6" t="s">
        <v>6</v>
      </c>
      <c r="G107" s="199" t="s">
        <v>492</v>
      </c>
      <c r="H107" s="7"/>
    </row>
    <row r="108" spans="2:8" x14ac:dyDescent="0.3">
      <c r="B108" s="13">
        <v>45901</v>
      </c>
      <c r="C108" s="9">
        <v>45901</v>
      </c>
      <c r="D108" s="199" t="s">
        <v>493</v>
      </c>
      <c r="E108" s="5" t="s">
        <v>396</v>
      </c>
      <c r="F108" s="6" t="s">
        <v>6</v>
      </c>
      <c r="G108" s="199" t="s">
        <v>494</v>
      </c>
      <c r="H108" s="7"/>
    </row>
    <row r="109" spans="2:8" x14ac:dyDescent="0.3">
      <c r="B109" s="13">
        <v>45902</v>
      </c>
      <c r="C109" s="84">
        <v>45902</v>
      </c>
      <c r="D109" s="199" t="s">
        <v>406</v>
      </c>
      <c r="E109" s="85" t="s">
        <v>396</v>
      </c>
      <c r="F109" s="6" t="s">
        <v>6</v>
      </c>
      <c r="G109" s="60" t="s">
        <v>495</v>
      </c>
      <c r="H109" s="7"/>
    </row>
    <row r="110" spans="2:8" x14ac:dyDescent="0.3">
      <c r="B110" s="13">
        <v>45903</v>
      </c>
      <c r="C110" s="84">
        <v>45903</v>
      </c>
      <c r="D110" s="199" t="s">
        <v>446</v>
      </c>
      <c r="E110" s="85" t="s">
        <v>396</v>
      </c>
      <c r="F110" s="6" t="s">
        <v>6</v>
      </c>
      <c r="G110" s="199" t="s">
        <v>496</v>
      </c>
      <c r="H110" s="7"/>
    </row>
    <row r="111" spans="2:8" x14ac:dyDescent="0.3">
      <c r="B111" s="13">
        <v>45904</v>
      </c>
      <c r="C111" s="84">
        <v>45904</v>
      </c>
      <c r="D111" s="199" t="s">
        <v>497</v>
      </c>
      <c r="E111" s="85" t="s">
        <v>396</v>
      </c>
      <c r="F111" s="6" t="s">
        <v>6</v>
      </c>
      <c r="G111" s="199" t="s">
        <v>498</v>
      </c>
      <c r="H111" s="7"/>
    </row>
    <row r="112" spans="2:8" x14ac:dyDescent="0.3">
      <c r="B112" s="13">
        <v>45905</v>
      </c>
      <c r="C112" s="84">
        <v>45905</v>
      </c>
      <c r="D112" s="199" t="s">
        <v>499</v>
      </c>
      <c r="E112" s="85" t="s">
        <v>396</v>
      </c>
      <c r="F112" s="6" t="s">
        <v>6</v>
      </c>
      <c r="G112" s="199" t="s">
        <v>500</v>
      </c>
      <c r="H112" s="7"/>
    </row>
    <row r="113" spans="2:8" x14ac:dyDescent="0.3">
      <c r="B113" s="13">
        <v>45907</v>
      </c>
      <c r="C113" s="84">
        <v>45906</v>
      </c>
      <c r="D113" s="199" t="s">
        <v>406</v>
      </c>
      <c r="E113" s="85" t="s">
        <v>396</v>
      </c>
      <c r="F113" s="6" t="s">
        <v>6</v>
      </c>
      <c r="G113" s="199" t="s">
        <v>501</v>
      </c>
      <c r="H113" s="7"/>
    </row>
    <row r="114" spans="2:8" x14ac:dyDescent="0.3">
      <c r="B114" s="13">
        <v>45908</v>
      </c>
      <c r="C114" s="84">
        <v>45906</v>
      </c>
      <c r="D114" s="199" t="s">
        <v>406</v>
      </c>
      <c r="E114" s="85" t="s">
        <v>396</v>
      </c>
      <c r="F114" s="6" t="s">
        <v>6</v>
      </c>
      <c r="G114" s="199" t="s">
        <v>502</v>
      </c>
      <c r="H114" s="7"/>
    </row>
    <row r="115" spans="2:8" x14ac:dyDescent="0.3">
      <c r="B115" s="13">
        <v>45909</v>
      </c>
      <c r="C115" s="84">
        <v>45907</v>
      </c>
      <c r="D115" s="199" t="s">
        <v>499</v>
      </c>
      <c r="E115" s="85" t="s">
        <v>396</v>
      </c>
      <c r="F115" s="6" t="s">
        <v>6</v>
      </c>
      <c r="G115" s="199" t="s">
        <v>503</v>
      </c>
      <c r="H115" s="7"/>
    </row>
    <row r="116" spans="2:8" x14ac:dyDescent="0.3">
      <c r="B116" s="13">
        <v>45910</v>
      </c>
      <c r="C116" s="84">
        <v>45908</v>
      </c>
      <c r="D116" s="199" t="s">
        <v>504</v>
      </c>
      <c r="E116" s="85" t="s">
        <v>396</v>
      </c>
      <c r="F116" s="6" t="s">
        <v>6</v>
      </c>
      <c r="G116" s="199" t="s">
        <v>505</v>
      </c>
      <c r="H116" s="7"/>
    </row>
    <row r="117" spans="2:8" x14ac:dyDescent="0.3">
      <c r="B117" s="13">
        <v>45911</v>
      </c>
      <c r="C117" s="84">
        <v>45909</v>
      </c>
      <c r="D117" s="199" t="s">
        <v>446</v>
      </c>
      <c r="E117" s="85" t="s">
        <v>396</v>
      </c>
      <c r="F117" s="6" t="s">
        <v>6</v>
      </c>
      <c r="G117" s="199" t="s">
        <v>506</v>
      </c>
      <c r="H117" s="7"/>
    </row>
    <row r="118" spans="2:8" x14ac:dyDescent="0.3">
      <c r="B118" s="13">
        <v>45912</v>
      </c>
      <c r="C118" s="84">
        <v>45910</v>
      </c>
      <c r="D118" s="199" t="s">
        <v>507</v>
      </c>
      <c r="E118" s="85" t="s">
        <v>396</v>
      </c>
      <c r="F118" s="6" t="s">
        <v>6</v>
      </c>
      <c r="G118" s="199" t="s">
        <v>508</v>
      </c>
      <c r="H118" s="7"/>
    </row>
    <row r="119" spans="2:8" x14ac:dyDescent="0.3">
      <c r="B119" s="13">
        <v>45913</v>
      </c>
      <c r="C119" s="84">
        <v>45911</v>
      </c>
      <c r="D119" s="199" t="s">
        <v>446</v>
      </c>
      <c r="E119" s="85" t="s">
        <v>396</v>
      </c>
      <c r="F119" s="6" t="s">
        <v>6</v>
      </c>
      <c r="G119" s="199" t="s">
        <v>506</v>
      </c>
      <c r="H119" s="7"/>
    </row>
    <row r="120" spans="2:8" x14ac:dyDescent="0.3">
      <c r="B120" s="13">
        <v>45915</v>
      </c>
      <c r="C120" s="84">
        <v>45913</v>
      </c>
      <c r="D120" s="199" t="s">
        <v>419</v>
      </c>
      <c r="E120" s="85" t="s">
        <v>396</v>
      </c>
      <c r="F120" s="6" t="s">
        <v>6</v>
      </c>
      <c r="G120" s="199" t="s">
        <v>509</v>
      </c>
      <c r="H120" s="7"/>
    </row>
    <row r="121" spans="2:8" x14ac:dyDescent="0.3">
      <c r="B121" s="13">
        <v>45916</v>
      </c>
      <c r="C121" s="84">
        <v>45914</v>
      </c>
      <c r="D121" s="199" t="s">
        <v>419</v>
      </c>
      <c r="E121" s="85" t="s">
        <v>396</v>
      </c>
      <c r="F121" s="6" t="s">
        <v>6</v>
      </c>
      <c r="G121" s="199" t="s">
        <v>509</v>
      </c>
      <c r="H121" s="7"/>
    </row>
    <row r="122" spans="2:8" x14ac:dyDescent="0.3">
      <c r="B122" s="13">
        <v>45917</v>
      </c>
      <c r="C122" s="84">
        <v>45915</v>
      </c>
      <c r="D122" s="199" t="s">
        <v>507</v>
      </c>
      <c r="E122" s="85" t="s">
        <v>396</v>
      </c>
      <c r="F122" s="6" t="s">
        <v>6</v>
      </c>
      <c r="G122" s="199" t="s">
        <v>508</v>
      </c>
      <c r="H122" s="7"/>
    </row>
    <row r="123" spans="2:8" x14ac:dyDescent="0.3">
      <c r="B123" s="13">
        <v>45922</v>
      </c>
      <c r="C123" s="84">
        <v>45920</v>
      </c>
      <c r="D123" s="199" t="s">
        <v>507</v>
      </c>
      <c r="E123" s="85" t="s">
        <v>396</v>
      </c>
      <c r="F123" s="6" t="s">
        <v>6</v>
      </c>
      <c r="G123" s="199" t="s">
        <v>508</v>
      </c>
      <c r="H123" s="7"/>
    </row>
    <row r="124" spans="2:8" x14ac:dyDescent="0.3">
      <c r="B124" s="13">
        <v>45923</v>
      </c>
      <c r="C124" s="84">
        <v>45921</v>
      </c>
      <c r="D124" s="199" t="s">
        <v>419</v>
      </c>
      <c r="E124" s="85" t="s">
        <v>396</v>
      </c>
      <c r="F124" s="6" t="s">
        <v>6</v>
      </c>
      <c r="G124" s="199" t="s">
        <v>509</v>
      </c>
      <c r="H124" s="7"/>
    </row>
    <row r="125" spans="2:8" x14ac:dyDescent="0.3">
      <c r="B125" s="13">
        <v>45924</v>
      </c>
      <c r="C125" s="84">
        <v>45922</v>
      </c>
      <c r="D125" s="199" t="s">
        <v>419</v>
      </c>
      <c r="E125" s="85" t="s">
        <v>396</v>
      </c>
      <c r="F125" s="6" t="s">
        <v>6</v>
      </c>
      <c r="G125" s="199" t="s">
        <v>509</v>
      </c>
      <c r="H125" s="7"/>
    </row>
    <row r="126" spans="2:8" x14ac:dyDescent="0.3">
      <c r="B126" s="13">
        <v>45925</v>
      </c>
      <c r="C126" s="84">
        <v>45923</v>
      </c>
      <c r="D126" s="199" t="s">
        <v>510</v>
      </c>
      <c r="E126" s="85" t="s">
        <v>396</v>
      </c>
      <c r="F126" s="6" t="s">
        <v>6</v>
      </c>
      <c r="G126" s="199" t="s">
        <v>511</v>
      </c>
      <c r="H126" s="7"/>
    </row>
    <row r="127" spans="2:8" x14ac:dyDescent="0.3">
      <c r="B127" s="13">
        <v>45926</v>
      </c>
      <c r="C127" s="84">
        <v>45924</v>
      </c>
      <c r="D127" s="199" t="s">
        <v>512</v>
      </c>
      <c r="E127" s="85" t="s">
        <v>396</v>
      </c>
      <c r="F127" s="6" t="s">
        <v>6</v>
      </c>
      <c r="G127" s="199" t="s">
        <v>513</v>
      </c>
      <c r="H127" s="7"/>
    </row>
    <row r="128" spans="2:8" x14ac:dyDescent="0.3">
      <c r="B128" s="13">
        <v>45929</v>
      </c>
      <c r="C128" s="84">
        <v>45925</v>
      </c>
      <c r="D128" s="199" t="s">
        <v>446</v>
      </c>
      <c r="E128" s="85" t="s">
        <v>396</v>
      </c>
      <c r="F128" s="6" t="s">
        <v>6</v>
      </c>
      <c r="G128" s="199" t="s">
        <v>506</v>
      </c>
      <c r="H128" s="7"/>
    </row>
    <row r="129" spans="2:8" x14ac:dyDescent="0.3">
      <c r="B129" s="13">
        <v>45930</v>
      </c>
      <c r="C129" s="84">
        <v>45926</v>
      </c>
      <c r="D129" s="199" t="s">
        <v>462</v>
      </c>
      <c r="E129" s="85" t="s">
        <v>396</v>
      </c>
      <c r="F129" s="6" t="s">
        <v>6</v>
      </c>
      <c r="G129" s="199" t="s">
        <v>514</v>
      </c>
      <c r="H129" s="7"/>
    </row>
    <row r="130" spans="2:8" x14ac:dyDescent="0.3">
      <c r="B130" s="13">
        <v>45931</v>
      </c>
      <c r="C130" s="84">
        <v>45931</v>
      </c>
      <c r="D130" s="199" t="s">
        <v>446</v>
      </c>
      <c r="E130" s="85" t="s">
        <v>396</v>
      </c>
      <c r="F130" s="6" t="s">
        <v>6</v>
      </c>
      <c r="G130" s="199" t="s">
        <v>506</v>
      </c>
      <c r="H130" s="7"/>
    </row>
    <row r="131" spans="2:8" x14ac:dyDescent="0.3">
      <c r="B131" s="13">
        <v>45932</v>
      </c>
      <c r="C131" s="84">
        <v>45932</v>
      </c>
      <c r="D131" s="199" t="s">
        <v>446</v>
      </c>
      <c r="E131" s="85" t="s">
        <v>396</v>
      </c>
      <c r="F131" s="6" t="s">
        <v>6</v>
      </c>
      <c r="G131" s="199" t="s">
        <v>515</v>
      </c>
      <c r="H131" s="7"/>
    </row>
    <row r="132" spans="2:8" x14ac:dyDescent="0.3">
      <c r="B132" s="13">
        <v>45933</v>
      </c>
      <c r="C132" s="84">
        <v>45933</v>
      </c>
      <c r="D132" s="199" t="s">
        <v>504</v>
      </c>
      <c r="E132" s="85" t="s">
        <v>396</v>
      </c>
      <c r="F132" s="6" t="s">
        <v>6</v>
      </c>
      <c r="G132" s="199" t="s">
        <v>516</v>
      </c>
      <c r="H132" s="7"/>
    </row>
    <row r="133" spans="2:8" x14ac:dyDescent="0.3">
      <c r="B133" s="13">
        <v>45936</v>
      </c>
      <c r="C133" s="84">
        <v>45934</v>
      </c>
      <c r="D133" s="199" t="s">
        <v>462</v>
      </c>
      <c r="E133" s="85" t="s">
        <v>396</v>
      </c>
      <c r="F133" s="6" t="s">
        <v>6</v>
      </c>
      <c r="G133" s="199" t="s">
        <v>514</v>
      </c>
      <c r="H133" s="7"/>
    </row>
    <row r="134" spans="2:8" x14ac:dyDescent="0.3">
      <c r="B134" s="13">
        <v>45937</v>
      </c>
      <c r="C134" s="84">
        <v>45935</v>
      </c>
      <c r="D134" s="199" t="s">
        <v>504</v>
      </c>
      <c r="E134" s="85" t="s">
        <v>396</v>
      </c>
      <c r="F134" s="6" t="s">
        <v>6</v>
      </c>
      <c r="G134" s="199" t="s">
        <v>516</v>
      </c>
      <c r="H134" s="7"/>
    </row>
    <row r="135" spans="2:8" x14ac:dyDescent="0.3">
      <c r="B135" s="13">
        <v>45938</v>
      </c>
      <c r="C135" s="84">
        <v>45936</v>
      </c>
      <c r="D135" s="199" t="s">
        <v>504</v>
      </c>
      <c r="E135" s="85" t="s">
        <v>396</v>
      </c>
      <c r="F135" s="6" t="s">
        <v>6</v>
      </c>
      <c r="G135" s="199" t="s">
        <v>516</v>
      </c>
      <c r="H135" s="7"/>
    </row>
    <row r="136" spans="2:8" x14ac:dyDescent="0.3">
      <c r="B136" s="13">
        <v>45939</v>
      </c>
      <c r="C136" s="84">
        <v>45937</v>
      </c>
      <c r="D136" s="199" t="s">
        <v>510</v>
      </c>
      <c r="E136" s="85" t="s">
        <v>396</v>
      </c>
      <c r="F136" s="6" t="s">
        <v>6</v>
      </c>
      <c r="G136" s="199" t="s">
        <v>517</v>
      </c>
      <c r="H136" s="7"/>
    </row>
    <row r="137" spans="2:8" x14ac:dyDescent="0.3">
      <c r="B137" s="13">
        <v>45940</v>
      </c>
      <c r="C137" s="84">
        <v>45932</v>
      </c>
      <c r="D137" s="199" t="s">
        <v>419</v>
      </c>
      <c r="E137" s="85" t="s">
        <v>396</v>
      </c>
      <c r="F137" s="6" t="s">
        <v>6</v>
      </c>
      <c r="G137" s="199" t="s">
        <v>509</v>
      </c>
      <c r="H137" s="7"/>
    </row>
    <row r="138" spans="2:8" x14ac:dyDescent="0.3">
      <c r="B138" s="13">
        <v>45943</v>
      </c>
      <c r="C138" s="84">
        <v>45933</v>
      </c>
      <c r="D138" s="199" t="s">
        <v>518</v>
      </c>
      <c r="E138" s="85" t="s">
        <v>396</v>
      </c>
      <c r="F138" s="6" t="s">
        <v>6</v>
      </c>
      <c r="G138" s="199" t="s">
        <v>509</v>
      </c>
      <c r="H138" s="7"/>
    </row>
    <row r="139" spans="2:8" x14ac:dyDescent="0.3">
      <c r="B139" s="13">
        <v>45944</v>
      </c>
      <c r="C139" s="84">
        <v>45934</v>
      </c>
      <c r="D139" s="199" t="s">
        <v>518</v>
      </c>
      <c r="E139" s="85" t="s">
        <v>396</v>
      </c>
      <c r="F139" s="6" t="s">
        <v>6</v>
      </c>
      <c r="G139" s="199" t="s">
        <v>509</v>
      </c>
      <c r="H139" s="7"/>
    </row>
    <row r="140" spans="2:8" x14ac:dyDescent="0.3">
      <c r="B140" s="13">
        <v>45945</v>
      </c>
      <c r="C140" s="84">
        <v>45935</v>
      </c>
      <c r="D140" s="199" t="s">
        <v>462</v>
      </c>
      <c r="E140" s="85" t="s">
        <v>396</v>
      </c>
      <c r="F140" s="6" t="s">
        <v>6</v>
      </c>
      <c r="G140" s="199" t="s">
        <v>514</v>
      </c>
      <c r="H140" s="7"/>
    </row>
    <row r="141" spans="2:8" x14ac:dyDescent="0.3">
      <c r="B141" s="13">
        <v>45946</v>
      </c>
      <c r="C141" s="84">
        <v>45936</v>
      </c>
      <c r="D141" s="199" t="s">
        <v>462</v>
      </c>
      <c r="E141" s="85" t="s">
        <v>396</v>
      </c>
      <c r="F141" s="6" t="s">
        <v>6</v>
      </c>
      <c r="G141" s="199" t="s">
        <v>519</v>
      </c>
      <c r="H141" s="7"/>
    </row>
    <row r="142" spans="2:8" x14ac:dyDescent="0.3">
      <c r="B142" s="13">
        <v>45947</v>
      </c>
      <c r="C142" s="84">
        <v>45932</v>
      </c>
      <c r="D142" s="199" t="s">
        <v>462</v>
      </c>
      <c r="E142" s="85" t="s">
        <v>396</v>
      </c>
      <c r="F142" s="6" t="s">
        <v>6</v>
      </c>
      <c r="G142" s="199" t="s">
        <v>520</v>
      </c>
      <c r="H142" s="7"/>
    </row>
    <row r="143" spans="2:8" x14ac:dyDescent="0.3">
      <c r="B143" s="13">
        <v>45950</v>
      </c>
      <c r="C143" s="84">
        <v>45933</v>
      </c>
      <c r="D143" s="199" t="s">
        <v>462</v>
      </c>
      <c r="E143" s="85" t="s">
        <v>396</v>
      </c>
      <c r="F143" s="6" t="s">
        <v>6</v>
      </c>
      <c r="G143" s="199" t="s">
        <v>521</v>
      </c>
      <c r="H143" s="7"/>
    </row>
    <row r="144" spans="2:8" x14ac:dyDescent="0.3">
      <c r="B144" s="13">
        <v>45951</v>
      </c>
      <c r="C144" s="84">
        <v>45934</v>
      </c>
      <c r="D144" s="199" t="s">
        <v>462</v>
      </c>
      <c r="E144" s="85" t="s">
        <v>396</v>
      </c>
      <c r="F144" s="6" t="s">
        <v>6</v>
      </c>
      <c r="G144" s="199" t="s">
        <v>521</v>
      </c>
      <c r="H144" s="7"/>
    </row>
    <row r="145" spans="2:8" x14ac:dyDescent="0.3">
      <c r="B145" s="13">
        <v>45952</v>
      </c>
      <c r="C145" s="84">
        <v>45935</v>
      </c>
      <c r="D145" s="199" t="s">
        <v>462</v>
      </c>
      <c r="E145" s="85" t="s">
        <v>396</v>
      </c>
      <c r="F145" s="6" t="s">
        <v>6</v>
      </c>
      <c r="G145" s="199" t="s">
        <v>520</v>
      </c>
      <c r="H145" s="7"/>
    </row>
    <row r="146" spans="2:8" x14ac:dyDescent="0.3">
      <c r="B146" s="13">
        <v>45953</v>
      </c>
      <c r="C146" s="84">
        <v>45936</v>
      </c>
      <c r="D146" s="199" t="s">
        <v>446</v>
      </c>
      <c r="E146" s="85" t="s">
        <v>396</v>
      </c>
      <c r="F146" s="6" t="s">
        <v>6</v>
      </c>
      <c r="G146" s="199" t="s">
        <v>522</v>
      </c>
      <c r="H146" s="7"/>
    </row>
    <row r="147" spans="2:8" x14ac:dyDescent="0.3">
      <c r="B147" s="13">
        <v>45954</v>
      </c>
      <c r="C147" s="84">
        <v>45932</v>
      </c>
      <c r="D147" s="199" t="s">
        <v>518</v>
      </c>
      <c r="E147" s="85" t="s">
        <v>396</v>
      </c>
      <c r="F147" s="6" t="s">
        <v>6</v>
      </c>
      <c r="G147" s="199" t="s">
        <v>484</v>
      </c>
      <c r="H147" s="7"/>
    </row>
    <row r="148" spans="2:8" ht="60.75" x14ac:dyDescent="0.3">
      <c r="B148" s="13">
        <v>45957</v>
      </c>
      <c r="C148" s="84">
        <v>45933</v>
      </c>
      <c r="D148" s="199" t="s">
        <v>523</v>
      </c>
      <c r="E148" s="85" t="s">
        <v>396</v>
      </c>
      <c r="F148" s="6" t="s">
        <v>6</v>
      </c>
      <c r="G148" s="200" t="s">
        <v>524</v>
      </c>
      <c r="H148" s="7"/>
    </row>
    <row r="149" spans="2:8" ht="60.75" x14ac:dyDescent="0.3">
      <c r="B149" s="13">
        <v>45958</v>
      </c>
      <c r="C149" s="84">
        <v>45934</v>
      </c>
      <c r="D149" s="199" t="s">
        <v>523</v>
      </c>
      <c r="E149" s="85" t="s">
        <v>396</v>
      </c>
      <c r="F149" s="6" t="s">
        <v>6</v>
      </c>
      <c r="G149" s="200" t="s">
        <v>524</v>
      </c>
      <c r="H149" s="7"/>
    </row>
    <row r="150" spans="2:8" ht="60.75" x14ac:dyDescent="0.3">
      <c r="B150" s="13">
        <v>45959</v>
      </c>
      <c r="C150" s="84">
        <v>45935</v>
      </c>
      <c r="D150" s="199" t="s">
        <v>523</v>
      </c>
      <c r="E150" s="85" t="s">
        <v>396</v>
      </c>
      <c r="F150" s="6" t="s">
        <v>6</v>
      </c>
      <c r="G150" s="200" t="s">
        <v>524</v>
      </c>
      <c r="H150" s="7"/>
    </row>
    <row r="151" spans="2:8" x14ac:dyDescent="0.3">
      <c r="B151" s="13">
        <v>45960</v>
      </c>
      <c r="C151" s="84">
        <v>45935</v>
      </c>
      <c r="D151" s="199" t="s">
        <v>523</v>
      </c>
      <c r="E151" s="85" t="s">
        <v>396</v>
      </c>
      <c r="F151" s="6" t="s">
        <v>6</v>
      </c>
      <c r="G151" s="199" t="s">
        <v>525</v>
      </c>
      <c r="H151" s="7"/>
    </row>
    <row r="152" spans="2:8" ht="60.75" x14ac:dyDescent="0.3">
      <c r="B152" s="13">
        <v>45964</v>
      </c>
      <c r="C152" s="84">
        <v>45936</v>
      </c>
      <c r="D152" s="199" t="s">
        <v>523</v>
      </c>
      <c r="E152" s="85" t="s">
        <v>396</v>
      </c>
      <c r="F152" s="6" t="s">
        <v>6</v>
      </c>
      <c r="G152" s="200" t="s">
        <v>524</v>
      </c>
      <c r="H152" s="7"/>
    </row>
    <row r="153" spans="2:8" x14ac:dyDescent="0.3">
      <c r="B153" s="13">
        <v>45965</v>
      </c>
      <c r="C153" s="84">
        <v>45965</v>
      </c>
      <c r="D153" s="199" t="s">
        <v>523</v>
      </c>
      <c r="E153" s="85" t="s">
        <v>396</v>
      </c>
      <c r="F153" s="6" t="s">
        <v>6</v>
      </c>
      <c r="G153" s="199" t="s">
        <v>526</v>
      </c>
      <c r="H153" s="7"/>
    </row>
    <row r="154" spans="2:8" x14ac:dyDescent="0.3">
      <c r="B154" s="13">
        <v>45966</v>
      </c>
      <c r="C154" s="84">
        <v>45966</v>
      </c>
      <c r="D154" s="199" t="s">
        <v>523</v>
      </c>
      <c r="E154" s="85" t="s">
        <v>396</v>
      </c>
      <c r="F154" s="6" t="s">
        <v>6</v>
      </c>
      <c r="G154" s="199" t="s">
        <v>526</v>
      </c>
      <c r="H154" s="7"/>
    </row>
    <row r="155" spans="2:8" x14ac:dyDescent="0.3">
      <c r="B155" s="13">
        <v>45967</v>
      </c>
      <c r="C155" s="84">
        <v>45967</v>
      </c>
      <c r="D155" s="199" t="s">
        <v>523</v>
      </c>
      <c r="E155" s="85" t="s">
        <v>396</v>
      </c>
      <c r="F155" s="6" t="s">
        <v>6</v>
      </c>
      <c r="G155" s="199" t="s">
        <v>527</v>
      </c>
      <c r="H155" s="7"/>
    </row>
    <row r="156" spans="2:8" x14ac:dyDescent="0.3">
      <c r="B156" s="13">
        <v>45968</v>
      </c>
      <c r="C156" s="84">
        <v>45968</v>
      </c>
      <c r="D156" s="199" t="s">
        <v>523</v>
      </c>
      <c r="E156" s="85" t="s">
        <v>396</v>
      </c>
      <c r="F156" s="6" t="s">
        <v>6</v>
      </c>
      <c r="G156" s="199" t="s">
        <v>526</v>
      </c>
      <c r="H156" s="7"/>
    </row>
    <row r="157" spans="2:8" x14ac:dyDescent="0.3">
      <c r="B157" s="13">
        <v>45971</v>
      </c>
      <c r="C157" s="84">
        <v>45969</v>
      </c>
      <c r="D157" s="199" t="s">
        <v>523</v>
      </c>
      <c r="E157" s="85" t="s">
        <v>396</v>
      </c>
      <c r="F157" s="6" t="s">
        <v>6</v>
      </c>
      <c r="G157" s="199" t="s">
        <v>528</v>
      </c>
      <c r="H157" s="7"/>
    </row>
    <row r="158" spans="2:8" x14ac:dyDescent="0.3">
      <c r="B158" s="13">
        <v>45972</v>
      </c>
      <c r="C158" s="84">
        <v>45970</v>
      </c>
      <c r="D158" s="199" t="s">
        <v>523</v>
      </c>
      <c r="E158" s="85" t="s">
        <v>396</v>
      </c>
      <c r="F158" s="6" t="s">
        <v>6</v>
      </c>
      <c r="G158" s="199" t="s">
        <v>528</v>
      </c>
      <c r="H158" s="7"/>
    </row>
    <row r="159" spans="2:8" x14ac:dyDescent="0.3">
      <c r="B159" s="13">
        <v>45973</v>
      </c>
      <c r="C159" s="84">
        <v>45971</v>
      </c>
      <c r="D159" s="199" t="s">
        <v>523</v>
      </c>
      <c r="E159" s="85" t="s">
        <v>396</v>
      </c>
      <c r="F159" s="6" t="s">
        <v>6</v>
      </c>
      <c r="G159" s="199" t="s">
        <v>529</v>
      </c>
      <c r="H159" s="7"/>
    </row>
    <row r="160" spans="2:8" x14ac:dyDescent="0.3">
      <c r="B160" s="13">
        <v>45974</v>
      </c>
      <c r="C160" s="84">
        <v>45972</v>
      </c>
      <c r="D160" s="199" t="s">
        <v>462</v>
      </c>
      <c r="E160" s="85" t="s">
        <v>396</v>
      </c>
      <c r="F160" s="6" t="s">
        <v>6</v>
      </c>
      <c r="G160" s="199" t="s">
        <v>530</v>
      </c>
      <c r="H160" s="7"/>
    </row>
    <row r="161" spans="2:8" x14ac:dyDescent="0.3">
      <c r="B161" s="13">
        <v>45975</v>
      </c>
      <c r="C161" s="84">
        <v>45973</v>
      </c>
      <c r="D161" s="199" t="s">
        <v>462</v>
      </c>
      <c r="E161" s="85" t="s">
        <v>396</v>
      </c>
      <c r="F161" s="6" t="s">
        <v>6</v>
      </c>
      <c r="G161" s="199" t="s">
        <v>521</v>
      </c>
      <c r="H161" s="7"/>
    </row>
    <row r="162" spans="2:8" x14ac:dyDescent="0.3">
      <c r="B162" s="13">
        <v>45978</v>
      </c>
      <c r="C162" s="84">
        <v>45974</v>
      </c>
      <c r="D162" s="199" t="s">
        <v>462</v>
      </c>
      <c r="E162" s="85" t="s">
        <v>396</v>
      </c>
      <c r="F162" s="6" t="s">
        <v>6</v>
      </c>
      <c r="G162" s="199" t="s">
        <v>521</v>
      </c>
      <c r="H162" s="7"/>
    </row>
    <row r="163" spans="2:8" x14ac:dyDescent="0.3">
      <c r="B163" s="13">
        <v>45979</v>
      </c>
      <c r="C163" s="84">
        <v>45975</v>
      </c>
      <c r="D163" s="199" t="s">
        <v>462</v>
      </c>
      <c r="E163" s="85" t="s">
        <v>396</v>
      </c>
      <c r="F163" s="6" t="s">
        <v>6</v>
      </c>
      <c r="G163" s="199" t="s">
        <v>521</v>
      </c>
      <c r="H163" s="7"/>
    </row>
    <row r="164" spans="2:8" x14ac:dyDescent="0.3">
      <c r="B164" s="13">
        <v>45980</v>
      </c>
      <c r="C164" s="84">
        <v>45976</v>
      </c>
      <c r="D164" s="199" t="s">
        <v>523</v>
      </c>
      <c r="E164" s="85" t="s">
        <v>396</v>
      </c>
      <c r="F164" s="6" t="s">
        <v>6</v>
      </c>
      <c r="G164" s="199" t="s">
        <v>484</v>
      </c>
      <c r="H164" s="7"/>
    </row>
    <row r="165" spans="2:8" x14ac:dyDescent="0.3">
      <c r="B165" s="13">
        <v>45981</v>
      </c>
      <c r="C165" s="84">
        <v>45977</v>
      </c>
      <c r="D165" s="199" t="s">
        <v>523</v>
      </c>
      <c r="E165" s="85" t="s">
        <v>396</v>
      </c>
      <c r="F165" s="6" t="s">
        <v>6</v>
      </c>
      <c r="G165" s="199" t="s">
        <v>484</v>
      </c>
      <c r="H165" s="7"/>
    </row>
    <row r="166" spans="2:8" x14ac:dyDescent="0.3">
      <c r="B166" s="13">
        <v>45982</v>
      </c>
      <c r="C166" s="84">
        <v>45978</v>
      </c>
      <c r="D166" s="199" t="s">
        <v>531</v>
      </c>
      <c r="E166" s="85" t="s">
        <v>396</v>
      </c>
      <c r="F166" s="6" t="s">
        <v>6</v>
      </c>
      <c r="G166" s="199" t="s">
        <v>532</v>
      </c>
      <c r="H166" s="7"/>
    </row>
    <row r="167" spans="2:8" x14ac:dyDescent="0.3">
      <c r="B167" s="13">
        <v>45985</v>
      </c>
      <c r="C167" s="84">
        <v>45979</v>
      </c>
      <c r="D167" s="199" t="s">
        <v>531</v>
      </c>
      <c r="E167" s="85" t="s">
        <v>396</v>
      </c>
      <c r="F167" s="6" t="s">
        <v>6</v>
      </c>
      <c r="G167" s="199" t="s">
        <v>533</v>
      </c>
      <c r="H167" s="7"/>
    </row>
    <row r="168" spans="2:8" x14ac:dyDescent="0.3">
      <c r="B168" s="13">
        <v>45986</v>
      </c>
      <c r="C168" s="84">
        <v>45980</v>
      </c>
      <c r="D168" s="199" t="s">
        <v>534</v>
      </c>
      <c r="E168" s="85" t="s">
        <v>396</v>
      </c>
      <c r="F168" s="6" t="s">
        <v>6</v>
      </c>
      <c r="G168" s="199" t="s">
        <v>535</v>
      </c>
      <c r="H168" s="7"/>
    </row>
    <row r="169" spans="2:8" x14ac:dyDescent="0.3">
      <c r="B169" s="13">
        <v>45987</v>
      </c>
      <c r="C169" s="84">
        <v>45981</v>
      </c>
      <c r="D169" s="199" t="s">
        <v>534</v>
      </c>
      <c r="E169" s="85" t="s">
        <v>396</v>
      </c>
      <c r="F169" s="6" t="s">
        <v>6</v>
      </c>
      <c r="G169" s="199" t="s">
        <v>535</v>
      </c>
      <c r="H169" s="7"/>
    </row>
    <row r="170" spans="2:8" x14ac:dyDescent="0.3">
      <c r="B170" s="13">
        <v>45988</v>
      </c>
      <c r="C170" s="84">
        <v>45982</v>
      </c>
      <c r="D170" s="199" t="s">
        <v>523</v>
      </c>
      <c r="E170" s="85" t="s">
        <v>396</v>
      </c>
      <c r="F170" s="6" t="s">
        <v>6</v>
      </c>
      <c r="G170" s="199" t="s">
        <v>536</v>
      </c>
      <c r="H170" s="7"/>
    </row>
    <row r="171" spans="2:8" x14ac:dyDescent="0.3">
      <c r="B171" s="13">
        <v>45989</v>
      </c>
      <c r="C171" s="84">
        <v>45983</v>
      </c>
      <c r="D171" s="199" t="s">
        <v>523</v>
      </c>
      <c r="E171" s="85" t="s">
        <v>396</v>
      </c>
      <c r="F171" s="6" t="s">
        <v>6</v>
      </c>
      <c r="G171" s="199" t="s">
        <v>536</v>
      </c>
      <c r="H171" s="7"/>
    </row>
    <row r="172" spans="2:8" x14ac:dyDescent="0.3">
      <c r="B172" s="13">
        <v>45992</v>
      </c>
      <c r="C172" s="84">
        <v>45984</v>
      </c>
      <c r="D172" s="199" t="s">
        <v>531</v>
      </c>
      <c r="E172" s="85" t="s">
        <v>396</v>
      </c>
      <c r="F172" s="6" t="s">
        <v>6</v>
      </c>
      <c r="G172" s="199" t="s">
        <v>533</v>
      </c>
      <c r="H172" s="7"/>
    </row>
    <row r="173" spans="2:8" x14ac:dyDescent="0.3">
      <c r="B173" s="13">
        <v>45993</v>
      </c>
      <c r="C173" s="84">
        <v>45985</v>
      </c>
      <c r="D173" s="199" t="s">
        <v>531</v>
      </c>
      <c r="E173" s="85" t="s">
        <v>396</v>
      </c>
      <c r="F173" s="6" t="s">
        <v>6</v>
      </c>
      <c r="G173" s="199" t="s">
        <v>533</v>
      </c>
      <c r="H173" s="7"/>
    </row>
    <row r="174" spans="2:8" x14ac:dyDescent="0.3">
      <c r="B174" s="13">
        <v>45994</v>
      </c>
      <c r="C174" s="84">
        <v>45986</v>
      </c>
      <c r="D174" s="199" t="s">
        <v>462</v>
      </c>
      <c r="E174" s="85" t="s">
        <v>396</v>
      </c>
      <c r="F174" s="6" t="s">
        <v>6</v>
      </c>
      <c r="G174" s="199" t="s">
        <v>537</v>
      </c>
      <c r="H174" s="7"/>
    </row>
    <row r="175" spans="2:8" x14ac:dyDescent="0.3">
      <c r="B175" s="13">
        <v>45995</v>
      </c>
      <c r="C175" s="84">
        <v>45987</v>
      </c>
      <c r="D175" s="199" t="s">
        <v>462</v>
      </c>
      <c r="E175" s="85" t="s">
        <v>396</v>
      </c>
      <c r="F175" s="6" t="s">
        <v>6</v>
      </c>
      <c r="G175" s="199" t="s">
        <v>537</v>
      </c>
      <c r="H175" s="7"/>
    </row>
    <row r="176" spans="2:8" x14ac:dyDescent="0.3">
      <c r="B176" s="13">
        <v>45996</v>
      </c>
      <c r="C176" s="84">
        <v>45988</v>
      </c>
      <c r="D176" s="199" t="s">
        <v>523</v>
      </c>
      <c r="E176" s="85" t="s">
        <v>396</v>
      </c>
      <c r="F176" s="6" t="s">
        <v>6</v>
      </c>
      <c r="G176" s="199" t="s">
        <v>538</v>
      </c>
      <c r="H176" s="7"/>
    </row>
    <row r="177" spans="2:8" x14ac:dyDescent="0.3">
      <c r="B177" s="13">
        <v>45999</v>
      </c>
      <c r="C177" s="84">
        <v>45989</v>
      </c>
      <c r="D177" s="199" t="s">
        <v>539</v>
      </c>
      <c r="E177" s="85" t="s">
        <v>396</v>
      </c>
      <c r="F177" s="6" t="s">
        <v>6</v>
      </c>
      <c r="G177" s="199" t="s">
        <v>540</v>
      </c>
      <c r="H177" s="7"/>
    </row>
    <row r="178" spans="2:8" x14ac:dyDescent="0.3">
      <c r="B178" s="13">
        <v>46000</v>
      </c>
      <c r="C178" s="84">
        <v>45990</v>
      </c>
      <c r="D178" s="199" t="s">
        <v>523</v>
      </c>
      <c r="E178" s="85" t="s">
        <v>396</v>
      </c>
      <c r="F178" s="6" t="s">
        <v>6</v>
      </c>
      <c r="G178" s="199" t="s">
        <v>484</v>
      </c>
      <c r="H178" s="7"/>
    </row>
    <row r="179" spans="2:8" x14ac:dyDescent="0.3">
      <c r="B179" s="13">
        <v>46001</v>
      </c>
      <c r="C179" s="84">
        <v>45991</v>
      </c>
      <c r="D179" s="199" t="s">
        <v>539</v>
      </c>
      <c r="E179" s="85" t="s">
        <v>396</v>
      </c>
      <c r="F179" s="6" t="s">
        <v>6</v>
      </c>
      <c r="G179" s="199" t="s">
        <v>541</v>
      </c>
      <c r="H179" s="7"/>
    </row>
    <row r="180" spans="2:8" x14ac:dyDescent="0.3">
      <c r="B180" s="13">
        <v>46002</v>
      </c>
      <c r="C180" s="84">
        <v>45992</v>
      </c>
      <c r="D180" s="199" t="s">
        <v>539</v>
      </c>
      <c r="E180" s="85" t="s">
        <v>396</v>
      </c>
      <c r="F180" s="6" t="s">
        <v>6</v>
      </c>
      <c r="G180" s="199" t="s">
        <v>541</v>
      </c>
      <c r="H180" s="7"/>
    </row>
    <row r="181" spans="2:8" x14ac:dyDescent="0.3">
      <c r="B181" s="13">
        <v>46003</v>
      </c>
      <c r="C181" s="84">
        <v>45993</v>
      </c>
      <c r="D181" s="199" t="s">
        <v>523</v>
      </c>
      <c r="E181" s="85" t="s">
        <v>396</v>
      </c>
      <c r="F181" s="6" t="s">
        <v>6</v>
      </c>
      <c r="G181" s="199" t="s">
        <v>484</v>
      </c>
      <c r="H181" s="7"/>
    </row>
    <row r="182" spans="2:8" x14ac:dyDescent="0.3">
      <c r="B182" s="13">
        <v>46006</v>
      </c>
      <c r="C182" s="84">
        <v>45994</v>
      </c>
      <c r="D182" s="199" t="s">
        <v>523</v>
      </c>
      <c r="E182" s="85" t="s">
        <v>396</v>
      </c>
      <c r="F182" s="6" t="s">
        <v>6</v>
      </c>
      <c r="G182" s="199" t="s">
        <v>542</v>
      </c>
      <c r="H182" s="7"/>
    </row>
    <row r="183" spans="2:8" x14ac:dyDescent="0.3">
      <c r="B183" s="13">
        <v>46007</v>
      </c>
      <c r="C183" s="84">
        <v>45995</v>
      </c>
      <c r="D183" s="199" t="s">
        <v>523</v>
      </c>
      <c r="E183" s="85" t="s">
        <v>396</v>
      </c>
      <c r="F183" s="6" t="s">
        <v>6</v>
      </c>
      <c r="G183" s="199" t="s">
        <v>543</v>
      </c>
      <c r="H183" s="7"/>
    </row>
    <row r="184" spans="2:8" x14ac:dyDescent="0.3">
      <c r="B184" s="13">
        <v>46008</v>
      </c>
      <c r="C184" s="84">
        <v>45996</v>
      </c>
      <c r="D184" s="199" t="s">
        <v>523</v>
      </c>
      <c r="E184" s="85" t="s">
        <v>396</v>
      </c>
      <c r="F184" s="108" t="s">
        <v>6</v>
      </c>
      <c r="G184" s="199" t="s">
        <v>544</v>
      </c>
      <c r="H184" s="7"/>
    </row>
    <row r="185" spans="2:8" x14ac:dyDescent="0.3">
      <c r="B185" s="13">
        <v>46009</v>
      </c>
      <c r="C185" s="84">
        <v>45997</v>
      </c>
      <c r="D185" s="199" t="s">
        <v>523</v>
      </c>
      <c r="E185" s="85" t="s">
        <v>396</v>
      </c>
      <c r="F185" s="108" t="s">
        <v>6</v>
      </c>
      <c r="G185" s="199" t="s">
        <v>544</v>
      </c>
      <c r="H185" s="7"/>
    </row>
    <row r="186" spans="2:8" x14ac:dyDescent="0.3">
      <c r="B186" s="13">
        <v>46010</v>
      </c>
      <c r="C186" s="84">
        <v>45998</v>
      </c>
      <c r="D186" s="199" t="s">
        <v>523</v>
      </c>
      <c r="E186" s="85" t="s">
        <v>396</v>
      </c>
      <c r="F186" s="6" t="s">
        <v>6</v>
      </c>
      <c r="G186" s="199" t="s">
        <v>544</v>
      </c>
      <c r="H186" s="7"/>
    </row>
    <row r="187" spans="2:8" x14ac:dyDescent="0.3">
      <c r="B187" s="13">
        <v>46013</v>
      </c>
      <c r="C187" s="84">
        <v>45999</v>
      </c>
      <c r="D187" s="200" t="s">
        <v>545</v>
      </c>
      <c r="E187" s="85" t="s">
        <v>396</v>
      </c>
      <c r="F187" s="6" t="s">
        <v>6</v>
      </c>
      <c r="G187" s="199" t="s">
        <v>546</v>
      </c>
      <c r="H187" s="7"/>
    </row>
    <row r="188" spans="2:8" x14ac:dyDescent="0.3">
      <c r="B188" s="13">
        <v>46014</v>
      </c>
      <c r="C188" s="84">
        <v>46000</v>
      </c>
      <c r="D188" s="199" t="s">
        <v>523</v>
      </c>
      <c r="E188" s="85" t="s">
        <v>396</v>
      </c>
      <c r="F188" s="6" t="s">
        <v>6</v>
      </c>
      <c r="G188" s="199" t="s">
        <v>547</v>
      </c>
      <c r="H188" s="7"/>
    </row>
    <row r="189" spans="2:8" x14ac:dyDescent="0.3">
      <c r="B189" s="13">
        <v>46015</v>
      </c>
      <c r="C189" s="84">
        <v>46001</v>
      </c>
      <c r="D189" s="199" t="s">
        <v>523</v>
      </c>
      <c r="E189" s="85" t="s">
        <v>396</v>
      </c>
      <c r="F189" s="6" t="s">
        <v>6</v>
      </c>
      <c r="G189" s="199" t="s">
        <v>548</v>
      </c>
      <c r="H189" s="7"/>
    </row>
    <row r="190" spans="2:8" x14ac:dyDescent="0.3">
      <c r="B190" s="13">
        <v>46016</v>
      </c>
      <c r="C190" s="84">
        <v>46002</v>
      </c>
      <c r="D190" s="199" t="s">
        <v>446</v>
      </c>
      <c r="E190" s="85" t="s">
        <v>396</v>
      </c>
      <c r="F190" s="6" t="s">
        <v>6</v>
      </c>
      <c r="G190" s="199" t="s">
        <v>549</v>
      </c>
      <c r="H190" s="7"/>
    </row>
    <row r="191" spans="2:8" x14ac:dyDescent="0.3">
      <c r="B191" s="13">
        <v>46017</v>
      </c>
      <c r="C191" s="84">
        <v>46003</v>
      </c>
      <c r="D191" s="199" t="s">
        <v>446</v>
      </c>
      <c r="E191" s="85" t="s">
        <v>396</v>
      </c>
      <c r="F191" s="6" t="s">
        <v>6</v>
      </c>
      <c r="G191" s="199" t="s">
        <v>549</v>
      </c>
      <c r="H191" s="7"/>
    </row>
    <row r="192" spans="2:8" x14ac:dyDescent="0.3">
      <c r="B192" s="13">
        <v>46020</v>
      </c>
      <c r="C192" s="84">
        <v>46004</v>
      </c>
      <c r="D192" s="199" t="s">
        <v>523</v>
      </c>
      <c r="E192" s="85" t="s">
        <v>396</v>
      </c>
      <c r="F192" s="6" t="s">
        <v>6</v>
      </c>
      <c r="G192" s="199" t="s">
        <v>550</v>
      </c>
      <c r="H192" s="7"/>
    </row>
    <row r="193" spans="2:8" x14ac:dyDescent="0.3">
      <c r="B193" s="13">
        <v>46021</v>
      </c>
      <c r="C193" s="84">
        <v>46005</v>
      </c>
      <c r="D193" s="199" t="s">
        <v>551</v>
      </c>
      <c r="E193" s="85" t="s">
        <v>396</v>
      </c>
      <c r="F193" s="6" t="s">
        <v>6</v>
      </c>
      <c r="G193" s="199" t="s">
        <v>484</v>
      </c>
      <c r="H193" s="7"/>
    </row>
    <row r="194" spans="2:8" x14ac:dyDescent="0.3">
      <c r="B194" s="13">
        <v>46022</v>
      </c>
      <c r="C194" s="84">
        <v>46006</v>
      </c>
      <c r="D194" s="199" t="s">
        <v>551</v>
      </c>
      <c r="E194" s="85" t="s">
        <v>396</v>
      </c>
      <c r="F194" s="6" t="s">
        <v>6</v>
      </c>
      <c r="G194" s="199" t="s">
        <v>484</v>
      </c>
      <c r="H194" s="7"/>
    </row>
    <row r="195" spans="2:8" x14ac:dyDescent="0.3">
      <c r="B195" s="13">
        <v>46023</v>
      </c>
      <c r="C195" s="84">
        <v>46007</v>
      </c>
      <c r="D195" s="199" t="s">
        <v>523</v>
      </c>
      <c r="E195" s="85" t="s">
        <v>396</v>
      </c>
      <c r="F195" s="6" t="s">
        <v>6</v>
      </c>
      <c r="G195" s="199" t="s">
        <v>550</v>
      </c>
      <c r="H195" s="7"/>
    </row>
    <row r="196" spans="2:8" x14ac:dyDescent="0.3">
      <c r="B196" s="13">
        <v>46024</v>
      </c>
      <c r="C196" s="84">
        <v>46008</v>
      </c>
      <c r="D196" s="199" t="s">
        <v>523</v>
      </c>
      <c r="E196" s="85" t="s">
        <v>396</v>
      </c>
      <c r="F196" s="6" t="s">
        <v>6</v>
      </c>
      <c r="G196" s="199" t="s">
        <v>550</v>
      </c>
      <c r="H196" s="7"/>
    </row>
    <row r="197" spans="2:8" x14ac:dyDescent="0.3">
      <c r="B197" s="13">
        <v>46027</v>
      </c>
      <c r="C197" s="84">
        <v>46024</v>
      </c>
      <c r="D197" s="199" t="s">
        <v>551</v>
      </c>
      <c r="E197" s="85" t="s">
        <v>396</v>
      </c>
      <c r="F197" s="6" t="s">
        <v>6</v>
      </c>
      <c r="G197" s="199" t="s">
        <v>484</v>
      </c>
      <c r="H197" s="7"/>
    </row>
    <row r="198" spans="2:8" x14ac:dyDescent="0.3">
      <c r="B198" s="13">
        <v>46028</v>
      </c>
      <c r="C198" s="84">
        <v>46025</v>
      </c>
      <c r="D198" s="199" t="s">
        <v>523</v>
      </c>
      <c r="E198" s="85" t="s">
        <v>396</v>
      </c>
      <c r="F198" s="6" t="s">
        <v>6</v>
      </c>
      <c r="G198" s="199" t="s">
        <v>550</v>
      </c>
      <c r="H198" s="7"/>
    </row>
    <row r="199" spans="2:8" x14ac:dyDescent="0.3">
      <c r="B199" s="13">
        <v>46029</v>
      </c>
      <c r="C199" s="84">
        <v>46026</v>
      </c>
      <c r="D199" s="199" t="s">
        <v>552</v>
      </c>
      <c r="E199" s="85" t="s">
        <v>396</v>
      </c>
      <c r="F199" s="6" t="s">
        <v>6</v>
      </c>
      <c r="G199" s="199" t="s">
        <v>553</v>
      </c>
      <c r="H199" s="7"/>
    </row>
    <row r="200" spans="2:8" x14ac:dyDescent="0.3">
      <c r="B200" s="13">
        <v>46030</v>
      </c>
      <c r="C200" s="84">
        <v>46027</v>
      </c>
      <c r="D200" s="199" t="s">
        <v>552</v>
      </c>
      <c r="E200" s="85" t="s">
        <v>396</v>
      </c>
      <c r="F200" s="6" t="s">
        <v>6</v>
      </c>
      <c r="G200" s="199" t="s">
        <v>553</v>
      </c>
      <c r="H200" s="7"/>
    </row>
    <row r="201" spans="2:8" x14ac:dyDescent="0.3">
      <c r="B201" s="13">
        <v>46031</v>
      </c>
      <c r="C201" s="84">
        <v>46028</v>
      </c>
      <c r="D201" s="199" t="s">
        <v>552</v>
      </c>
      <c r="E201" s="85" t="s">
        <v>396</v>
      </c>
      <c r="F201" s="6" t="s">
        <v>6</v>
      </c>
      <c r="G201" s="199" t="s">
        <v>554</v>
      </c>
      <c r="H201" s="7"/>
    </row>
    <row r="202" spans="2:8" x14ac:dyDescent="0.3">
      <c r="B202" s="13">
        <v>46034</v>
      </c>
      <c r="C202" s="84">
        <v>46029</v>
      </c>
      <c r="D202" s="199" t="s">
        <v>555</v>
      </c>
      <c r="E202" s="85" t="s">
        <v>396</v>
      </c>
      <c r="F202" s="6" t="s">
        <v>6</v>
      </c>
      <c r="G202" s="199" t="s">
        <v>556</v>
      </c>
      <c r="H202" s="7"/>
    </row>
    <row r="203" spans="2:8" x14ac:dyDescent="0.3">
      <c r="B203" s="13">
        <v>46035</v>
      </c>
      <c r="C203" s="84">
        <v>46030</v>
      </c>
      <c r="D203" s="199" t="s">
        <v>523</v>
      </c>
      <c r="E203" s="85" t="s">
        <v>396</v>
      </c>
      <c r="F203" s="6" t="s">
        <v>6</v>
      </c>
      <c r="G203" s="199" t="s">
        <v>557</v>
      </c>
      <c r="H203" s="7"/>
    </row>
    <row r="204" spans="2:8" x14ac:dyDescent="0.3">
      <c r="B204" s="13">
        <v>46036</v>
      </c>
      <c r="C204" s="84">
        <v>46031</v>
      </c>
      <c r="D204" s="199" t="s">
        <v>462</v>
      </c>
      <c r="E204" s="85" t="s">
        <v>396</v>
      </c>
      <c r="F204" s="6" t="s">
        <v>6</v>
      </c>
      <c r="G204" s="199" t="s">
        <v>558</v>
      </c>
      <c r="H204" s="7"/>
    </row>
    <row r="205" spans="2:8" x14ac:dyDescent="0.3">
      <c r="B205" s="13">
        <v>46037</v>
      </c>
      <c r="C205" s="84">
        <v>46032</v>
      </c>
      <c r="D205" s="199" t="s">
        <v>446</v>
      </c>
      <c r="E205" s="85" t="s">
        <v>396</v>
      </c>
      <c r="F205" s="6" t="s">
        <v>6</v>
      </c>
      <c r="G205" s="199" t="s">
        <v>559</v>
      </c>
      <c r="H205" s="7"/>
    </row>
    <row r="206" spans="2:8" x14ac:dyDescent="0.3">
      <c r="B206" s="13">
        <v>46038</v>
      </c>
      <c r="C206" s="84">
        <v>46033</v>
      </c>
      <c r="D206" s="199" t="s">
        <v>462</v>
      </c>
      <c r="E206" s="85" t="s">
        <v>396</v>
      </c>
      <c r="F206" s="6" t="s">
        <v>6</v>
      </c>
      <c r="G206" s="199" t="s">
        <v>560</v>
      </c>
      <c r="H206" s="7"/>
    </row>
    <row r="207" spans="2:8" x14ac:dyDescent="0.3">
      <c r="B207" s="13">
        <v>46041</v>
      </c>
      <c r="C207" s="84">
        <v>46034</v>
      </c>
      <c r="D207" s="199" t="s">
        <v>462</v>
      </c>
      <c r="E207" s="85" t="s">
        <v>396</v>
      </c>
      <c r="F207" s="6" t="s">
        <v>6</v>
      </c>
      <c r="G207" s="199" t="s">
        <v>560</v>
      </c>
      <c r="H207" s="7"/>
    </row>
    <row r="208" spans="2:8" x14ac:dyDescent="0.3">
      <c r="B208" s="13">
        <v>46042</v>
      </c>
      <c r="C208" s="84">
        <v>46035</v>
      </c>
      <c r="D208" s="199" t="s">
        <v>552</v>
      </c>
      <c r="E208" s="85" t="s">
        <v>396</v>
      </c>
      <c r="F208" s="6" t="s">
        <v>6</v>
      </c>
      <c r="G208" s="199" t="s">
        <v>553</v>
      </c>
      <c r="H208" s="7"/>
    </row>
    <row r="209" spans="2:8" x14ac:dyDescent="0.3">
      <c r="B209" s="13">
        <v>46043</v>
      </c>
      <c r="C209" s="84">
        <v>46036</v>
      </c>
      <c r="D209" s="199" t="s">
        <v>462</v>
      </c>
      <c r="E209" s="85" t="s">
        <v>396</v>
      </c>
      <c r="F209" s="6" t="s">
        <v>6</v>
      </c>
      <c r="G209" s="199" t="s">
        <v>558</v>
      </c>
      <c r="H209" s="7"/>
    </row>
    <row r="210" spans="2:8" x14ac:dyDescent="0.3">
      <c r="B210" s="13">
        <v>46044</v>
      </c>
      <c r="C210" s="84">
        <v>46037</v>
      </c>
      <c r="D210" s="199" t="s">
        <v>462</v>
      </c>
      <c r="E210" s="85" t="s">
        <v>396</v>
      </c>
      <c r="F210" s="6" t="s">
        <v>6</v>
      </c>
      <c r="G210" s="199" t="s">
        <v>558</v>
      </c>
      <c r="H210" s="7"/>
    </row>
    <row r="211" spans="2:8" x14ac:dyDescent="0.3">
      <c r="B211" s="13">
        <v>46045</v>
      </c>
      <c r="C211" s="84">
        <v>46038</v>
      </c>
      <c r="D211" s="199" t="s">
        <v>462</v>
      </c>
      <c r="E211" s="85" t="s">
        <v>396</v>
      </c>
      <c r="F211" s="6" t="s">
        <v>6</v>
      </c>
      <c r="G211" s="199" t="s">
        <v>558</v>
      </c>
      <c r="H211" s="7"/>
    </row>
    <row r="212" spans="2:8" x14ac:dyDescent="0.3">
      <c r="B212" s="13">
        <v>46048</v>
      </c>
      <c r="C212" s="84">
        <v>46039</v>
      </c>
      <c r="D212" s="199" t="s">
        <v>523</v>
      </c>
      <c r="E212" s="85" t="s">
        <v>396</v>
      </c>
      <c r="F212" s="6" t="s">
        <v>6</v>
      </c>
      <c r="G212" s="199" t="s">
        <v>561</v>
      </c>
      <c r="H212" s="7"/>
    </row>
    <row r="213" spans="2:8" x14ac:dyDescent="0.3">
      <c r="B213" s="13">
        <v>46049</v>
      </c>
      <c r="C213" s="84">
        <v>46040</v>
      </c>
      <c r="D213" s="199" t="s">
        <v>523</v>
      </c>
      <c r="E213" s="85" t="s">
        <v>396</v>
      </c>
      <c r="F213" s="6" t="s">
        <v>6</v>
      </c>
      <c r="G213" s="199" t="s">
        <v>561</v>
      </c>
      <c r="H213" s="7"/>
    </row>
    <row r="214" spans="2:8" x14ac:dyDescent="0.3">
      <c r="B214" s="13">
        <v>46050</v>
      </c>
      <c r="C214" s="84">
        <v>46041</v>
      </c>
      <c r="D214" s="199" t="s">
        <v>523</v>
      </c>
      <c r="E214" s="85" t="s">
        <v>396</v>
      </c>
      <c r="F214" s="6" t="s">
        <v>6</v>
      </c>
      <c r="G214" s="199" t="s">
        <v>562</v>
      </c>
      <c r="H214" s="7"/>
    </row>
    <row r="215" spans="2:8" x14ac:dyDescent="0.3">
      <c r="B215" s="13">
        <v>46051</v>
      </c>
      <c r="C215" s="84">
        <v>46042</v>
      </c>
      <c r="D215" s="199" t="s">
        <v>523</v>
      </c>
      <c r="E215" s="85" t="s">
        <v>396</v>
      </c>
      <c r="F215" s="6" t="s">
        <v>6</v>
      </c>
      <c r="G215" s="199" t="s">
        <v>563</v>
      </c>
      <c r="H215" s="7"/>
    </row>
    <row r="216" spans="2:8" x14ac:dyDescent="0.3">
      <c r="B216" s="13">
        <v>46052</v>
      </c>
      <c r="C216" s="84">
        <v>46043</v>
      </c>
      <c r="D216" s="199" t="s">
        <v>523</v>
      </c>
      <c r="E216" s="85" t="s">
        <v>396</v>
      </c>
      <c r="F216" s="6" t="s">
        <v>6</v>
      </c>
      <c r="G216" s="199" t="s">
        <v>563</v>
      </c>
      <c r="H216" s="7"/>
    </row>
    <row r="217" spans="2:8" x14ac:dyDescent="0.3">
      <c r="B217" s="13">
        <v>46055</v>
      </c>
      <c r="C217" s="84">
        <v>46055</v>
      </c>
      <c r="D217" s="199" t="s">
        <v>564</v>
      </c>
      <c r="E217" s="85" t="s">
        <v>396</v>
      </c>
      <c r="F217" s="6" t="s">
        <v>6</v>
      </c>
      <c r="G217" s="199" t="s">
        <v>565</v>
      </c>
      <c r="H217" s="7"/>
    </row>
    <row r="218" spans="2:8" x14ac:dyDescent="0.3">
      <c r="B218" s="13">
        <v>46056</v>
      </c>
      <c r="C218" s="84">
        <v>46056</v>
      </c>
      <c r="D218" s="199" t="s">
        <v>564</v>
      </c>
      <c r="E218" s="85" t="s">
        <v>396</v>
      </c>
      <c r="F218" s="6" t="s">
        <v>6</v>
      </c>
      <c r="G218" s="199" t="s">
        <v>565</v>
      </c>
      <c r="H218" s="7"/>
    </row>
    <row r="219" spans="2:8" x14ac:dyDescent="0.3">
      <c r="B219" s="13">
        <v>46057</v>
      </c>
      <c r="C219" s="84">
        <v>46057</v>
      </c>
      <c r="D219" s="199" t="s">
        <v>523</v>
      </c>
      <c r="E219" s="85" t="s">
        <v>396</v>
      </c>
      <c r="F219" s="6" t="s">
        <v>6</v>
      </c>
      <c r="G219" s="199" t="s">
        <v>566</v>
      </c>
      <c r="H219" s="7"/>
    </row>
    <row r="220" spans="2:8" x14ac:dyDescent="0.3">
      <c r="B220" s="13">
        <v>46058</v>
      </c>
      <c r="C220" s="84">
        <v>46058</v>
      </c>
      <c r="D220" s="199" t="s">
        <v>523</v>
      </c>
      <c r="E220" s="85" t="s">
        <v>396</v>
      </c>
      <c r="F220" s="6" t="s">
        <v>6</v>
      </c>
      <c r="G220" s="199" t="s">
        <v>567</v>
      </c>
      <c r="H220" s="7"/>
    </row>
    <row r="221" spans="2:8" x14ac:dyDescent="0.3">
      <c r="B221" s="13">
        <v>46059</v>
      </c>
      <c r="C221" s="84">
        <v>46059</v>
      </c>
      <c r="D221" s="199" t="s">
        <v>523</v>
      </c>
      <c r="E221" s="85" t="s">
        <v>396</v>
      </c>
      <c r="F221" s="6" t="s">
        <v>6</v>
      </c>
      <c r="G221" s="199" t="s">
        <v>567</v>
      </c>
      <c r="H221" s="7"/>
    </row>
    <row r="222" spans="2:8" x14ac:dyDescent="0.3">
      <c r="B222" s="13">
        <v>46062</v>
      </c>
      <c r="C222" s="84">
        <v>46060</v>
      </c>
      <c r="D222" s="199" t="s">
        <v>419</v>
      </c>
      <c r="E222" s="85" t="s">
        <v>396</v>
      </c>
      <c r="F222" s="6" t="s">
        <v>6</v>
      </c>
      <c r="G222" s="199" t="s">
        <v>568</v>
      </c>
      <c r="H222" s="7"/>
    </row>
    <row r="223" spans="2:8" x14ac:dyDescent="0.3">
      <c r="B223" s="13">
        <v>46063</v>
      </c>
      <c r="C223" s="84">
        <v>46061</v>
      </c>
      <c r="D223" s="199" t="s">
        <v>419</v>
      </c>
      <c r="E223" s="85" t="s">
        <v>396</v>
      </c>
      <c r="F223" s="6" t="s">
        <v>6</v>
      </c>
      <c r="G223" s="199" t="s">
        <v>568</v>
      </c>
      <c r="H223" s="7"/>
    </row>
    <row r="224" spans="2:8" x14ac:dyDescent="0.3">
      <c r="B224" s="13">
        <v>46064</v>
      </c>
      <c r="C224" s="84">
        <v>46062</v>
      </c>
      <c r="D224" s="199" t="s">
        <v>419</v>
      </c>
      <c r="E224" s="85" t="s">
        <v>396</v>
      </c>
      <c r="F224" s="6" t="s">
        <v>6</v>
      </c>
      <c r="G224" s="199" t="s">
        <v>569</v>
      </c>
      <c r="H224" s="7"/>
    </row>
    <row r="225" spans="2:8" x14ac:dyDescent="0.3">
      <c r="B225" s="13">
        <v>46065</v>
      </c>
      <c r="C225" s="84">
        <v>46063</v>
      </c>
      <c r="D225" s="199" t="s">
        <v>564</v>
      </c>
      <c r="E225" s="85" t="s">
        <v>396</v>
      </c>
      <c r="F225" s="6" t="s">
        <v>6</v>
      </c>
      <c r="G225" s="199" t="s">
        <v>570</v>
      </c>
      <c r="H225" s="7"/>
    </row>
    <row r="226" spans="2:8" x14ac:dyDescent="0.3">
      <c r="B226" s="13">
        <v>46066</v>
      </c>
      <c r="C226" s="84">
        <v>46064</v>
      </c>
      <c r="D226" s="199" t="s">
        <v>462</v>
      </c>
      <c r="E226" s="85" t="s">
        <v>396</v>
      </c>
      <c r="F226" s="6" t="s">
        <v>6</v>
      </c>
      <c r="G226" s="199" t="s">
        <v>571</v>
      </c>
      <c r="H226" s="7"/>
    </row>
    <row r="227" spans="2:8" x14ac:dyDescent="0.3">
      <c r="B227" s="13">
        <v>46069</v>
      </c>
      <c r="C227" s="84">
        <v>46065</v>
      </c>
      <c r="D227" s="7"/>
      <c r="E227" s="85" t="s">
        <v>396</v>
      </c>
      <c r="F227" s="6"/>
      <c r="G227" s="199" t="s">
        <v>572</v>
      </c>
      <c r="H227" s="7"/>
    </row>
    <row r="228" spans="2:8" x14ac:dyDescent="0.3">
      <c r="B228" s="13">
        <v>46070</v>
      </c>
      <c r="C228" s="84">
        <v>46066</v>
      </c>
      <c r="D228" s="7"/>
      <c r="E228" s="85" t="s">
        <v>396</v>
      </c>
      <c r="F228" s="6"/>
      <c r="G228" s="199" t="s">
        <v>572</v>
      </c>
      <c r="H228" s="7"/>
    </row>
    <row r="229" spans="2:8" x14ac:dyDescent="0.3">
      <c r="B229" s="13">
        <v>46071</v>
      </c>
      <c r="C229" s="84">
        <v>46067</v>
      </c>
      <c r="D229" s="7"/>
      <c r="E229" s="85" t="s">
        <v>396</v>
      </c>
      <c r="F229" s="6"/>
      <c r="G229" s="199" t="s">
        <v>572</v>
      </c>
      <c r="H229" s="7"/>
    </row>
    <row r="230" spans="2:8" x14ac:dyDescent="0.3">
      <c r="B230" s="13">
        <v>46072</v>
      </c>
      <c r="C230" s="84">
        <v>46068</v>
      </c>
      <c r="D230" s="7"/>
      <c r="E230" s="85" t="s">
        <v>396</v>
      </c>
      <c r="F230" s="6"/>
      <c r="G230" s="199" t="s">
        <v>572</v>
      </c>
      <c r="H230" s="7"/>
    </row>
    <row r="231" spans="2:8" x14ac:dyDescent="0.3">
      <c r="B231" s="13">
        <v>46073</v>
      </c>
      <c r="C231" s="84">
        <v>46069</v>
      </c>
      <c r="D231" s="7"/>
      <c r="E231" s="85" t="s">
        <v>396</v>
      </c>
      <c r="F231" s="6"/>
      <c r="G231" s="199" t="s">
        <v>572</v>
      </c>
      <c r="H231" s="7"/>
    </row>
    <row r="232" spans="2:8" x14ac:dyDescent="0.3">
      <c r="B232" s="13">
        <v>46076</v>
      </c>
      <c r="C232" s="84">
        <v>46070</v>
      </c>
      <c r="D232" s="7"/>
      <c r="E232" s="85" t="s">
        <v>396</v>
      </c>
      <c r="F232" s="6"/>
      <c r="G232" s="199" t="s">
        <v>572</v>
      </c>
      <c r="H232" s="7"/>
    </row>
    <row r="233" spans="2:8" x14ac:dyDescent="0.3">
      <c r="B233" s="13">
        <v>46077</v>
      </c>
      <c r="C233" s="84">
        <v>46071</v>
      </c>
      <c r="D233" s="7"/>
      <c r="E233" s="85" t="s">
        <v>396</v>
      </c>
      <c r="F233" s="6"/>
      <c r="G233" s="199" t="s">
        <v>572</v>
      </c>
      <c r="H233" s="7"/>
    </row>
    <row r="234" spans="2:8" x14ac:dyDescent="0.3">
      <c r="B234" s="13">
        <v>46078</v>
      </c>
      <c r="C234" s="84">
        <v>46072</v>
      </c>
      <c r="D234" s="7"/>
      <c r="E234" s="85" t="s">
        <v>396</v>
      </c>
      <c r="F234" s="6"/>
      <c r="G234" s="199" t="s">
        <v>572</v>
      </c>
      <c r="H234" s="7"/>
    </row>
    <row r="235" spans="2:8" x14ac:dyDescent="0.3">
      <c r="B235" s="13">
        <v>46079</v>
      </c>
      <c r="C235" s="84">
        <v>46073</v>
      </c>
      <c r="D235" s="7"/>
      <c r="E235" s="85" t="s">
        <v>396</v>
      </c>
      <c r="F235" s="6"/>
      <c r="G235" s="199" t="s">
        <v>572</v>
      </c>
      <c r="H235" s="7"/>
    </row>
    <row r="236" spans="2:8" x14ac:dyDescent="0.3">
      <c r="B236" s="13">
        <v>46080</v>
      </c>
      <c r="C236" s="84">
        <v>46074</v>
      </c>
      <c r="D236" s="7"/>
      <c r="E236" s="85" t="s">
        <v>396</v>
      </c>
      <c r="F236" s="6"/>
      <c r="G236" s="199" t="s">
        <v>572</v>
      </c>
      <c r="H236" s="7"/>
    </row>
    <row r="237" spans="2:8" ht="30.75" x14ac:dyDescent="0.3">
      <c r="B237" s="13">
        <v>46083</v>
      </c>
      <c r="C237" s="84">
        <v>46083</v>
      </c>
      <c r="D237" s="199" t="s">
        <v>462</v>
      </c>
      <c r="E237" s="85" t="s">
        <v>396</v>
      </c>
      <c r="F237" s="6" t="s">
        <v>6</v>
      </c>
      <c r="G237" s="200" t="s">
        <v>573</v>
      </c>
      <c r="H237" s="7"/>
    </row>
    <row r="238" spans="2:8" x14ac:dyDescent="0.3">
      <c r="B238" s="13">
        <v>46084</v>
      </c>
      <c r="C238" s="84">
        <v>46084</v>
      </c>
      <c r="D238" s="199" t="s">
        <v>462</v>
      </c>
      <c r="E238" s="85" t="s">
        <v>396</v>
      </c>
      <c r="F238" s="6" t="s">
        <v>6</v>
      </c>
      <c r="G238" s="199" t="s">
        <v>574</v>
      </c>
      <c r="H238" s="7"/>
    </row>
    <row r="239" spans="2:8" x14ac:dyDescent="0.3">
      <c r="B239" s="13">
        <v>46085</v>
      </c>
      <c r="C239" s="84">
        <v>46085</v>
      </c>
      <c r="D239" s="199" t="s">
        <v>462</v>
      </c>
      <c r="E239" s="85" t="s">
        <v>396</v>
      </c>
      <c r="F239" s="6" t="s">
        <v>6</v>
      </c>
      <c r="G239" s="199" t="s">
        <v>575</v>
      </c>
      <c r="H239" s="7"/>
    </row>
    <row r="240" spans="2:8" ht="30.75" x14ac:dyDescent="0.3">
      <c r="B240" s="13">
        <v>46086</v>
      </c>
      <c r="C240" s="84">
        <v>46086</v>
      </c>
      <c r="D240" s="199" t="s">
        <v>576</v>
      </c>
      <c r="E240" s="85" t="s">
        <v>396</v>
      </c>
      <c r="F240" s="6" t="s">
        <v>6</v>
      </c>
      <c r="G240" s="200" t="s">
        <v>577</v>
      </c>
      <c r="H240" s="7"/>
    </row>
    <row r="241" spans="2:10" x14ac:dyDescent="0.3">
      <c r="B241" s="13">
        <v>46087</v>
      </c>
      <c r="C241" s="84">
        <v>46087</v>
      </c>
      <c r="D241" s="199" t="s">
        <v>523</v>
      </c>
      <c r="E241" s="85" t="s">
        <v>396</v>
      </c>
      <c r="F241" s="6" t="s">
        <v>6</v>
      </c>
      <c r="G241" s="199" t="s">
        <v>578</v>
      </c>
      <c r="H241" s="7"/>
    </row>
    <row r="242" spans="2:10" ht="30.75" x14ac:dyDescent="0.3">
      <c r="B242" s="13">
        <v>46090</v>
      </c>
      <c r="C242" s="84">
        <v>46088</v>
      </c>
      <c r="D242" s="199" t="s">
        <v>523</v>
      </c>
      <c r="E242" s="85" t="s">
        <v>396</v>
      </c>
      <c r="F242" s="6" t="s">
        <v>6</v>
      </c>
      <c r="G242" s="200" t="s">
        <v>579</v>
      </c>
      <c r="H242" s="7"/>
    </row>
    <row r="243" spans="2:10" ht="30.75" x14ac:dyDescent="0.3">
      <c r="B243" s="13">
        <v>46091</v>
      </c>
      <c r="C243" s="84">
        <v>46089</v>
      </c>
      <c r="D243" s="199" t="s">
        <v>523</v>
      </c>
      <c r="E243" s="85" t="s">
        <v>396</v>
      </c>
      <c r="F243" s="6" t="s">
        <v>6</v>
      </c>
      <c r="G243" s="200" t="s">
        <v>579</v>
      </c>
      <c r="H243" s="7"/>
    </row>
    <row r="244" spans="2:10" x14ac:dyDescent="0.3">
      <c r="B244" s="13">
        <v>46092</v>
      </c>
      <c r="C244" s="84">
        <v>46090</v>
      </c>
      <c r="D244" s="199" t="s">
        <v>523</v>
      </c>
      <c r="E244" s="85" t="s">
        <v>396</v>
      </c>
      <c r="F244" s="6" t="s">
        <v>6</v>
      </c>
      <c r="G244" s="199" t="s">
        <v>580</v>
      </c>
      <c r="H244" s="314" t="s">
        <v>3302</v>
      </c>
      <c r="I244" s="1" t="s">
        <v>3307</v>
      </c>
      <c r="J244" s="1" t="s">
        <v>3354</v>
      </c>
    </row>
    <row r="245" spans="2:10" x14ac:dyDescent="0.3">
      <c r="B245" s="13">
        <v>46093</v>
      </c>
      <c r="C245" s="84">
        <v>46091</v>
      </c>
      <c r="D245" s="199" t="s">
        <v>523</v>
      </c>
      <c r="E245" s="85" t="s">
        <v>396</v>
      </c>
      <c r="F245" s="6" t="s">
        <v>6</v>
      </c>
      <c r="G245" s="199" t="s">
        <v>580</v>
      </c>
      <c r="H245" s="314" t="s">
        <v>3302</v>
      </c>
      <c r="I245" s="313" t="s">
        <v>3308</v>
      </c>
      <c r="J245" s="313" t="s">
        <v>3354</v>
      </c>
    </row>
    <row r="246" spans="2:10" x14ac:dyDescent="0.3">
      <c r="B246" s="13">
        <v>46094</v>
      </c>
      <c r="C246" s="84">
        <v>46092</v>
      </c>
      <c r="D246" s="199" t="s">
        <v>523</v>
      </c>
      <c r="E246" s="85" t="s">
        <v>396</v>
      </c>
      <c r="F246" s="6" t="s">
        <v>6</v>
      </c>
      <c r="G246" s="199" t="s">
        <v>580</v>
      </c>
      <c r="H246" s="314" t="s">
        <v>3302</v>
      </c>
      <c r="I246" s="313" t="s">
        <v>3307</v>
      </c>
      <c r="J246" s="313" t="s">
        <v>3354</v>
      </c>
    </row>
    <row r="247" spans="2:10" x14ac:dyDescent="0.3">
      <c r="B247" s="13">
        <v>46097</v>
      </c>
      <c r="C247" s="84">
        <v>46093</v>
      </c>
      <c r="D247" s="199" t="s">
        <v>523</v>
      </c>
      <c r="E247" s="85" t="s">
        <v>396</v>
      </c>
      <c r="F247" s="6" t="s">
        <v>6</v>
      </c>
      <c r="G247" s="199" t="s">
        <v>581</v>
      </c>
      <c r="H247" s="314" t="s">
        <v>3303</v>
      </c>
      <c r="I247" s="313" t="s">
        <v>3308</v>
      </c>
      <c r="J247" s="313" t="s">
        <v>3354</v>
      </c>
    </row>
    <row r="248" spans="2:10" x14ac:dyDescent="0.3">
      <c r="B248" s="13">
        <v>46098</v>
      </c>
      <c r="C248" s="84">
        <v>46094</v>
      </c>
      <c r="D248" s="199" t="s">
        <v>523</v>
      </c>
      <c r="E248" s="85" t="s">
        <v>396</v>
      </c>
      <c r="F248" s="6" t="s">
        <v>6</v>
      </c>
      <c r="G248" s="199" t="s">
        <v>582</v>
      </c>
      <c r="H248" s="314" t="s">
        <v>3304</v>
      </c>
      <c r="I248" s="313" t="s">
        <v>3307</v>
      </c>
      <c r="J248" s="313" t="s">
        <v>3354</v>
      </c>
    </row>
    <row r="249" spans="2:10" x14ac:dyDescent="0.3">
      <c r="B249" s="207">
        <v>46099</v>
      </c>
      <c r="C249" s="84">
        <v>46095</v>
      </c>
      <c r="D249" s="199" t="s">
        <v>523</v>
      </c>
      <c r="E249" s="85" t="s">
        <v>396</v>
      </c>
      <c r="F249" s="6" t="s">
        <v>6</v>
      </c>
      <c r="G249" s="260" t="s">
        <v>582</v>
      </c>
      <c r="H249" s="314" t="s">
        <v>3305</v>
      </c>
      <c r="I249" s="313" t="s">
        <v>3307</v>
      </c>
      <c r="J249" s="313" t="s">
        <v>3354</v>
      </c>
    </row>
    <row r="250" spans="2:10" x14ac:dyDescent="0.3">
      <c r="B250" s="207">
        <v>46100</v>
      </c>
      <c r="C250" s="84">
        <v>46096</v>
      </c>
      <c r="D250" s="199" t="s">
        <v>523</v>
      </c>
      <c r="E250" s="85" t="s">
        <v>396</v>
      </c>
      <c r="F250" s="108" t="s">
        <v>6</v>
      </c>
      <c r="G250" s="259" t="s">
        <v>583</v>
      </c>
      <c r="H250" s="314" t="s">
        <v>3306</v>
      </c>
      <c r="I250" s="313" t="s">
        <v>3308</v>
      </c>
      <c r="J250" s="313" t="s">
        <v>3354</v>
      </c>
    </row>
    <row r="251" spans="2:10" x14ac:dyDescent="0.3">
      <c r="B251" s="207">
        <v>46101</v>
      </c>
      <c r="C251" s="84">
        <v>46097</v>
      </c>
      <c r="D251" s="199" t="s">
        <v>523</v>
      </c>
      <c r="E251" s="85" t="s">
        <v>396</v>
      </c>
      <c r="F251" s="108" t="s">
        <v>6</v>
      </c>
      <c r="G251" s="259" t="s">
        <v>583</v>
      </c>
      <c r="H251" s="314" t="s">
        <v>3306</v>
      </c>
      <c r="I251" s="313" t="s">
        <v>3308</v>
      </c>
      <c r="J251" s="313" t="s">
        <v>3354</v>
      </c>
    </row>
    <row r="252" spans="2:10" x14ac:dyDescent="0.3">
      <c r="B252" s="13">
        <v>46104</v>
      </c>
      <c r="C252" s="84">
        <v>46098</v>
      </c>
      <c r="D252" s="199" t="s">
        <v>523</v>
      </c>
      <c r="E252" s="85" t="s">
        <v>396</v>
      </c>
      <c r="F252" s="108" t="s">
        <v>6</v>
      </c>
      <c r="G252" s="261" t="s">
        <v>3299</v>
      </c>
      <c r="H252" s="314" t="s">
        <v>3300</v>
      </c>
      <c r="I252" s="313" t="s">
        <v>3301</v>
      </c>
      <c r="J252" s="313" t="s">
        <v>3354</v>
      </c>
    </row>
    <row r="253" spans="2:10" x14ac:dyDescent="0.3">
      <c r="B253" s="13">
        <v>46104</v>
      </c>
      <c r="C253" s="84">
        <v>46099</v>
      </c>
      <c r="D253" s="199" t="s">
        <v>523</v>
      </c>
      <c r="E253" s="85" t="s">
        <v>396</v>
      </c>
      <c r="F253" s="108" t="s">
        <v>6</v>
      </c>
      <c r="G253" s="380" t="s">
        <v>3299</v>
      </c>
      <c r="H253" s="314" t="s">
        <v>3300</v>
      </c>
      <c r="I253" s="313" t="s">
        <v>3301</v>
      </c>
      <c r="J253" s="313" t="s">
        <v>3354</v>
      </c>
    </row>
    <row r="254" spans="2:10" x14ac:dyDescent="0.3">
      <c r="B254" s="207">
        <v>46105</v>
      </c>
      <c r="C254" s="84">
        <v>46100</v>
      </c>
      <c r="D254" s="381" t="s">
        <v>523</v>
      </c>
      <c r="E254" s="85" t="s">
        <v>396</v>
      </c>
      <c r="F254" s="108" t="s">
        <v>6</v>
      </c>
      <c r="G254" s="380" t="s">
        <v>3299</v>
      </c>
      <c r="H254" s="314" t="s">
        <v>3391</v>
      </c>
      <c r="I254" s="313" t="s">
        <v>3392</v>
      </c>
      <c r="J254" s="313" t="s">
        <v>3354</v>
      </c>
    </row>
    <row r="255" spans="2:10" x14ac:dyDescent="0.3">
      <c r="B255" s="207">
        <v>46106</v>
      </c>
      <c r="C255" s="84">
        <v>46101</v>
      </c>
      <c r="D255" s="381" t="s">
        <v>2151</v>
      </c>
      <c r="E255" s="85" t="s">
        <v>396</v>
      </c>
      <c r="F255" s="108" t="s">
        <v>6</v>
      </c>
      <c r="G255" s="199" t="s">
        <v>3428</v>
      </c>
      <c r="H255" s="314" t="s">
        <v>3391</v>
      </c>
      <c r="I255" s="313" t="s">
        <v>3400</v>
      </c>
      <c r="J255" s="313" t="s">
        <v>3393</v>
      </c>
    </row>
    <row r="256" spans="2:10" x14ac:dyDescent="0.3">
      <c r="B256" s="207">
        <v>46107</v>
      </c>
      <c r="C256" s="84">
        <v>46102</v>
      </c>
      <c r="D256" s="381" t="s">
        <v>3490</v>
      </c>
      <c r="E256" s="85" t="s">
        <v>396</v>
      </c>
      <c r="F256" s="108" t="s">
        <v>6</v>
      </c>
      <c r="G256" s="259" t="s">
        <v>3491</v>
      </c>
      <c r="H256" s="259" t="s">
        <v>3492</v>
      </c>
      <c r="I256" s="259" t="s">
        <v>3493</v>
      </c>
      <c r="J256" s="313" t="s">
        <v>3354</v>
      </c>
    </row>
    <row r="257" spans="2:10" x14ac:dyDescent="0.3">
      <c r="B257" s="207">
        <v>46108</v>
      </c>
      <c r="C257" s="84">
        <v>46103</v>
      </c>
      <c r="D257" s="381" t="s">
        <v>523</v>
      </c>
      <c r="E257" s="85" t="s">
        <v>396</v>
      </c>
      <c r="F257" s="108" t="s">
        <v>6</v>
      </c>
      <c r="G257" s="259" t="s">
        <v>3557</v>
      </c>
      <c r="H257" s="259" t="s">
        <v>3558</v>
      </c>
      <c r="I257" s="313" t="s">
        <v>3308</v>
      </c>
      <c r="J257" s="313" t="s">
        <v>3354</v>
      </c>
    </row>
    <row r="258" spans="2:10" x14ac:dyDescent="0.3">
      <c r="B258" s="10"/>
      <c r="C258" s="10"/>
      <c r="D258" s="7"/>
      <c r="E258" s="7"/>
      <c r="F258" s="7"/>
      <c r="G258" s="36"/>
      <c r="H258" s="7"/>
      <c r="J258" s="313"/>
    </row>
    <row r="259" spans="2:10" x14ac:dyDescent="0.3">
      <c r="B259" s="10"/>
      <c r="C259" s="10"/>
      <c r="D259" s="7"/>
      <c r="E259" s="7"/>
      <c r="F259" s="7"/>
      <c r="G259" s="36"/>
      <c r="H259" s="7"/>
    </row>
    <row r="260" spans="2:10" x14ac:dyDescent="0.3">
      <c r="B260" s="10"/>
      <c r="C260" s="10"/>
      <c r="D260" s="7"/>
      <c r="E260" s="7"/>
      <c r="F260" s="7"/>
      <c r="G260" s="36"/>
      <c r="H260" s="7"/>
    </row>
    <row r="261" spans="2:10" x14ac:dyDescent="0.3">
      <c r="B261" s="10"/>
      <c r="C261" s="10"/>
      <c r="D261" s="7"/>
      <c r="E261" s="7"/>
      <c r="F261" s="7"/>
      <c r="G261" s="36"/>
      <c r="H261" s="7"/>
    </row>
    <row r="262" spans="2:10" x14ac:dyDescent="0.3">
      <c r="B262" s="10"/>
      <c r="C262" s="10"/>
      <c r="D262" s="7"/>
      <c r="E262" s="7"/>
      <c r="F262" s="7"/>
      <c r="G262" s="36"/>
      <c r="H262" s="7"/>
    </row>
    <row r="263" spans="2:10" x14ac:dyDescent="0.3">
      <c r="B263" s="10"/>
      <c r="C263" s="10"/>
      <c r="D263" s="7"/>
      <c r="E263" s="7"/>
      <c r="F263" s="7"/>
      <c r="G263" s="36"/>
      <c r="H263" s="7"/>
    </row>
    <row r="264" spans="2:10" x14ac:dyDescent="0.3">
      <c r="B264" s="10"/>
      <c r="C264" s="10"/>
      <c r="D264" s="7"/>
      <c r="E264" s="7"/>
      <c r="F264" s="7"/>
      <c r="G264" s="36"/>
      <c r="H264" s="7"/>
    </row>
    <row r="265" spans="2:10" x14ac:dyDescent="0.3">
      <c r="B265" s="10"/>
      <c r="C265" s="10"/>
      <c r="D265" s="7"/>
      <c r="E265" s="7"/>
      <c r="F265" s="7"/>
      <c r="G265" s="36"/>
      <c r="H265" s="7"/>
    </row>
    <row r="266" spans="2:10" x14ac:dyDescent="0.3">
      <c r="B266" s="10"/>
      <c r="C266" s="10"/>
      <c r="D266" s="7"/>
      <c r="E266" s="7"/>
      <c r="F266" s="7"/>
      <c r="G266" s="36"/>
      <c r="H266" s="7"/>
    </row>
    <row r="267" spans="2:10" x14ac:dyDescent="0.3">
      <c r="B267" s="10"/>
      <c r="C267" s="10"/>
      <c r="D267" s="7"/>
      <c r="E267" s="7"/>
      <c r="F267" s="7"/>
      <c r="G267" s="36"/>
      <c r="H267" s="7"/>
    </row>
    <row r="268" spans="2:10" x14ac:dyDescent="0.3">
      <c r="B268" s="10"/>
      <c r="C268" s="10"/>
      <c r="D268" s="7"/>
      <c r="E268" s="7"/>
      <c r="F268" s="7"/>
      <c r="G268" s="36"/>
      <c r="H268" s="7"/>
    </row>
    <row r="269" spans="2:10" x14ac:dyDescent="0.3">
      <c r="B269" s="10"/>
      <c r="C269" s="10"/>
      <c r="D269" s="7"/>
      <c r="E269" s="7"/>
      <c r="F269" s="7"/>
      <c r="G269" s="36"/>
      <c r="H269" s="7"/>
    </row>
    <row r="270" spans="2:10" x14ac:dyDescent="0.3">
      <c r="B270" s="10"/>
      <c r="C270" s="10"/>
      <c r="D270" s="7"/>
      <c r="E270" s="7"/>
      <c r="F270" s="7"/>
      <c r="G270" s="36"/>
      <c r="H270" s="7"/>
    </row>
    <row r="271" spans="2:10" x14ac:dyDescent="0.3">
      <c r="B271" s="10"/>
      <c r="C271" s="10"/>
      <c r="D271" s="7"/>
      <c r="E271" s="7"/>
      <c r="F271" s="7"/>
      <c r="G271" s="36"/>
      <c r="H271" s="7"/>
    </row>
    <row r="272" spans="2:10" x14ac:dyDescent="0.3">
      <c r="B272" s="10"/>
      <c r="C272" s="10"/>
      <c r="D272" s="7"/>
      <c r="E272" s="7"/>
      <c r="F272" s="7"/>
      <c r="G272" s="36"/>
      <c r="H272" s="7"/>
    </row>
    <row r="273" spans="2:8" x14ac:dyDescent="0.3">
      <c r="B273" s="10"/>
      <c r="C273" s="10"/>
      <c r="D273" s="7"/>
      <c r="E273" s="7"/>
      <c r="F273" s="7"/>
      <c r="G273" s="36"/>
      <c r="H273" s="7"/>
    </row>
    <row r="274" spans="2:8" x14ac:dyDescent="0.3">
      <c r="B274" s="10"/>
      <c r="C274" s="10"/>
      <c r="D274" s="7"/>
      <c r="E274" s="7"/>
      <c r="F274" s="7"/>
      <c r="G274" s="36"/>
      <c r="H274" s="7"/>
    </row>
    <row r="275" spans="2:8" x14ac:dyDescent="0.3">
      <c r="B275" s="10"/>
      <c r="C275" s="10"/>
      <c r="D275" s="7"/>
      <c r="E275" s="7"/>
      <c r="F275" s="7"/>
      <c r="G275" s="36"/>
      <c r="H275" s="7"/>
    </row>
    <row r="276" spans="2:8" x14ac:dyDescent="0.3">
      <c r="B276" s="10"/>
      <c r="C276" s="10"/>
      <c r="D276" s="7"/>
      <c r="E276" s="7"/>
      <c r="F276" s="7"/>
      <c r="G276" s="36"/>
      <c r="H276" s="7"/>
    </row>
    <row r="277" spans="2:8" x14ac:dyDescent="0.3">
      <c r="B277" s="10"/>
      <c r="C277" s="10"/>
      <c r="D277" s="7"/>
      <c r="E277" s="7"/>
      <c r="F277" s="7"/>
      <c r="G277" s="36"/>
      <c r="H277" s="7"/>
    </row>
    <row r="278" spans="2:8" x14ac:dyDescent="0.3">
      <c r="B278" s="10"/>
      <c r="C278" s="10"/>
      <c r="D278" s="7"/>
      <c r="E278" s="7"/>
      <c r="F278" s="7"/>
      <c r="G278" s="36"/>
      <c r="H278" s="7"/>
    </row>
    <row r="279" spans="2:8" x14ac:dyDescent="0.3">
      <c r="B279" s="10"/>
      <c r="C279" s="10"/>
      <c r="D279" s="7"/>
      <c r="E279" s="7"/>
      <c r="F279" s="7"/>
      <c r="G279" s="36"/>
      <c r="H279" s="7"/>
    </row>
    <row r="280" spans="2:8" x14ac:dyDescent="0.3">
      <c r="B280" s="10"/>
      <c r="C280" s="10"/>
      <c r="D280" s="7"/>
      <c r="E280" s="7"/>
      <c r="F280" s="7"/>
      <c r="G280" s="36"/>
      <c r="H280" s="7"/>
    </row>
    <row r="281" spans="2:8" x14ac:dyDescent="0.3">
      <c r="B281" s="10"/>
      <c r="C281" s="10"/>
      <c r="D281" s="7"/>
      <c r="E281" s="7"/>
      <c r="F281" s="7"/>
      <c r="G281" s="36"/>
      <c r="H281" s="7"/>
    </row>
    <row r="282" spans="2:8" x14ac:dyDescent="0.3">
      <c r="B282" s="10"/>
      <c r="C282" s="10"/>
      <c r="D282" s="7"/>
      <c r="E282" s="7"/>
      <c r="F282" s="7"/>
      <c r="G282" s="36"/>
      <c r="H282" s="7"/>
    </row>
    <row r="283" spans="2:8" x14ac:dyDescent="0.3">
      <c r="B283" s="10"/>
      <c r="C283" s="10"/>
      <c r="D283" s="7"/>
      <c r="E283" s="7"/>
      <c r="F283" s="7"/>
      <c r="G283" s="36"/>
      <c r="H283" s="7"/>
    </row>
    <row r="284" spans="2:8" x14ac:dyDescent="0.3">
      <c r="B284" s="10"/>
      <c r="C284" s="10"/>
      <c r="D284" s="7"/>
      <c r="E284" s="7"/>
      <c r="F284" s="7"/>
      <c r="G284" s="36"/>
      <c r="H284" s="7"/>
    </row>
    <row r="285" spans="2:8" x14ac:dyDescent="0.3">
      <c r="B285" s="10"/>
      <c r="C285" s="10"/>
      <c r="D285" s="7"/>
      <c r="E285" s="7"/>
      <c r="F285" s="7"/>
      <c r="G285" s="36"/>
      <c r="H285" s="7"/>
    </row>
    <row r="286" spans="2:8" x14ac:dyDescent="0.3">
      <c r="B286" s="10"/>
      <c r="C286" s="10"/>
      <c r="D286" s="7"/>
      <c r="E286" s="7"/>
      <c r="F286" s="7"/>
      <c r="G286" s="36"/>
      <c r="H286" s="7"/>
    </row>
    <row r="287" spans="2:8" x14ac:dyDescent="0.3">
      <c r="B287" s="10"/>
      <c r="C287" s="10"/>
      <c r="D287" s="7"/>
      <c r="E287" s="7"/>
      <c r="F287" s="7"/>
      <c r="G287" s="36"/>
      <c r="H287" s="7"/>
    </row>
    <row r="288" spans="2:8" x14ac:dyDescent="0.3">
      <c r="B288" s="10"/>
      <c r="C288" s="10"/>
      <c r="D288" s="7"/>
      <c r="E288" s="7"/>
      <c r="F288" s="7"/>
      <c r="G288" s="36"/>
      <c r="H288" s="7"/>
    </row>
    <row r="289" spans="2:8" x14ac:dyDescent="0.3">
      <c r="B289" s="10"/>
      <c r="C289" s="10"/>
      <c r="D289" s="7"/>
      <c r="E289" s="7"/>
      <c r="F289" s="7"/>
      <c r="G289" s="36"/>
      <c r="H289" s="7"/>
    </row>
    <row r="290" spans="2:8" x14ac:dyDescent="0.3">
      <c r="B290" s="10"/>
      <c r="C290" s="10"/>
      <c r="D290" s="7"/>
      <c r="E290" s="7"/>
      <c r="F290" s="7"/>
      <c r="G290" s="36"/>
      <c r="H290" s="7"/>
    </row>
    <row r="291" spans="2:8" x14ac:dyDescent="0.3">
      <c r="B291" s="10"/>
      <c r="C291" s="10"/>
      <c r="D291" s="7"/>
      <c r="E291" s="7"/>
      <c r="F291" s="7"/>
      <c r="G291" s="36"/>
      <c r="H291" s="7"/>
    </row>
    <row r="292" spans="2:8" x14ac:dyDescent="0.3">
      <c r="B292" s="10"/>
      <c r="C292" s="10"/>
      <c r="D292" s="7"/>
      <c r="E292" s="7"/>
      <c r="F292" s="7"/>
      <c r="G292" s="36"/>
      <c r="H292" s="7"/>
    </row>
    <row r="293" spans="2:8" x14ac:dyDescent="0.3">
      <c r="B293" s="10"/>
      <c r="C293" s="10"/>
      <c r="D293" s="7"/>
      <c r="E293" s="7"/>
      <c r="F293" s="7"/>
      <c r="G293" s="36"/>
      <c r="H293" s="7"/>
    </row>
    <row r="294" spans="2:8" x14ac:dyDescent="0.3">
      <c r="B294" s="10"/>
      <c r="C294" s="10"/>
      <c r="D294" s="7"/>
      <c r="E294" s="7"/>
      <c r="F294" s="7"/>
      <c r="G294" s="36"/>
      <c r="H294" s="7"/>
    </row>
    <row r="295" spans="2:8" x14ac:dyDescent="0.3">
      <c r="B295" s="10"/>
      <c r="C295" s="10"/>
      <c r="D295" s="7"/>
      <c r="E295" s="7"/>
      <c r="F295" s="7"/>
      <c r="G295" s="36"/>
      <c r="H295" s="7"/>
    </row>
    <row r="296" spans="2:8" x14ac:dyDescent="0.3">
      <c r="B296" s="10"/>
      <c r="C296" s="10"/>
      <c r="D296" s="7"/>
      <c r="E296" s="7"/>
      <c r="F296" s="7"/>
      <c r="G296" s="36"/>
      <c r="H296" s="7"/>
    </row>
    <row r="297" spans="2:8" x14ac:dyDescent="0.3">
      <c r="B297" s="10"/>
      <c r="C297" s="10"/>
      <c r="D297" s="7"/>
      <c r="E297" s="7"/>
      <c r="F297" s="7"/>
      <c r="G297" s="36"/>
      <c r="H297" s="7"/>
    </row>
    <row r="298" spans="2:8" x14ac:dyDescent="0.3">
      <c r="B298" s="10"/>
      <c r="C298" s="10"/>
      <c r="D298" s="7"/>
      <c r="E298" s="7"/>
      <c r="F298" s="7"/>
      <c r="G298" s="36"/>
      <c r="H298" s="7"/>
    </row>
    <row r="299" spans="2:8" x14ac:dyDescent="0.3">
      <c r="B299" s="10"/>
      <c r="C299" s="10"/>
      <c r="D299" s="7"/>
      <c r="E299" s="7"/>
      <c r="F299" s="7"/>
      <c r="G299" s="36"/>
      <c r="H299" s="7"/>
    </row>
    <row r="300" spans="2:8" x14ac:dyDescent="0.3">
      <c r="B300" s="10"/>
      <c r="C300" s="10"/>
      <c r="D300" s="7"/>
      <c r="E300" s="7"/>
      <c r="F300" s="7"/>
      <c r="G300" s="36"/>
      <c r="H300" s="7"/>
    </row>
    <row r="301" spans="2:8" x14ac:dyDescent="0.3">
      <c r="B301" s="10"/>
      <c r="C301" s="10"/>
      <c r="D301" s="7"/>
      <c r="E301" s="7"/>
      <c r="F301" s="7"/>
      <c r="G301" s="36"/>
      <c r="H301" s="7"/>
    </row>
    <row r="302" spans="2:8" x14ac:dyDescent="0.3">
      <c r="B302" s="10"/>
      <c r="C302" s="10"/>
      <c r="D302" s="7"/>
      <c r="E302" s="7"/>
      <c r="F302" s="7"/>
      <c r="G302" s="36"/>
      <c r="H302" s="7"/>
    </row>
    <row r="303" spans="2:8" x14ac:dyDescent="0.3">
      <c r="B303" s="10"/>
      <c r="C303" s="10"/>
      <c r="D303" s="7"/>
      <c r="E303" s="7"/>
      <c r="F303" s="7"/>
      <c r="G303" s="36"/>
      <c r="H303" s="7"/>
    </row>
    <row r="304" spans="2:8" x14ac:dyDescent="0.3">
      <c r="B304" s="10"/>
      <c r="C304" s="10"/>
      <c r="D304" s="7"/>
      <c r="E304" s="7"/>
      <c r="F304" s="7"/>
      <c r="G304" s="36"/>
      <c r="H304" s="7"/>
    </row>
    <row r="305" spans="2:8" x14ac:dyDescent="0.3">
      <c r="B305" s="10"/>
      <c r="C305" s="10"/>
      <c r="D305" s="7"/>
      <c r="E305" s="7"/>
      <c r="F305" s="7"/>
      <c r="G305" s="36"/>
      <c r="H305" s="7"/>
    </row>
    <row r="306" spans="2:8" x14ac:dyDescent="0.3">
      <c r="B306" s="10"/>
      <c r="C306" s="10"/>
      <c r="D306" s="7"/>
      <c r="E306" s="7"/>
      <c r="F306" s="7"/>
      <c r="G306" s="36"/>
      <c r="H306" s="7"/>
    </row>
    <row r="307" spans="2:8" x14ac:dyDescent="0.3">
      <c r="B307" s="10"/>
      <c r="C307" s="10"/>
      <c r="D307" s="7"/>
      <c r="E307" s="7"/>
      <c r="F307" s="7"/>
      <c r="G307" s="36"/>
      <c r="H307" s="7"/>
    </row>
    <row r="308" spans="2:8" x14ac:dyDescent="0.3">
      <c r="B308" s="10"/>
      <c r="C308" s="10"/>
      <c r="D308" s="7"/>
      <c r="E308" s="7"/>
      <c r="F308" s="7"/>
      <c r="G308" s="36"/>
      <c r="H308" s="7"/>
    </row>
    <row r="309" spans="2:8" x14ac:dyDescent="0.3">
      <c r="B309" s="10"/>
      <c r="C309" s="10"/>
      <c r="D309" s="7"/>
      <c r="E309" s="7"/>
      <c r="F309" s="7"/>
      <c r="G309" s="36"/>
      <c r="H309" s="7"/>
    </row>
    <row r="310" spans="2:8" x14ac:dyDescent="0.3">
      <c r="B310" s="10"/>
      <c r="C310" s="10"/>
      <c r="D310" s="7"/>
      <c r="E310" s="7"/>
      <c r="F310" s="7"/>
      <c r="G310" s="36"/>
      <c r="H310" s="7"/>
    </row>
    <row r="311" spans="2:8" x14ac:dyDescent="0.3">
      <c r="B311" s="10"/>
      <c r="C311" s="10"/>
      <c r="D311" s="7"/>
      <c r="E311" s="7"/>
      <c r="F311" s="7"/>
      <c r="G311" s="36"/>
      <c r="H311" s="7"/>
    </row>
    <row r="312" spans="2:8" x14ac:dyDescent="0.3">
      <c r="B312" s="10"/>
      <c r="C312" s="10"/>
      <c r="D312" s="7"/>
      <c r="E312" s="7"/>
      <c r="F312" s="7"/>
      <c r="G312" s="36"/>
      <c r="H312" s="7"/>
    </row>
    <row r="313" spans="2:8" x14ac:dyDescent="0.3">
      <c r="B313" s="10"/>
      <c r="C313" s="10"/>
      <c r="D313" s="7"/>
      <c r="E313" s="7"/>
      <c r="F313" s="7"/>
      <c r="G313" s="36"/>
      <c r="H313" s="7"/>
    </row>
    <row r="314" spans="2:8" x14ac:dyDescent="0.3">
      <c r="B314" s="10"/>
      <c r="C314" s="10"/>
      <c r="D314" s="7"/>
      <c r="E314" s="7"/>
      <c r="F314" s="7"/>
      <c r="G314" s="36"/>
      <c r="H314" s="7"/>
    </row>
    <row r="315" spans="2:8" x14ac:dyDescent="0.3">
      <c r="B315" s="10"/>
      <c r="C315" s="10"/>
      <c r="D315" s="7"/>
      <c r="E315" s="7"/>
      <c r="F315" s="7"/>
      <c r="G315" s="36"/>
      <c r="H315" s="7"/>
    </row>
    <row r="316" spans="2:8" x14ac:dyDescent="0.3">
      <c r="B316" s="10"/>
      <c r="C316" s="10"/>
      <c r="D316" s="7"/>
      <c r="E316" s="7"/>
      <c r="F316" s="7"/>
      <c r="G316" s="36"/>
      <c r="H316" s="7"/>
    </row>
    <row r="317" spans="2:8" x14ac:dyDescent="0.3">
      <c r="B317" s="10"/>
      <c r="C317" s="10"/>
      <c r="D317" s="7"/>
      <c r="E317" s="7"/>
      <c r="F317" s="7"/>
      <c r="G317" s="36"/>
      <c r="H317" s="7"/>
    </row>
    <row r="318" spans="2:8" x14ac:dyDescent="0.3">
      <c r="B318" s="10"/>
      <c r="C318" s="10"/>
      <c r="D318" s="7"/>
      <c r="E318" s="7"/>
      <c r="F318" s="7"/>
      <c r="G318" s="36"/>
      <c r="H318" s="7"/>
    </row>
    <row r="319" spans="2:8" x14ac:dyDescent="0.3">
      <c r="B319" s="10"/>
      <c r="C319" s="10"/>
      <c r="D319" s="7"/>
      <c r="E319" s="7"/>
      <c r="F319" s="7"/>
      <c r="G319" s="36"/>
      <c r="H319" s="7"/>
    </row>
    <row r="320" spans="2:8" x14ac:dyDescent="0.3">
      <c r="B320" s="10"/>
      <c r="C320" s="10"/>
      <c r="D320" s="7"/>
      <c r="E320" s="7"/>
      <c r="F320" s="7"/>
      <c r="G320" s="36"/>
      <c r="H320" s="7"/>
    </row>
    <row r="321" spans="2:8" x14ac:dyDescent="0.3">
      <c r="B321" s="10"/>
      <c r="C321" s="10"/>
      <c r="D321" s="7"/>
      <c r="E321" s="7"/>
      <c r="F321" s="7"/>
      <c r="G321" s="36"/>
      <c r="H321" s="7"/>
    </row>
    <row r="322" spans="2:8" x14ac:dyDescent="0.3">
      <c r="B322" s="10"/>
      <c r="C322" s="10"/>
      <c r="D322" s="7"/>
      <c r="E322" s="7"/>
      <c r="F322" s="7"/>
      <c r="G322" s="36"/>
      <c r="H322" s="7"/>
    </row>
    <row r="323" spans="2:8" x14ac:dyDescent="0.3">
      <c r="B323" s="10"/>
      <c r="C323" s="10"/>
      <c r="D323" s="7"/>
      <c r="E323" s="7"/>
      <c r="F323" s="7"/>
      <c r="G323" s="36"/>
      <c r="H323" s="7"/>
    </row>
    <row r="324" spans="2:8" x14ac:dyDescent="0.3">
      <c r="B324" s="10"/>
      <c r="C324" s="10"/>
      <c r="D324" s="7"/>
      <c r="E324" s="7"/>
      <c r="F324" s="7"/>
      <c r="G324" s="36"/>
      <c r="H324" s="7"/>
    </row>
    <row r="325" spans="2:8" x14ac:dyDescent="0.3">
      <c r="B325" s="10"/>
      <c r="C325" s="10"/>
      <c r="D325" s="7"/>
      <c r="E325" s="7"/>
      <c r="F325" s="7"/>
      <c r="G325" s="36"/>
      <c r="H325" s="7"/>
    </row>
    <row r="326" spans="2:8" x14ac:dyDescent="0.3">
      <c r="B326" s="10"/>
      <c r="C326" s="10"/>
      <c r="D326" s="7"/>
      <c r="E326" s="7"/>
      <c r="F326" s="7"/>
      <c r="G326" s="36"/>
      <c r="H326" s="7"/>
    </row>
    <row r="327" spans="2:8" x14ac:dyDescent="0.3">
      <c r="B327" s="10"/>
      <c r="C327" s="10"/>
      <c r="D327" s="7"/>
      <c r="E327" s="7"/>
      <c r="F327" s="7"/>
      <c r="G327" s="36"/>
      <c r="H327" s="7"/>
    </row>
    <row r="328" spans="2:8" x14ac:dyDescent="0.3">
      <c r="B328" s="10"/>
      <c r="C328" s="10"/>
      <c r="D328" s="7"/>
      <c r="E328" s="7"/>
      <c r="F328" s="7"/>
      <c r="G328" s="36"/>
      <c r="H328" s="7"/>
    </row>
    <row r="329" spans="2:8" x14ac:dyDescent="0.3">
      <c r="B329" s="10"/>
      <c r="C329" s="10"/>
      <c r="D329" s="7"/>
      <c r="E329" s="7"/>
      <c r="F329" s="7"/>
      <c r="G329" s="36"/>
      <c r="H329" s="7"/>
    </row>
    <row r="330" spans="2:8" x14ac:dyDescent="0.3">
      <c r="B330" s="10"/>
      <c r="C330" s="10"/>
      <c r="D330" s="7"/>
      <c r="E330" s="7"/>
      <c r="F330" s="7"/>
      <c r="G330" s="36"/>
      <c r="H330" s="7"/>
    </row>
    <row r="331" spans="2:8" x14ac:dyDescent="0.3">
      <c r="B331" s="10"/>
      <c r="C331" s="10"/>
      <c r="D331" s="7"/>
      <c r="E331" s="7"/>
      <c r="F331" s="7"/>
      <c r="G331" s="36"/>
      <c r="H331" s="7"/>
    </row>
    <row r="332" spans="2:8" x14ac:dyDescent="0.3">
      <c r="B332" s="10"/>
      <c r="C332" s="10"/>
      <c r="D332" s="7"/>
      <c r="E332" s="7"/>
      <c r="F332" s="7"/>
      <c r="G332" s="36"/>
      <c r="H332" s="7"/>
    </row>
    <row r="333" spans="2:8" x14ac:dyDescent="0.3">
      <c r="B333" s="10"/>
      <c r="C333" s="10"/>
      <c r="D333" s="7"/>
      <c r="E333" s="7"/>
      <c r="F333" s="7"/>
      <c r="G333" s="36"/>
      <c r="H333" s="7"/>
    </row>
    <row r="334" spans="2:8" x14ac:dyDescent="0.3">
      <c r="B334" s="10"/>
      <c r="C334" s="10"/>
      <c r="D334" s="7"/>
      <c r="E334" s="7"/>
      <c r="F334" s="7"/>
      <c r="G334" s="36"/>
      <c r="H334" s="7"/>
    </row>
    <row r="335" spans="2:8" x14ac:dyDescent="0.3">
      <c r="B335" s="10"/>
      <c r="C335" s="10"/>
      <c r="D335" s="7"/>
      <c r="E335" s="7"/>
      <c r="F335" s="7"/>
      <c r="G335" s="36"/>
      <c r="H335" s="7"/>
    </row>
    <row r="336" spans="2:8" x14ac:dyDescent="0.3">
      <c r="B336" s="10"/>
      <c r="C336" s="10"/>
      <c r="D336" s="7"/>
      <c r="E336" s="7"/>
      <c r="F336" s="7"/>
      <c r="G336" s="36"/>
      <c r="H336" s="7"/>
    </row>
    <row r="337" spans="2:8" x14ac:dyDescent="0.3">
      <c r="B337" s="10"/>
      <c r="C337" s="10"/>
      <c r="D337" s="7"/>
      <c r="E337" s="7"/>
      <c r="F337" s="7"/>
      <c r="G337" s="36"/>
      <c r="H337" s="7"/>
    </row>
    <row r="338" spans="2:8" x14ac:dyDescent="0.3">
      <c r="B338" s="10"/>
      <c r="C338" s="10"/>
      <c r="D338" s="7"/>
      <c r="E338" s="7"/>
      <c r="F338" s="7"/>
      <c r="G338" s="36"/>
      <c r="H338" s="7"/>
    </row>
    <row r="339" spans="2:8" x14ac:dyDescent="0.3">
      <c r="B339" s="10"/>
      <c r="C339" s="10"/>
      <c r="D339" s="7"/>
      <c r="E339" s="7"/>
      <c r="F339" s="7"/>
      <c r="G339" s="36"/>
      <c r="H339" s="7"/>
    </row>
    <row r="340" spans="2:8" x14ac:dyDescent="0.3">
      <c r="B340" s="10"/>
      <c r="C340" s="10"/>
      <c r="D340" s="7"/>
      <c r="E340" s="7"/>
      <c r="F340" s="7"/>
      <c r="G340" s="36"/>
      <c r="H340" s="7"/>
    </row>
    <row r="341" spans="2:8" x14ac:dyDescent="0.3">
      <c r="B341" s="10"/>
      <c r="C341" s="10"/>
      <c r="D341" s="7"/>
      <c r="E341" s="7"/>
      <c r="F341" s="7"/>
      <c r="G341" s="36"/>
      <c r="H341" s="7"/>
    </row>
    <row r="342" spans="2:8" x14ac:dyDescent="0.3">
      <c r="B342" s="10"/>
      <c r="C342" s="10"/>
      <c r="D342" s="7"/>
      <c r="E342" s="7"/>
      <c r="F342" s="7"/>
      <c r="G342" s="36"/>
      <c r="H342" s="7"/>
    </row>
    <row r="343" spans="2:8" x14ac:dyDescent="0.3">
      <c r="B343" s="10"/>
      <c r="C343" s="10"/>
      <c r="D343" s="7"/>
      <c r="E343" s="7"/>
      <c r="F343" s="7"/>
      <c r="G343" s="36"/>
      <c r="H343" s="7"/>
    </row>
    <row r="344" spans="2:8" x14ac:dyDescent="0.3">
      <c r="B344" s="10"/>
      <c r="C344" s="10"/>
      <c r="D344" s="7"/>
      <c r="E344" s="7"/>
      <c r="F344" s="7"/>
      <c r="G344" s="36"/>
      <c r="H344" s="7"/>
    </row>
    <row r="345" spans="2:8" x14ac:dyDescent="0.3">
      <c r="B345" s="10"/>
      <c r="C345" s="10"/>
      <c r="D345" s="7"/>
      <c r="E345" s="7"/>
      <c r="F345" s="7"/>
      <c r="G345" s="36"/>
      <c r="H345" s="7"/>
    </row>
    <row r="346" spans="2:8" x14ac:dyDescent="0.3">
      <c r="B346" s="10"/>
      <c r="C346" s="10"/>
      <c r="D346" s="7"/>
      <c r="E346" s="7"/>
      <c r="F346" s="7"/>
      <c r="G346" s="36"/>
      <c r="H346" s="7"/>
    </row>
    <row r="347" spans="2:8" x14ac:dyDescent="0.3">
      <c r="B347" s="10"/>
      <c r="C347" s="10"/>
      <c r="D347" s="7"/>
      <c r="E347" s="7"/>
      <c r="F347" s="7"/>
      <c r="G347" s="36"/>
      <c r="H347" s="7"/>
    </row>
    <row r="348" spans="2:8" x14ac:dyDescent="0.3">
      <c r="B348" s="10"/>
      <c r="C348" s="10"/>
      <c r="D348" s="7"/>
      <c r="E348" s="7"/>
      <c r="F348" s="7"/>
      <c r="G348" s="36"/>
      <c r="H348" s="7"/>
    </row>
    <row r="349" spans="2:8" x14ac:dyDescent="0.3">
      <c r="B349" s="10"/>
      <c r="C349" s="10"/>
      <c r="D349" s="7"/>
      <c r="E349" s="7"/>
      <c r="F349" s="7"/>
      <c r="G349" s="36"/>
      <c r="H349" s="7"/>
    </row>
    <row r="350" spans="2:8" x14ac:dyDescent="0.3">
      <c r="B350" s="10"/>
      <c r="C350" s="10"/>
      <c r="D350" s="7"/>
      <c r="E350" s="7"/>
      <c r="F350" s="7"/>
      <c r="G350" s="36"/>
      <c r="H350" s="7"/>
    </row>
    <row r="351" spans="2:8" x14ac:dyDescent="0.3">
      <c r="B351" s="10"/>
      <c r="C351" s="10"/>
      <c r="D351" s="7"/>
      <c r="E351" s="7"/>
      <c r="F351" s="7"/>
      <c r="G351" s="36"/>
      <c r="H351" s="7"/>
    </row>
    <row r="352" spans="2:8" x14ac:dyDescent="0.3">
      <c r="B352" s="10"/>
      <c r="C352" s="10"/>
      <c r="D352" s="7"/>
      <c r="E352" s="7"/>
      <c r="F352" s="7"/>
      <c r="G352" s="36"/>
      <c r="H352" s="7"/>
    </row>
    <row r="353" spans="2:8" x14ac:dyDescent="0.3">
      <c r="B353" s="10"/>
      <c r="C353" s="10"/>
      <c r="D353" s="7"/>
      <c r="E353" s="7"/>
      <c r="F353" s="7"/>
      <c r="G353" s="36"/>
      <c r="H353" s="7"/>
    </row>
    <row r="354" spans="2:8" x14ac:dyDescent="0.3">
      <c r="B354" s="10"/>
      <c r="C354" s="10"/>
      <c r="D354" s="7"/>
      <c r="E354" s="7"/>
      <c r="F354" s="7"/>
      <c r="G354" s="36"/>
      <c r="H354" s="7"/>
    </row>
    <row r="355" spans="2:8" x14ac:dyDescent="0.3">
      <c r="B355" s="10"/>
      <c r="C355" s="10"/>
      <c r="D355" s="7"/>
      <c r="E355" s="7"/>
      <c r="F355" s="7"/>
      <c r="G355" s="36"/>
      <c r="H355" s="7"/>
    </row>
    <row r="356" spans="2:8" x14ac:dyDescent="0.3">
      <c r="B356" s="10"/>
      <c r="C356" s="10"/>
      <c r="D356" s="7"/>
      <c r="E356" s="7"/>
      <c r="F356" s="7"/>
      <c r="G356" s="36"/>
      <c r="H356" s="7"/>
    </row>
    <row r="357" spans="2:8" x14ac:dyDescent="0.3">
      <c r="B357" s="10"/>
      <c r="C357" s="10"/>
      <c r="D357" s="7"/>
      <c r="E357" s="7"/>
      <c r="F357" s="7"/>
      <c r="G357" s="36"/>
      <c r="H357" s="7"/>
    </row>
    <row r="358" spans="2:8" x14ac:dyDescent="0.3">
      <c r="B358" s="10"/>
      <c r="C358" s="10"/>
      <c r="D358" s="7"/>
      <c r="E358" s="7"/>
      <c r="F358" s="7"/>
      <c r="G358" s="36"/>
      <c r="H358" s="7"/>
    </row>
    <row r="359" spans="2:8" x14ac:dyDescent="0.3">
      <c r="B359" s="10"/>
      <c r="C359" s="10"/>
      <c r="D359" s="7"/>
      <c r="E359" s="7"/>
      <c r="F359" s="7"/>
      <c r="G359" s="36"/>
      <c r="H359" s="7"/>
    </row>
    <row r="360" spans="2:8" x14ac:dyDescent="0.3">
      <c r="B360" s="10"/>
      <c r="C360" s="10"/>
      <c r="D360" s="7"/>
      <c r="E360" s="7"/>
      <c r="F360" s="7"/>
      <c r="G360" s="36"/>
      <c r="H360" s="7"/>
    </row>
    <row r="361" spans="2:8" x14ac:dyDescent="0.3">
      <c r="B361" s="10"/>
      <c r="C361" s="10"/>
      <c r="D361" s="7"/>
      <c r="E361" s="7"/>
      <c r="F361" s="7"/>
      <c r="G361" s="36"/>
      <c r="H361" s="7"/>
    </row>
    <row r="362" spans="2:8" x14ac:dyDescent="0.3">
      <c r="B362" s="10"/>
      <c r="C362" s="10"/>
      <c r="D362" s="7"/>
      <c r="E362" s="7"/>
      <c r="F362" s="7"/>
      <c r="G362" s="36"/>
      <c r="H362" s="7"/>
    </row>
    <row r="363" spans="2:8" x14ac:dyDescent="0.3">
      <c r="B363" s="10"/>
      <c r="C363" s="10"/>
      <c r="D363" s="7"/>
      <c r="E363" s="7"/>
      <c r="F363" s="7"/>
      <c r="G363" s="36"/>
      <c r="H363" s="7"/>
    </row>
    <row r="364" spans="2:8" x14ac:dyDescent="0.3">
      <c r="B364" s="10"/>
      <c r="C364" s="10"/>
      <c r="D364" s="7"/>
      <c r="E364" s="7"/>
      <c r="F364" s="7"/>
      <c r="G364" s="36"/>
      <c r="H364" s="7"/>
    </row>
    <row r="365" spans="2:8" x14ac:dyDescent="0.3">
      <c r="B365" s="10"/>
      <c r="C365" s="10"/>
      <c r="D365" s="7"/>
      <c r="E365" s="7"/>
      <c r="F365" s="7"/>
      <c r="G365" s="36"/>
      <c r="H365" s="7"/>
    </row>
    <row r="366" spans="2:8" x14ac:dyDescent="0.3">
      <c r="B366" s="10"/>
      <c r="C366" s="10"/>
      <c r="D366" s="7"/>
      <c r="E366" s="7"/>
      <c r="F366" s="7"/>
      <c r="G366" s="36"/>
      <c r="H366" s="7"/>
    </row>
    <row r="367" spans="2:8" x14ac:dyDescent="0.3">
      <c r="B367" s="10"/>
      <c r="C367" s="10"/>
      <c r="D367" s="7"/>
      <c r="E367" s="7"/>
      <c r="F367" s="7"/>
      <c r="G367" s="36"/>
      <c r="H367" s="7"/>
    </row>
    <row r="368" spans="2:8" x14ac:dyDescent="0.3">
      <c r="B368" s="10"/>
      <c r="C368" s="10"/>
      <c r="D368" s="7"/>
      <c r="E368" s="7"/>
      <c r="F368" s="7"/>
      <c r="G368" s="36"/>
      <c r="H368" s="7"/>
    </row>
    <row r="369" spans="2:8" x14ac:dyDescent="0.3">
      <c r="B369" s="10"/>
      <c r="C369" s="10"/>
      <c r="D369" s="7"/>
      <c r="E369" s="7"/>
      <c r="F369" s="7"/>
      <c r="G369" s="36"/>
      <c r="H369" s="7"/>
    </row>
    <row r="370" spans="2:8" x14ac:dyDescent="0.3">
      <c r="B370" s="10"/>
      <c r="C370" s="10"/>
      <c r="D370" s="7"/>
      <c r="E370" s="7"/>
      <c r="F370" s="7"/>
      <c r="G370" s="36"/>
      <c r="H370" s="7"/>
    </row>
    <row r="371" spans="2:8" x14ac:dyDescent="0.3">
      <c r="B371" s="10"/>
      <c r="C371" s="10"/>
      <c r="D371" s="7"/>
      <c r="E371" s="7"/>
      <c r="F371" s="7"/>
      <c r="G371" s="36"/>
      <c r="H371" s="7"/>
    </row>
    <row r="372" spans="2:8" x14ac:dyDescent="0.3">
      <c r="B372" s="10"/>
      <c r="C372" s="10"/>
      <c r="D372" s="7"/>
      <c r="E372" s="7"/>
      <c r="F372" s="7"/>
      <c r="G372" s="36"/>
      <c r="H372" s="7"/>
    </row>
    <row r="373" spans="2:8" x14ac:dyDescent="0.3">
      <c r="B373" s="10"/>
      <c r="C373" s="10"/>
      <c r="D373" s="7"/>
      <c r="E373" s="7"/>
      <c r="F373" s="7"/>
      <c r="G373" s="36"/>
      <c r="H373" s="7"/>
    </row>
    <row r="374" spans="2:8" x14ac:dyDescent="0.3">
      <c r="B374" s="10"/>
      <c r="C374" s="10"/>
      <c r="D374" s="7"/>
      <c r="E374" s="7"/>
      <c r="F374" s="7"/>
      <c r="G374" s="36"/>
      <c r="H374" s="7"/>
    </row>
    <row r="375" spans="2:8" x14ac:dyDescent="0.3">
      <c r="B375" s="10"/>
      <c r="C375" s="10"/>
      <c r="D375" s="7"/>
      <c r="E375" s="7"/>
      <c r="F375" s="7"/>
      <c r="G375" s="36"/>
      <c r="H375" s="7"/>
    </row>
    <row r="376" spans="2:8" x14ac:dyDescent="0.3">
      <c r="B376" s="10"/>
      <c r="C376" s="10"/>
      <c r="D376" s="7"/>
      <c r="E376" s="7"/>
      <c r="F376" s="7"/>
      <c r="G376" s="36"/>
      <c r="H376" s="7"/>
    </row>
    <row r="377" spans="2:8" x14ac:dyDescent="0.3">
      <c r="B377" s="10"/>
      <c r="C377" s="10"/>
      <c r="D377" s="7"/>
      <c r="E377" s="7"/>
      <c r="F377" s="7"/>
      <c r="G377" s="36"/>
      <c r="H377" s="7"/>
    </row>
    <row r="378" spans="2:8" x14ac:dyDescent="0.3">
      <c r="B378" s="10"/>
      <c r="C378" s="10"/>
      <c r="D378" s="7"/>
      <c r="E378" s="7"/>
      <c r="F378" s="7"/>
      <c r="G378" s="36"/>
      <c r="H378" s="7"/>
    </row>
    <row r="379" spans="2:8" x14ac:dyDescent="0.3">
      <c r="B379" s="10"/>
      <c r="C379" s="10"/>
      <c r="D379" s="7"/>
      <c r="E379" s="7"/>
      <c r="F379" s="7"/>
      <c r="G379" s="36"/>
      <c r="H379" s="7"/>
    </row>
    <row r="380" spans="2:8" x14ac:dyDescent="0.3">
      <c r="B380" s="10"/>
      <c r="C380" s="10"/>
      <c r="D380" s="7"/>
      <c r="E380" s="7"/>
      <c r="F380" s="7"/>
      <c r="G380" s="36"/>
      <c r="H380" s="7"/>
    </row>
    <row r="381" spans="2:8" x14ac:dyDescent="0.3">
      <c r="B381" s="10"/>
      <c r="C381" s="10"/>
      <c r="D381" s="7"/>
      <c r="E381" s="7"/>
      <c r="F381" s="7"/>
      <c r="G381" s="36"/>
      <c r="H381" s="7"/>
    </row>
    <row r="382" spans="2:8" x14ac:dyDescent="0.3">
      <c r="B382" s="10"/>
      <c r="C382" s="10"/>
      <c r="D382" s="7"/>
      <c r="E382" s="7"/>
      <c r="F382" s="7"/>
      <c r="G382" s="36"/>
      <c r="H382" s="7"/>
    </row>
    <row r="383" spans="2:8" x14ac:dyDescent="0.3">
      <c r="B383" s="10"/>
      <c r="C383" s="10"/>
      <c r="D383" s="7"/>
      <c r="E383" s="7"/>
      <c r="F383" s="7"/>
      <c r="G383" s="36"/>
      <c r="H383" s="7"/>
    </row>
    <row r="384" spans="2:8" x14ac:dyDescent="0.3">
      <c r="B384" s="10"/>
      <c r="C384" s="10"/>
      <c r="D384" s="7"/>
      <c r="E384" s="7"/>
      <c r="F384" s="7"/>
      <c r="G384" s="36"/>
      <c r="H384" s="7"/>
    </row>
    <row r="385" spans="2:8" x14ac:dyDescent="0.3">
      <c r="B385" s="10"/>
      <c r="C385" s="10"/>
      <c r="D385" s="7"/>
      <c r="E385" s="7"/>
      <c r="F385" s="7"/>
      <c r="G385" s="36"/>
      <c r="H385" s="7"/>
    </row>
    <row r="386" spans="2:8" x14ac:dyDescent="0.3">
      <c r="B386" s="10"/>
      <c r="C386" s="10"/>
      <c r="D386" s="7"/>
      <c r="E386" s="7"/>
      <c r="F386" s="7"/>
      <c r="G386" s="36"/>
      <c r="H386" s="7"/>
    </row>
    <row r="387" spans="2:8" x14ac:dyDescent="0.3">
      <c r="B387" s="10"/>
      <c r="C387" s="10"/>
      <c r="D387" s="7"/>
      <c r="E387" s="7"/>
      <c r="F387" s="7"/>
      <c r="G387" s="36"/>
      <c r="H387" s="7"/>
    </row>
    <row r="388" spans="2:8" x14ac:dyDescent="0.3">
      <c r="B388" s="10"/>
      <c r="C388" s="10"/>
      <c r="D388" s="7"/>
      <c r="E388" s="7"/>
      <c r="F388" s="7"/>
      <c r="G388" s="36"/>
      <c r="H388" s="7"/>
    </row>
    <row r="389" spans="2:8" x14ac:dyDescent="0.3">
      <c r="B389" s="10"/>
      <c r="C389" s="10"/>
      <c r="D389" s="7"/>
      <c r="E389" s="7"/>
      <c r="F389" s="7"/>
      <c r="G389" s="36"/>
      <c r="H389" s="7"/>
    </row>
    <row r="390" spans="2:8" x14ac:dyDescent="0.3">
      <c r="B390" s="10"/>
      <c r="C390" s="10"/>
      <c r="D390" s="7"/>
      <c r="E390" s="7"/>
      <c r="F390" s="7"/>
      <c r="G390" s="36"/>
      <c r="H390" s="7"/>
    </row>
    <row r="391" spans="2:8" x14ac:dyDescent="0.3">
      <c r="B391" s="10"/>
      <c r="C391" s="10"/>
      <c r="D391" s="7"/>
      <c r="E391" s="7"/>
      <c r="F391" s="7"/>
      <c r="G391" s="36"/>
      <c r="H391" s="7"/>
    </row>
    <row r="392" spans="2:8" x14ac:dyDescent="0.3">
      <c r="B392" s="10"/>
      <c r="C392" s="10"/>
      <c r="D392" s="7"/>
      <c r="E392" s="7"/>
      <c r="F392" s="7"/>
      <c r="G392" s="36"/>
      <c r="H392" s="7"/>
    </row>
    <row r="393" spans="2:8" x14ac:dyDescent="0.3">
      <c r="B393" s="10"/>
      <c r="C393" s="10"/>
      <c r="D393" s="7"/>
      <c r="E393" s="7"/>
      <c r="F393" s="7"/>
      <c r="G393" s="36"/>
      <c r="H393" s="7"/>
    </row>
    <row r="394" spans="2:8" x14ac:dyDescent="0.3">
      <c r="B394" s="10"/>
      <c r="C394" s="10"/>
      <c r="D394" s="7"/>
      <c r="E394" s="7"/>
      <c r="F394" s="7"/>
      <c r="G394" s="36"/>
      <c r="H394" s="7"/>
    </row>
    <row r="395" spans="2:8" x14ac:dyDescent="0.3">
      <c r="B395" s="10"/>
      <c r="C395" s="10"/>
      <c r="D395" s="7"/>
      <c r="E395" s="7"/>
      <c r="F395" s="7"/>
      <c r="G395" s="36"/>
      <c r="H395" s="7"/>
    </row>
    <row r="396" spans="2:8" x14ac:dyDescent="0.3">
      <c r="B396" s="10"/>
      <c r="C396" s="10"/>
      <c r="D396" s="7"/>
      <c r="E396" s="7"/>
      <c r="F396" s="7"/>
      <c r="G396" s="36"/>
      <c r="H396" s="7"/>
    </row>
    <row r="397" spans="2:8" x14ac:dyDescent="0.3">
      <c r="B397" s="10"/>
      <c r="C397" s="10"/>
      <c r="D397" s="7"/>
      <c r="E397" s="7"/>
      <c r="F397" s="7"/>
      <c r="G397" s="36"/>
      <c r="H397" s="7"/>
    </row>
    <row r="398" spans="2:8" x14ac:dyDescent="0.3">
      <c r="B398" s="10"/>
      <c r="C398" s="10"/>
      <c r="D398" s="7"/>
      <c r="E398" s="7"/>
      <c r="F398" s="7"/>
      <c r="G398" s="36"/>
      <c r="H398" s="7"/>
    </row>
    <row r="399" spans="2:8" x14ac:dyDescent="0.3">
      <c r="B399" s="10"/>
      <c r="C399" s="10"/>
      <c r="D399" s="7"/>
      <c r="E399" s="7"/>
      <c r="F399" s="7"/>
      <c r="G399" s="36"/>
      <c r="H399" s="7"/>
    </row>
    <row r="400" spans="2:8" x14ac:dyDescent="0.3">
      <c r="B400" s="10"/>
      <c r="C400" s="10"/>
      <c r="D400" s="7"/>
      <c r="E400" s="7"/>
      <c r="F400" s="7"/>
      <c r="G400" s="36"/>
      <c r="H400" s="7"/>
    </row>
    <row r="401" spans="2:8" x14ac:dyDescent="0.3">
      <c r="B401" s="10"/>
      <c r="C401" s="10"/>
      <c r="D401" s="7"/>
      <c r="E401" s="7"/>
      <c r="F401" s="7"/>
      <c r="G401" s="36"/>
      <c r="H401" s="7"/>
    </row>
    <row r="402" spans="2:8" x14ac:dyDescent="0.3">
      <c r="B402" s="10"/>
      <c r="C402" s="10"/>
      <c r="D402" s="7"/>
      <c r="E402" s="7"/>
      <c r="F402" s="7"/>
      <c r="G402" s="36"/>
      <c r="H402" s="7"/>
    </row>
    <row r="403" spans="2:8" x14ac:dyDescent="0.3">
      <c r="B403" s="10"/>
      <c r="C403" s="10"/>
      <c r="D403" s="7"/>
      <c r="E403" s="7"/>
      <c r="F403" s="7"/>
      <c r="G403" s="36"/>
      <c r="H403" s="7"/>
    </row>
    <row r="404" spans="2:8" x14ac:dyDescent="0.3">
      <c r="B404" s="10"/>
      <c r="C404" s="10"/>
      <c r="D404" s="7"/>
      <c r="E404" s="7"/>
      <c r="F404" s="7"/>
      <c r="G404" s="36"/>
      <c r="H404" s="7"/>
    </row>
    <row r="405" spans="2:8" x14ac:dyDescent="0.3">
      <c r="B405" s="10"/>
      <c r="C405" s="10"/>
      <c r="D405" s="7"/>
      <c r="E405" s="7"/>
      <c r="F405" s="7"/>
      <c r="G405" s="36"/>
      <c r="H405" s="7"/>
    </row>
    <row r="406" spans="2:8" x14ac:dyDescent="0.3">
      <c r="B406" s="10"/>
      <c r="C406" s="10"/>
      <c r="D406" s="7"/>
      <c r="E406" s="7"/>
      <c r="F406" s="7"/>
      <c r="G406" s="36"/>
      <c r="H406" s="7"/>
    </row>
    <row r="407" spans="2:8" x14ac:dyDescent="0.3">
      <c r="B407" s="10"/>
      <c r="C407" s="10"/>
      <c r="D407" s="7"/>
      <c r="E407" s="7"/>
      <c r="F407" s="7"/>
      <c r="G407" s="36"/>
      <c r="H407" s="7"/>
    </row>
    <row r="408" spans="2:8" x14ac:dyDescent="0.3">
      <c r="B408" s="10"/>
      <c r="C408" s="10"/>
      <c r="D408" s="7"/>
      <c r="E408" s="7"/>
      <c r="F408" s="7"/>
      <c r="G408" s="36"/>
      <c r="H408" s="7"/>
    </row>
    <row r="409" spans="2:8" x14ac:dyDescent="0.3">
      <c r="B409" s="10"/>
      <c r="C409" s="10"/>
      <c r="D409" s="7"/>
      <c r="E409" s="7"/>
      <c r="F409" s="7"/>
      <c r="G409" s="36"/>
      <c r="H409" s="7"/>
    </row>
    <row r="410" spans="2:8" x14ac:dyDescent="0.3">
      <c r="B410" s="10"/>
      <c r="C410" s="10"/>
      <c r="D410" s="7"/>
      <c r="E410" s="7"/>
      <c r="F410" s="7"/>
      <c r="G410" s="36"/>
      <c r="H410" s="7"/>
    </row>
    <row r="411" spans="2:8" x14ac:dyDescent="0.3">
      <c r="B411" s="10"/>
      <c r="C411" s="10"/>
      <c r="D411" s="7"/>
      <c r="E411" s="7"/>
      <c r="F411" s="7"/>
      <c r="G411" s="36"/>
      <c r="H411" s="7"/>
    </row>
    <row r="412" spans="2:8" x14ac:dyDescent="0.3">
      <c r="B412" s="10"/>
      <c r="C412" s="10"/>
      <c r="D412" s="7"/>
      <c r="E412" s="7"/>
      <c r="F412" s="7"/>
      <c r="G412" s="36"/>
      <c r="H412" s="7"/>
    </row>
    <row r="413" spans="2:8" x14ac:dyDescent="0.3">
      <c r="B413" s="10"/>
      <c r="C413" s="10"/>
      <c r="D413" s="7"/>
      <c r="E413" s="7"/>
      <c r="F413" s="7"/>
      <c r="G413" s="36"/>
      <c r="H413" s="7"/>
    </row>
    <row r="414" spans="2:8" x14ac:dyDescent="0.3">
      <c r="B414" s="10"/>
      <c r="C414" s="10"/>
      <c r="D414" s="7"/>
      <c r="E414" s="7"/>
      <c r="F414" s="7"/>
      <c r="G414" s="36"/>
      <c r="H414" s="7"/>
    </row>
    <row r="415" spans="2:8" x14ac:dyDescent="0.3">
      <c r="B415" s="10"/>
      <c r="C415" s="10"/>
      <c r="D415" s="7"/>
      <c r="E415" s="7"/>
      <c r="F415" s="7"/>
      <c r="G415" s="36"/>
      <c r="H415" s="7"/>
    </row>
    <row r="416" spans="2:8" x14ac:dyDescent="0.3">
      <c r="B416" s="10"/>
      <c r="C416" s="10"/>
      <c r="D416" s="7"/>
      <c r="E416" s="7"/>
      <c r="F416" s="7"/>
      <c r="G416" s="36"/>
      <c r="H416" s="7"/>
    </row>
    <row r="417" spans="2:8" x14ac:dyDescent="0.3">
      <c r="B417" s="10"/>
      <c r="C417" s="10"/>
      <c r="D417" s="7"/>
      <c r="E417" s="7"/>
      <c r="F417" s="7"/>
      <c r="G417" s="36"/>
      <c r="H417" s="7"/>
    </row>
    <row r="418" spans="2:8" x14ac:dyDescent="0.3">
      <c r="B418" s="10"/>
      <c r="C418" s="10"/>
      <c r="D418" s="7"/>
      <c r="E418" s="7"/>
      <c r="F418" s="7"/>
      <c r="G418" s="36"/>
      <c r="H418" s="7"/>
    </row>
    <row r="419" spans="2:8" x14ac:dyDescent="0.3">
      <c r="B419" s="10"/>
      <c r="C419" s="10"/>
      <c r="D419" s="7"/>
      <c r="E419" s="7"/>
      <c r="F419" s="7"/>
      <c r="G419" s="36"/>
      <c r="H419" s="7"/>
    </row>
    <row r="420" spans="2:8" x14ac:dyDescent="0.3">
      <c r="B420" s="10"/>
      <c r="C420" s="10"/>
      <c r="D420" s="7"/>
      <c r="E420" s="7"/>
      <c r="F420" s="7"/>
      <c r="G420" s="36"/>
      <c r="H420" s="7"/>
    </row>
    <row r="421" spans="2:8" x14ac:dyDescent="0.3">
      <c r="B421" s="10"/>
      <c r="C421" s="10"/>
      <c r="D421" s="7"/>
      <c r="E421" s="7"/>
      <c r="F421" s="7"/>
      <c r="G421" s="36"/>
      <c r="H421" s="7"/>
    </row>
    <row r="422" spans="2:8" x14ac:dyDescent="0.3">
      <c r="B422" s="10"/>
      <c r="C422" s="10"/>
      <c r="D422" s="7"/>
      <c r="E422" s="7"/>
      <c r="F422" s="7"/>
      <c r="G422" s="36"/>
      <c r="H422" s="7"/>
    </row>
    <row r="423" spans="2:8" x14ac:dyDescent="0.3">
      <c r="B423" s="10"/>
      <c r="C423" s="10"/>
      <c r="D423" s="7"/>
      <c r="E423" s="7"/>
      <c r="F423" s="7"/>
      <c r="G423" s="36"/>
      <c r="H423" s="7"/>
    </row>
    <row r="424" spans="2:8" x14ac:dyDescent="0.3">
      <c r="B424" s="10"/>
      <c r="C424" s="10"/>
      <c r="D424" s="7"/>
      <c r="E424" s="7"/>
      <c r="F424" s="7"/>
      <c r="G424" s="36"/>
      <c r="H424" s="7"/>
    </row>
    <row r="425" spans="2:8" x14ac:dyDescent="0.3">
      <c r="B425" s="10"/>
      <c r="C425" s="10"/>
      <c r="D425" s="7"/>
      <c r="E425" s="7"/>
      <c r="F425" s="7"/>
      <c r="G425" s="36"/>
      <c r="H425" s="7"/>
    </row>
    <row r="426" spans="2:8" x14ac:dyDescent="0.3">
      <c r="B426" s="10"/>
      <c r="C426" s="10"/>
      <c r="D426" s="7"/>
      <c r="E426" s="7"/>
      <c r="F426" s="7"/>
      <c r="G426" s="36"/>
      <c r="H426" s="7"/>
    </row>
    <row r="427" spans="2:8" x14ac:dyDescent="0.3">
      <c r="B427" s="10"/>
      <c r="C427" s="10"/>
      <c r="D427" s="7"/>
      <c r="E427" s="7"/>
      <c r="F427" s="7"/>
      <c r="G427" s="36"/>
      <c r="H427" s="7"/>
    </row>
    <row r="428" spans="2:8" x14ac:dyDescent="0.3">
      <c r="B428" s="10"/>
      <c r="C428" s="10"/>
      <c r="D428" s="7"/>
      <c r="E428" s="7"/>
      <c r="F428" s="7"/>
      <c r="G428" s="36"/>
      <c r="H428" s="7"/>
    </row>
    <row r="429" spans="2:8" x14ac:dyDescent="0.3">
      <c r="B429" s="10"/>
      <c r="C429" s="10"/>
      <c r="D429" s="7"/>
      <c r="E429" s="7"/>
      <c r="F429" s="7"/>
      <c r="G429" s="36"/>
      <c r="H429" s="7"/>
    </row>
    <row r="430" spans="2:8" x14ac:dyDescent="0.3">
      <c r="B430" s="10"/>
      <c r="C430" s="10"/>
      <c r="D430" s="7"/>
      <c r="E430" s="7"/>
      <c r="F430" s="7"/>
      <c r="G430" s="36"/>
      <c r="H430" s="7"/>
    </row>
    <row r="431" spans="2:8" x14ac:dyDescent="0.3">
      <c r="B431" s="10"/>
      <c r="C431" s="10"/>
      <c r="D431" s="7"/>
      <c r="E431" s="7"/>
      <c r="F431" s="7"/>
      <c r="G431" s="36"/>
      <c r="H431" s="7"/>
    </row>
    <row r="432" spans="2:8" x14ac:dyDescent="0.3">
      <c r="B432" s="10"/>
      <c r="C432" s="10"/>
      <c r="D432" s="7"/>
      <c r="E432" s="7"/>
      <c r="F432" s="7"/>
      <c r="G432" s="36"/>
      <c r="H432" s="7"/>
    </row>
    <row r="433" spans="2:8" x14ac:dyDescent="0.3">
      <c r="B433" s="10"/>
      <c r="C433" s="10"/>
      <c r="D433" s="7"/>
      <c r="E433" s="7"/>
      <c r="F433" s="7"/>
      <c r="G433" s="36"/>
      <c r="H433" s="7"/>
    </row>
    <row r="434" spans="2:8" x14ac:dyDescent="0.3">
      <c r="B434" s="10"/>
      <c r="C434" s="10"/>
      <c r="D434" s="7"/>
      <c r="E434" s="7"/>
      <c r="F434" s="7"/>
      <c r="G434" s="36"/>
      <c r="H434" s="7"/>
    </row>
    <row r="435" spans="2:8" x14ac:dyDescent="0.3">
      <c r="B435" s="10"/>
      <c r="C435" s="10"/>
      <c r="D435" s="7"/>
      <c r="E435" s="7"/>
      <c r="F435" s="7"/>
      <c r="G435" s="36"/>
      <c r="H435" s="7"/>
    </row>
    <row r="436" spans="2:8" x14ac:dyDescent="0.3">
      <c r="B436" s="10"/>
      <c r="C436" s="10"/>
      <c r="D436" s="7"/>
      <c r="E436" s="7"/>
      <c r="F436" s="7"/>
      <c r="G436" s="36"/>
      <c r="H436" s="7"/>
    </row>
    <row r="437" spans="2:8" x14ac:dyDescent="0.3">
      <c r="B437" s="10"/>
      <c r="C437" s="10"/>
      <c r="D437" s="7"/>
      <c r="E437" s="7"/>
      <c r="F437" s="7"/>
      <c r="G437" s="36"/>
      <c r="H437" s="7"/>
    </row>
    <row r="438" spans="2:8" x14ac:dyDescent="0.3">
      <c r="B438" s="10"/>
      <c r="C438" s="10"/>
      <c r="D438" s="7"/>
      <c r="E438" s="7"/>
      <c r="F438" s="7"/>
      <c r="G438" s="36"/>
      <c r="H438" s="7"/>
    </row>
    <row r="439" spans="2:8" x14ac:dyDescent="0.3">
      <c r="B439" s="10"/>
      <c r="C439" s="10"/>
      <c r="D439" s="7"/>
      <c r="E439" s="7"/>
      <c r="F439" s="7"/>
      <c r="G439" s="36"/>
      <c r="H439" s="7"/>
    </row>
    <row r="440" spans="2:8" x14ac:dyDescent="0.3">
      <c r="B440" s="10"/>
      <c r="C440" s="10"/>
      <c r="D440" s="7"/>
      <c r="E440" s="7"/>
      <c r="F440" s="7"/>
      <c r="G440" s="36"/>
      <c r="H440" s="7"/>
    </row>
    <row r="441" spans="2:8" x14ac:dyDescent="0.3">
      <c r="B441" s="10"/>
      <c r="C441" s="10"/>
      <c r="D441" s="7"/>
      <c r="E441" s="7"/>
      <c r="F441" s="7"/>
      <c r="G441" s="36"/>
      <c r="H441" s="7"/>
    </row>
    <row r="442" spans="2:8" x14ac:dyDescent="0.3">
      <c r="B442" s="10"/>
      <c r="C442" s="10"/>
      <c r="D442" s="7"/>
      <c r="E442" s="7"/>
      <c r="F442" s="7"/>
      <c r="G442" s="36"/>
      <c r="H442" s="7"/>
    </row>
    <row r="443" spans="2:8" x14ac:dyDescent="0.3">
      <c r="B443" s="10"/>
      <c r="C443" s="10"/>
      <c r="D443" s="7"/>
      <c r="E443" s="7"/>
      <c r="F443" s="7"/>
      <c r="G443" s="36"/>
      <c r="H443" s="7"/>
    </row>
    <row r="444" spans="2:8" x14ac:dyDescent="0.3">
      <c r="B444" s="10"/>
      <c r="C444" s="10"/>
      <c r="D444" s="7"/>
      <c r="E444" s="7"/>
      <c r="F444" s="7"/>
      <c r="G444" s="36"/>
      <c r="H444" s="7"/>
    </row>
    <row r="445" spans="2:8" x14ac:dyDescent="0.3">
      <c r="B445" s="10"/>
      <c r="C445" s="10"/>
      <c r="D445" s="7"/>
      <c r="E445" s="7"/>
      <c r="F445" s="7"/>
      <c r="G445" s="36"/>
      <c r="H445" s="7"/>
    </row>
    <row r="446" spans="2:8" x14ac:dyDescent="0.3">
      <c r="B446" s="10"/>
      <c r="C446" s="10"/>
      <c r="D446" s="7"/>
      <c r="E446" s="7"/>
      <c r="F446" s="7"/>
      <c r="G446" s="36"/>
      <c r="H446" s="7"/>
    </row>
    <row r="447" spans="2:8" x14ac:dyDescent="0.3">
      <c r="B447" s="10"/>
      <c r="C447" s="10"/>
      <c r="D447" s="7"/>
      <c r="E447" s="7"/>
      <c r="F447" s="7"/>
      <c r="G447" s="36"/>
      <c r="H447" s="7"/>
    </row>
    <row r="448" spans="2:8" x14ac:dyDescent="0.3">
      <c r="B448" s="10"/>
      <c r="C448" s="10"/>
      <c r="D448" s="7"/>
      <c r="E448" s="7"/>
      <c r="F448" s="7"/>
      <c r="G448" s="36"/>
      <c r="H448" s="7"/>
    </row>
    <row r="449" spans="2:8" x14ac:dyDescent="0.3">
      <c r="B449" s="10"/>
      <c r="C449" s="10"/>
      <c r="D449" s="7"/>
      <c r="E449" s="7"/>
      <c r="F449" s="7"/>
      <c r="G449" s="36"/>
      <c r="H449" s="7"/>
    </row>
    <row r="450" spans="2:8" x14ac:dyDescent="0.3">
      <c r="B450" s="10"/>
      <c r="C450" s="10"/>
      <c r="D450" s="7"/>
      <c r="E450" s="7"/>
      <c r="F450" s="7"/>
      <c r="G450" s="36"/>
      <c r="H450" s="7"/>
    </row>
    <row r="451" spans="2:8" x14ac:dyDescent="0.3">
      <c r="B451" s="10"/>
      <c r="C451" s="10"/>
      <c r="D451" s="7"/>
      <c r="E451" s="7"/>
      <c r="F451" s="7"/>
      <c r="G451" s="36"/>
      <c r="H451" s="7"/>
    </row>
    <row r="452" spans="2:8" x14ac:dyDescent="0.3">
      <c r="B452" s="10"/>
      <c r="C452" s="10"/>
      <c r="D452" s="7"/>
      <c r="E452" s="7"/>
      <c r="F452" s="7"/>
      <c r="G452" s="36"/>
      <c r="H452" s="7"/>
    </row>
    <row r="453" spans="2:8" x14ac:dyDescent="0.3">
      <c r="B453" s="10"/>
      <c r="C453" s="10"/>
      <c r="D453" s="7"/>
      <c r="E453" s="7"/>
      <c r="F453" s="7"/>
      <c r="G453" s="36"/>
      <c r="H453" s="7"/>
    </row>
    <row r="454" spans="2:8" x14ac:dyDescent="0.3">
      <c r="B454" s="10"/>
      <c r="C454" s="10"/>
      <c r="D454" s="7"/>
      <c r="E454" s="7"/>
      <c r="F454" s="7"/>
      <c r="G454" s="36"/>
      <c r="H454" s="7"/>
    </row>
    <row r="455" spans="2:8" x14ac:dyDescent="0.3">
      <c r="B455" s="10"/>
      <c r="C455" s="10"/>
      <c r="D455" s="7"/>
      <c r="E455" s="7"/>
      <c r="F455" s="7"/>
      <c r="G455" s="36"/>
      <c r="H455" s="7"/>
    </row>
    <row r="456" spans="2:8" x14ac:dyDescent="0.3">
      <c r="B456" s="10"/>
      <c r="C456" s="10"/>
      <c r="D456" s="7"/>
      <c r="E456" s="7"/>
      <c r="F456" s="7"/>
      <c r="G456" s="36"/>
      <c r="H456" s="7"/>
    </row>
    <row r="457" spans="2:8" x14ac:dyDescent="0.3">
      <c r="B457" s="10"/>
      <c r="C457" s="10"/>
      <c r="D457" s="7"/>
      <c r="E457" s="7"/>
      <c r="F457" s="7"/>
      <c r="G457" s="36"/>
      <c r="H457" s="7"/>
    </row>
    <row r="458" spans="2:8" x14ac:dyDescent="0.3">
      <c r="B458" s="10"/>
      <c r="C458" s="10"/>
      <c r="D458" s="7"/>
      <c r="E458" s="7"/>
      <c r="F458" s="7"/>
      <c r="G458" s="36"/>
      <c r="H458" s="7"/>
    </row>
    <row r="459" spans="2:8" x14ac:dyDescent="0.3">
      <c r="B459" s="10"/>
      <c r="C459" s="10"/>
      <c r="D459" s="7"/>
      <c r="E459" s="7"/>
      <c r="F459" s="7"/>
      <c r="G459" s="36"/>
      <c r="H459" s="7"/>
    </row>
    <row r="460" spans="2:8" x14ac:dyDescent="0.3">
      <c r="B460" s="10"/>
      <c r="C460" s="10"/>
      <c r="D460" s="7"/>
      <c r="E460" s="7"/>
      <c r="F460" s="7"/>
      <c r="G460" s="36"/>
      <c r="H460" s="7"/>
    </row>
    <row r="461" spans="2:8" x14ac:dyDescent="0.3">
      <c r="B461" s="10"/>
      <c r="C461" s="10"/>
      <c r="D461" s="7"/>
      <c r="E461" s="7"/>
      <c r="F461" s="7"/>
      <c r="G461" s="36"/>
      <c r="H461" s="7"/>
    </row>
    <row r="462" spans="2:8" x14ac:dyDescent="0.3">
      <c r="B462" s="10"/>
      <c r="C462" s="10"/>
      <c r="D462" s="7"/>
      <c r="E462" s="7"/>
      <c r="F462" s="7"/>
      <c r="G462" s="36"/>
      <c r="H462" s="7"/>
    </row>
    <row r="463" spans="2:8" x14ac:dyDescent="0.3">
      <c r="B463" s="10"/>
      <c r="C463" s="10"/>
      <c r="D463" s="7"/>
      <c r="E463" s="7"/>
      <c r="F463" s="7"/>
      <c r="G463" s="36"/>
      <c r="H463" s="7"/>
    </row>
    <row r="464" spans="2:8" x14ac:dyDescent="0.3">
      <c r="B464" s="10"/>
      <c r="C464" s="10"/>
      <c r="D464" s="7"/>
      <c r="E464" s="7"/>
      <c r="F464" s="7"/>
      <c r="G464" s="36"/>
      <c r="H464" s="7"/>
    </row>
    <row r="465" spans="2:8" x14ac:dyDescent="0.3">
      <c r="B465" s="10"/>
      <c r="C465" s="10"/>
      <c r="D465" s="7"/>
      <c r="E465" s="7"/>
      <c r="F465" s="7"/>
      <c r="G465" s="36"/>
      <c r="H465" s="7"/>
    </row>
    <row r="466" spans="2:8" x14ac:dyDescent="0.3">
      <c r="B466" s="10"/>
      <c r="C466" s="10"/>
      <c r="D466" s="7"/>
      <c r="E466" s="7"/>
      <c r="F466" s="7"/>
      <c r="G466" s="36"/>
      <c r="H466" s="7"/>
    </row>
    <row r="467" spans="2:8" x14ac:dyDescent="0.3">
      <c r="B467" s="10"/>
      <c r="C467" s="10"/>
      <c r="D467" s="7"/>
      <c r="E467" s="7"/>
      <c r="F467" s="7"/>
      <c r="G467" s="36"/>
      <c r="H467" s="7"/>
    </row>
    <row r="468" spans="2:8" x14ac:dyDescent="0.3">
      <c r="B468" s="10"/>
      <c r="C468" s="10"/>
      <c r="D468" s="7"/>
      <c r="E468" s="7"/>
      <c r="F468" s="7"/>
      <c r="G468" s="36"/>
      <c r="H468" s="7"/>
    </row>
    <row r="469" spans="2:8" x14ac:dyDescent="0.3">
      <c r="B469" s="10"/>
      <c r="C469" s="10"/>
      <c r="D469" s="7"/>
      <c r="E469" s="7"/>
      <c r="F469" s="7"/>
      <c r="G469" s="36"/>
      <c r="H469" s="7"/>
    </row>
  </sheetData>
  <autoFilter ref="B1:H1" xr:uid="{616C431A-A231-40ED-A264-6C4A113AD74D}"/>
  <conditionalFormatting sqref="E136:E257">
    <cfRule type="cellIs" dxfId="62" priority="6" operator="equal">
      <formula>"High"</formula>
    </cfRule>
  </conditionalFormatting>
  <conditionalFormatting sqref="F1:F10000">
    <cfRule type="cellIs" dxfId="61" priority="1" operator="equal">
      <formula>"WARNING"</formula>
    </cfRule>
    <cfRule type="cellIs" dxfId="60" priority="2" operator="equal">
      <formula>"REQ"</formula>
    </cfRule>
    <cfRule type="cellIs" dxfId="59" priority="3" operator="equal">
      <formula>"INC"</formula>
    </cfRule>
  </conditionalFormatting>
  <hyperlinks>
    <hyperlink ref="G104" r:id="rId1" display="aranda 14813" xr:uid="{619A8765-B609-4203-A2FE-3D258B8DEA9B}"/>
    <hyperlink ref="G98" r:id="rId2" xr:uid="{A22EB01D-2939-4272-930D-A47E684F3B99}"/>
  </hyperlinks>
  <pageMargins left="0.3" right="0.3" top="0.3" bottom="0.3" header="0" footer="0"/>
  <pageSetup scale="53" fitToHeight="0" orientation="landscape" verticalDpi="3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4">
    <tabColor rgb="FF92D050"/>
    <pageSetUpPr fitToPage="1"/>
  </sheetPr>
  <dimension ref="A1:M451"/>
  <sheetViews>
    <sheetView showGridLines="0" tabSelected="1" topLeftCell="D1" zoomScale="90" zoomScaleNormal="90" workbookViewId="0">
      <pane ySplit="1" topLeftCell="A306" activePane="bottomLeft" state="frozen"/>
      <selection pane="bottomLeft" activeCell="B320" sqref="B320:J321"/>
    </sheetView>
  </sheetViews>
  <sheetFormatPr baseColWidth="10" defaultColWidth="11" defaultRowHeight="15.75" x14ac:dyDescent="0.25"/>
  <cols>
    <col min="1" max="1" width="3.375" style="240" customWidth="1"/>
    <col min="2" max="2" width="14.25" style="251" customWidth="1"/>
    <col min="3" max="3" width="10.375" style="251" customWidth="1"/>
    <col min="4" max="4" width="29.125" style="241" customWidth="1"/>
    <col min="5" max="5" width="17.25" style="241" customWidth="1"/>
    <col min="6" max="6" width="13.375" style="241" customWidth="1"/>
    <col min="7" max="7" width="54.875" style="241" customWidth="1"/>
    <col min="8" max="8" width="108.25" style="241" customWidth="1"/>
    <col min="9" max="9" width="23.5" style="240" customWidth="1"/>
    <col min="10" max="13" width="11" style="240" customWidth="1"/>
    <col min="14" max="14" width="11" style="241" customWidth="1"/>
    <col min="15" max="16384" width="11" style="241"/>
  </cols>
  <sheetData>
    <row r="1" spans="1:13" s="235" customFormat="1" ht="49.5" customHeight="1" x14ac:dyDescent="0.2">
      <c r="A1" s="234"/>
      <c r="B1" s="8" t="s">
        <v>16</v>
      </c>
      <c r="C1" s="8" t="s">
        <v>17</v>
      </c>
      <c r="D1" s="8" t="s">
        <v>18</v>
      </c>
      <c r="E1" s="8" t="s">
        <v>19</v>
      </c>
      <c r="F1" s="8" t="s">
        <v>20</v>
      </c>
      <c r="G1" s="8" t="s">
        <v>21</v>
      </c>
      <c r="H1" s="8" t="s">
        <v>22</v>
      </c>
      <c r="I1" s="280" t="s">
        <v>3266</v>
      </c>
      <c r="J1" s="280" t="s">
        <v>3269</v>
      </c>
      <c r="K1" s="234"/>
      <c r="L1" s="234"/>
      <c r="M1" s="234"/>
    </row>
    <row r="2" spans="1:13" s="236" customFormat="1" x14ac:dyDescent="0.25">
      <c r="B2" s="249">
        <v>45726</v>
      </c>
      <c r="C2" s="253">
        <v>45717</v>
      </c>
      <c r="D2" s="256" t="s">
        <v>406</v>
      </c>
      <c r="E2" s="239" t="s">
        <v>584</v>
      </c>
      <c r="F2" s="354" t="s">
        <v>6</v>
      </c>
      <c r="G2" s="239" t="s">
        <v>585</v>
      </c>
      <c r="H2" s="239" t="s">
        <v>586</v>
      </c>
      <c r="I2" s="355"/>
      <c r="J2" s="355"/>
    </row>
    <row r="3" spans="1:13" s="236" customFormat="1" x14ac:dyDescent="0.25">
      <c r="B3" s="249">
        <v>45737</v>
      </c>
      <c r="C3" s="253">
        <v>45717</v>
      </c>
      <c r="D3" s="256" t="s">
        <v>406</v>
      </c>
      <c r="E3" s="239" t="s">
        <v>584</v>
      </c>
      <c r="F3" s="238" t="s">
        <v>6</v>
      </c>
      <c r="G3" s="239" t="s">
        <v>585</v>
      </c>
      <c r="H3" s="239" t="s">
        <v>586</v>
      </c>
      <c r="I3" s="353"/>
      <c r="J3" s="353"/>
    </row>
    <row r="4" spans="1:13" s="236" customFormat="1" x14ac:dyDescent="0.25">
      <c r="B4" s="249">
        <v>45740</v>
      </c>
      <c r="C4" s="253">
        <v>45717</v>
      </c>
      <c r="D4" s="256" t="s">
        <v>406</v>
      </c>
      <c r="E4" s="239" t="s">
        <v>584</v>
      </c>
      <c r="F4" s="238" t="s">
        <v>6</v>
      </c>
      <c r="G4" s="239" t="s">
        <v>587</v>
      </c>
      <c r="H4" s="239" t="s">
        <v>588</v>
      </c>
      <c r="I4" s="353"/>
      <c r="J4" s="353"/>
    </row>
    <row r="5" spans="1:13" s="236" customFormat="1" x14ac:dyDescent="0.25">
      <c r="B5" s="249">
        <v>45741</v>
      </c>
      <c r="C5" s="253">
        <v>45717</v>
      </c>
      <c r="D5" s="256" t="s">
        <v>406</v>
      </c>
      <c r="E5" s="239" t="s">
        <v>584</v>
      </c>
      <c r="F5" s="238" t="s">
        <v>6</v>
      </c>
      <c r="G5" s="239" t="s">
        <v>589</v>
      </c>
      <c r="H5" s="239" t="s">
        <v>590</v>
      </c>
      <c r="I5" s="353"/>
      <c r="J5" s="353"/>
    </row>
    <row r="6" spans="1:13" s="236" customFormat="1" x14ac:dyDescent="0.25">
      <c r="B6" s="249">
        <v>45741</v>
      </c>
      <c r="C6" s="253">
        <v>45717</v>
      </c>
      <c r="D6" s="256" t="s">
        <v>591</v>
      </c>
      <c r="E6" s="239" t="s">
        <v>584</v>
      </c>
      <c r="F6" s="238" t="s">
        <v>6</v>
      </c>
      <c r="G6" s="239" t="s">
        <v>592</v>
      </c>
      <c r="H6" s="239" t="s">
        <v>593</v>
      </c>
      <c r="I6" s="353"/>
      <c r="J6" s="353"/>
    </row>
    <row r="7" spans="1:13" s="236" customFormat="1" x14ac:dyDescent="0.25">
      <c r="B7" s="249">
        <v>45741</v>
      </c>
      <c r="C7" s="253">
        <v>45717</v>
      </c>
      <c r="D7" s="256" t="s">
        <v>594</v>
      </c>
      <c r="E7" s="239" t="s">
        <v>584</v>
      </c>
      <c r="F7" s="238" t="s">
        <v>6</v>
      </c>
      <c r="G7" s="239" t="s">
        <v>595</v>
      </c>
      <c r="H7" s="239" t="s">
        <v>596</v>
      </c>
      <c r="I7" s="353"/>
      <c r="J7" s="353"/>
    </row>
    <row r="8" spans="1:13" s="236" customFormat="1" x14ac:dyDescent="0.25">
      <c r="B8" s="249">
        <v>45742</v>
      </c>
      <c r="C8" s="253">
        <v>45717</v>
      </c>
      <c r="D8" s="256" t="s">
        <v>332</v>
      </c>
      <c r="E8" s="239" t="s">
        <v>584</v>
      </c>
      <c r="F8" s="238" t="s">
        <v>6</v>
      </c>
      <c r="G8" s="239" t="s">
        <v>597</v>
      </c>
      <c r="H8" s="239" t="s">
        <v>598</v>
      </c>
      <c r="I8" s="353"/>
      <c r="J8" s="353"/>
    </row>
    <row r="9" spans="1:13" s="236" customFormat="1" x14ac:dyDescent="0.25">
      <c r="B9" s="249">
        <v>45743</v>
      </c>
      <c r="C9" s="253">
        <v>45717</v>
      </c>
      <c r="D9" s="256" t="s">
        <v>332</v>
      </c>
      <c r="E9" s="239" t="s">
        <v>584</v>
      </c>
      <c r="F9" s="238" t="s">
        <v>6</v>
      </c>
      <c r="G9" s="239" t="s">
        <v>599</v>
      </c>
      <c r="H9" s="239" t="s">
        <v>598</v>
      </c>
      <c r="I9" s="353"/>
      <c r="J9" s="353"/>
    </row>
    <row r="10" spans="1:13" s="236" customFormat="1" x14ac:dyDescent="0.25">
      <c r="B10" s="249">
        <v>45744</v>
      </c>
      <c r="C10" s="253">
        <v>45717</v>
      </c>
      <c r="D10" s="256" t="s">
        <v>591</v>
      </c>
      <c r="E10" s="239" t="s">
        <v>584</v>
      </c>
      <c r="F10" s="238" t="s">
        <v>6</v>
      </c>
      <c r="G10" s="239" t="s">
        <v>600</v>
      </c>
      <c r="H10" s="239" t="s">
        <v>601</v>
      </c>
      <c r="I10" s="353"/>
      <c r="J10" s="353"/>
    </row>
    <row r="11" spans="1:13" s="236" customFormat="1" x14ac:dyDescent="0.25">
      <c r="B11" s="249">
        <v>45748</v>
      </c>
      <c r="C11" s="253">
        <v>45748</v>
      </c>
      <c r="D11" s="256" t="s">
        <v>332</v>
      </c>
      <c r="E11" s="239" t="s">
        <v>584</v>
      </c>
      <c r="F11" s="238" t="s">
        <v>6</v>
      </c>
      <c r="G11" s="239" t="s">
        <v>602</v>
      </c>
      <c r="H11" s="239" t="s">
        <v>598</v>
      </c>
      <c r="I11" s="353"/>
      <c r="J11" s="353"/>
    </row>
    <row r="12" spans="1:13" x14ac:dyDescent="0.25">
      <c r="B12" s="249">
        <v>45749</v>
      </c>
      <c r="C12" s="253">
        <v>45748</v>
      </c>
      <c r="D12" s="256" t="s">
        <v>591</v>
      </c>
      <c r="E12" s="239" t="s">
        <v>584</v>
      </c>
      <c r="F12" s="238" t="s">
        <v>6</v>
      </c>
      <c r="G12" s="239" t="s">
        <v>603</v>
      </c>
      <c r="H12" s="239" t="s">
        <v>604</v>
      </c>
      <c r="I12" s="343"/>
      <c r="J12" s="343"/>
    </row>
    <row r="13" spans="1:13" x14ac:dyDescent="0.25">
      <c r="B13" s="249">
        <v>45750</v>
      </c>
      <c r="C13" s="253">
        <v>45748</v>
      </c>
      <c r="D13" s="256" t="s">
        <v>605</v>
      </c>
      <c r="E13" s="239" t="s">
        <v>584</v>
      </c>
      <c r="F13" s="238" t="s">
        <v>6</v>
      </c>
      <c r="G13" s="239" t="s">
        <v>606</v>
      </c>
      <c r="H13" s="239" t="s">
        <v>607</v>
      </c>
      <c r="I13" s="343"/>
      <c r="J13" s="343"/>
    </row>
    <row r="14" spans="1:13" x14ac:dyDescent="0.25">
      <c r="B14" s="248">
        <v>45754</v>
      </c>
      <c r="C14" s="252">
        <v>45748</v>
      </c>
      <c r="D14" s="255" t="s">
        <v>406</v>
      </c>
      <c r="E14" s="237" t="s">
        <v>584</v>
      </c>
      <c r="F14" s="238" t="s">
        <v>6</v>
      </c>
      <c r="G14" s="237" t="s">
        <v>587</v>
      </c>
      <c r="H14" s="237" t="s">
        <v>608</v>
      </c>
      <c r="I14" s="343"/>
      <c r="J14" s="343"/>
    </row>
    <row r="15" spans="1:13" x14ac:dyDescent="0.25">
      <c r="B15" s="249">
        <v>45757</v>
      </c>
      <c r="C15" s="253">
        <v>45748</v>
      </c>
      <c r="D15" s="256" t="s">
        <v>591</v>
      </c>
      <c r="E15" s="239" t="s">
        <v>584</v>
      </c>
      <c r="F15" s="238" t="s">
        <v>6</v>
      </c>
      <c r="G15" s="239" t="s">
        <v>609</v>
      </c>
      <c r="H15" s="239" t="s">
        <v>610</v>
      </c>
      <c r="I15" s="343"/>
      <c r="J15" s="343"/>
    </row>
    <row r="16" spans="1:13" x14ac:dyDescent="0.25">
      <c r="B16" s="249">
        <v>45757</v>
      </c>
      <c r="C16" s="253">
        <v>45748</v>
      </c>
      <c r="D16" s="256" t="s">
        <v>611</v>
      </c>
      <c r="E16" s="239" t="s">
        <v>584</v>
      </c>
      <c r="F16" s="242" t="s">
        <v>4</v>
      </c>
      <c r="G16" s="239" t="s">
        <v>612</v>
      </c>
      <c r="H16" s="239" t="s">
        <v>613</v>
      </c>
      <c r="I16" s="343"/>
      <c r="J16" s="343"/>
    </row>
    <row r="17" spans="2:10" x14ac:dyDescent="0.25">
      <c r="B17" s="249">
        <v>45762</v>
      </c>
      <c r="C17" s="253">
        <v>45748</v>
      </c>
      <c r="D17" s="256" t="s">
        <v>614</v>
      </c>
      <c r="E17" s="239" t="s">
        <v>584</v>
      </c>
      <c r="F17" s="238" t="s">
        <v>6</v>
      </c>
      <c r="G17" s="239" t="s">
        <v>606</v>
      </c>
      <c r="H17" s="239" t="s">
        <v>615</v>
      </c>
      <c r="I17" s="343"/>
      <c r="J17" s="343"/>
    </row>
    <row r="18" spans="2:10" x14ac:dyDescent="0.25">
      <c r="B18" s="243" t="s">
        <v>616</v>
      </c>
      <c r="C18" s="253">
        <v>46113</v>
      </c>
      <c r="D18" s="256" t="s">
        <v>617</v>
      </c>
      <c r="E18" s="239" t="s">
        <v>584</v>
      </c>
      <c r="F18" s="238" t="s">
        <v>6</v>
      </c>
      <c r="G18" s="239" t="s">
        <v>618</v>
      </c>
      <c r="H18" s="239" t="s">
        <v>619</v>
      </c>
      <c r="I18" s="343"/>
      <c r="J18" s="343"/>
    </row>
    <row r="19" spans="2:10" x14ac:dyDescent="0.25">
      <c r="B19" s="243" t="s">
        <v>620</v>
      </c>
      <c r="C19" s="253">
        <v>46478</v>
      </c>
      <c r="D19" s="256" t="s">
        <v>617</v>
      </c>
      <c r="E19" s="239" t="s">
        <v>584</v>
      </c>
      <c r="F19" s="238" t="s">
        <v>6</v>
      </c>
      <c r="G19" s="239" t="s">
        <v>618</v>
      </c>
      <c r="H19" s="239" t="s">
        <v>621</v>
      </c>
      <c r="I19" s="343"/>
      <c r="J19" s="343"/>
    </row>
    <row r="20" spans="2:10" x14ac:dyDescent="0.25">
      <c r="B20" s="243" t="s">
        <v>622</v>
      </c>
      <c r="C20" s="253">
        <v>46844</v>
      </c>
      <c r="D20" s="256" t="s">
        <v>623</v>
      </c>
      <c r="E20" s="239" t="s">
        <v>584</v>
      </c>
      <c r="F20" s="238" t="s">
        <v>6</v>
      </c>
      <c r="G20" s="239" t="s">
        <v>624</v>
      </c>
      <c r="H20" s="239" t="s">
        <v>625</v>
      </c>
      <c r="I20" s="343"/>
      <c r="J20" s="343"/>
    </row>
    <row r="21" spans="2:10" x14ac:dyDescent="0.25">
      <c r="B21" s="243" t="s">
        <v>626</v>
      </c>
      <c r="C21" s="253">
        <v>47209</v>
      </c>
      <c r="D21" s="256" t="s">
        <v>617</v>
      </c>
      <c r="E21" s="239" t="s">
        <v>584</v>
      </c>
      <c r="F21" s="238" t="s">
        <v>6</v>
      </c>
      <c r="G21" s="239" t="s">
        <v>618</v>
      </c>
      <c r="H21" s="239" t="s">
        <v>627</v>
      </c>
      <c r="I21" s="343"/>
      <c r="J21" s="343"/>
    </row>
    <row r="22" spans="2:10" x14ac:dyDescent="0.25">
      <c r="B22" s="243" t="s">
        <v>628</v>
      </c>
      <c r="C22" s="253">
        <v>47574</v>
      </c>
      <c r="D22" s="256" t="s">
        <v>629</v>
      </c>
      <c r="E22" s="239" t="s">
        <v>584</v>
      </c>
      <c r="F22" s="238" t="s">
        <v>6</v>
      </c>
      <c r="G22" s="239" t="s">
        <v>630</v>
      </c>
      <c r="H22" s="239" t="s">
        <v>631</v>
      </c>
      <c r="I22" s="343"/>
      <c r="J22" s="343"/>
    </row>
    <row r="23" spans="2:10" x14ac:dyDescent="0.25">
      <c r="B23" s="249">
        <v>45772</v>
      </c>
      <c r="C23" s="253">
        <v>47939</v>
      </c>
      <c r="D23" s="256" t="s">
        <v>632</v>
      </c>
      <c r="E23" s="239" t="s">
        <v>584</v>
      </c>
      <c r="F23" s="238" t="s">
        <v>6</v>
      </c>
      <c r="G23" s="239" t="s">
        <v>633</v>
      </c>
      <c r="H23" s="239" t="s">
        <v>634</v>
      </c>
      <c r="I23" s="343"/>
      <c r="J23" s="343"/>
    </row>
    <row r="24" spans="2:10" x14ac:dyDescent="0.25">
      <c r="B24" s="249">
        <v>45775</v>
      </c>
      <c r="C24" s="253">
        <v>48305</v>
      </c>
      <c r="D24" s="256" t="s">
        <v>635</v>
      </c>
      <c r="E24" s="239" t="s">
        <v>584</v>
      </c>
      <c r="F24" s="242" t="s">
        <v>4</v>
      </c>
      <c r="G24" s="239" t="s">
        <v>3358</v>
      </c>
      <c r="H24" s="239" t="s">
        <v>3359</v>
      </c>
      <c r="I24" s="343"/>
      <c r="J24" s="343"/>
    </row>
    <row r="25" spans="2:10" x14ac:dyDescent="0.25">
      <c r="B25" s="248">
        <v>45779</v>
      </c>
      <c r="C25" s="252">
        <v>48670</v>
      </c>
      <c r="D25" s="255" t="s">
        <v>636</v>
      </c>
      <c r="E25" s="237" t="s">
        <v>584</v>
      </c>
      <c r="F25" s="238" t="s">
        <v>6</v>
      </c>
      <c r="G25" s="237" t="s">
        <v>633</v>
      </c>
      <c r="H25" s="237" t="s">
        <v>637</v>
      </c>
      <c r="I25" s="343"/>
      <c r="J25" s="343"/>
    </row>
    <row r="26" spans="2:10" x14ac:dyDescent="0.25">
      <c r="B26" s="249">
        <v>45782</v>
      </c>
      <c r="C26" s="253">
        <v>45778</v>
      </c>
      <c r="D26" s="256" t="s">
        <v>591</v>
      </c>
      <c r="E26" s="239" t="s">
        <v>584</v>
      </c>
      <c r="F26" s="238" t="s">
        <v>6</v>
      </c>
      <c r="G26" s="239" t="s">
        <v>638</v>
      </c>
      <c r="H26" s="239" t="s">
        <v>639</v>
      </c>
      <c r="I26" s="343"/>
      <c r="J26" s="343"/>
    </row>
    <row r="27" spans="2:10" x14ac:dyDescent="0.25">
      <c r="B27" s="249">
        <v>45790</v>
      </c>
      <c r="C27" s="253">
        <v>45778</v>
      </c>
      <c r="D27" s="256" t="s">
        <v>640</v>
      </c>
      <c r="E27" s="239" t="s">
        <v>584</v>
      </c>
      <c r="F27" s="238" t="s">
        <v>6</v>
      </c>
      <c r="G27" s="239" t="s">
        <v>641</v>
      </c>
      <c r="H27" s="239" t="s">
        <v>642</v>
      </c>
      <c r="I27" s="343"/>
      <c r="J27" s="343"/>
    </row>
    <row r="28" spans="2:10" x14ac:dyDescent="0.25">
      <c r="B28" s="249">
        <v>45790</v>
      </c>
      <c r="C28" s="253">
        <v>45778</v>
      </c>
      <c r="D28" s="256" t="s">
        <v>640</v>
      </c>
      <c r="E28" s="239" t="s">
        <v>584</v>
      </c>
      <c r="F28" s="238" t="s">
        <v>6</v>
      </c>
      <c r="G28" s="239" t="s">
        <v>641</v>
      </c>
      <c r="H28" s="239" t="s">
        <v>643</v>
      </c>
      <c r="I28" s="343"/>
      <c r="J28" s="343"/>
    </row>
    <row r="29" spans="2:10" x14ac:dyDescent="0.25">
      <c r="B29" s="249">
        <v>45791</v>
      </c>
      <c r="C29" s="253">
        <v>45778</v>
      </c>
      <c r="D29" s="256" t="s">
        <v>332</v>
      </c>
      <c r="E29" s="239" t="s">
        <v>584</v>
      </c>
      <c r="F29" s="238" t="s">
        <v>6</v>
      </c>
      <c r="G29" s="239" t="s">
        <v>644</v>
      </c>
      <c r="H29" s="239" t="s">
        <v>645</v>
      </c>
      <c r="I29" s="343"/>
      <c r="J29" s="343"/>
    </row>
    <row r="30" spans="2:10" x14ac:dyDescent="0.25">
      <c r="B30" s="249">
        <v>45793</v>
      </c>
      <c r="C30" s="253">
        <v>45778</v>
      </c>
      <c r="D30" s="256" t="s">
        <v>640</v>
      </c>
      <c r="E30" s="239" t="s">
        <v>584</v>
      </c>
      <c r="F30" s="238" t="s">
        <v>6</v>
      </c>
      <c r="G30" s="239" t="s">
        <v>638</v>
      </c>
      <c r="H30" s="239" t="s">
        <v>646</v>
      </c>
      <c r="I30" s="343"/>
      <c r="J30" s="343"/>
    </row>
    <row r="31" spans="2:10" x14ac:dyDescent="0.25">
      <c r="B31" s="249">
        <v>45796</v>
      </c>
      <c r="C31" s="253">
        <v>45778</v>
      </c>
      <c r="D31" s="256" t="s">
        <v>640</v>
      </c>
      <c r="E31" s="239" t="s">
        <v>584</v>
      </c>
      <c r="F31" s="238" t="s">
        <v>6</v>
      </c>
      <c r="G31" s="239" t="s">
        <v>641</v>
      </c>
      <c r="H31" s="239" t="s">
        <v>647</v>
      </c>
      <c r="I31" s="343"/>
      <c r="J31" s="343"/>
    </row>
    <row r="32" spans="2:10" x14ac:dyDescent="0.25">
      <c r="B32" s="249">
        <v>45796</v>
      </c>
      <c r="C32" s="253">
        <v>45778</v>
      </c>
      <c r="D32" s="256" t="s">
        <v>648</v>
      </c>
      <c r="E32" s="239" t="s">
        <v>584</v>
      </c>
      <c r="F32" s="238" t="s">
        <v>6</v>
      </c>
      <c r="G32" s="239" t="s">
        <v>649</v>
      </c>
      <c r="H32" s="239" t="s">
        <v>650</v>
      </c>
      <c r="I32" s="343"/>
      <c r="J32" s="343"/>
    </row>
    <row r="33" spans="2:10" x14ac:dyDescent="0.25">
      <c r="B33" s="249">
        <v>45797</v>
      </c>
      <c r="C33" s="253">
        <v>45778</v>
      </c>
      <c r="D33" s="256" t="s">
        <v>640</v>
      </c>
      <c r="E33" s="239" t="s">
        <v>584</v>
      </c>
      <c r="F33" s="238" t="s">
        <v>6</v>
      </c>
      <c r="G33" s="239" t="s">
        <v>641</v>
      </c>
      <c r="H33" s="239" t="s">
        <v>647</v>
      </c>
      <c r="I33" s="343"/>
      <c r="J33" s="343"/>
    </row>
    <row r="34" spans="2:10" x14ac:dyDescent="0.25">
      <c r="B34" s="249">
        <v>45799</v>
      </c>
      <c r="C34" s="253">
        <v>45778</v>
      </c>
      <c r="D34" s="256" t="s">
        <v>651</v>
      </c>
      <c r="E34" s="239" t="s">
        <v>584</v>
      </c>
      <c r="F34" s="238" t="s">
        <v>6</v>
      </c>
      <c r="G34" s="239" t="s">
        <v>652</v>
      </c>
      <c r="H34" s="239" t="s">
        <v>653</v>
      </c>
      <c r="I34" s="343"/>
      <c r="J34" s="343"/>
    </row>
    <row r="35" spans="2:10" x14ac:dyDescent="0.25">
      <c r="B35" s="249">
        <v>45799</v>
      </c>
      <c r="C35" s="253">
        <v>45778</v>
      </c>
      <c r="D35" s="256" t="s">
        <v>591</v>
      </c>
      <c r="E35" s="239" t="s">
        <v>584</v>
      </c>
      <c r="F35" s="238" t="s">
        <v>6</v>
      </c>
      <c r="G35" s="239" t="s">
        <v>654</v>
      </c>
      <c r="H35" s="239" t="s">
        <v>655</v>
      </c>
      <c r="I35" s="343"/>
      <c r="J35" s="343"/>
    </row>
    <row r="36" spans="2:10" x14ac:dyDescent="0.25">
      <c r="B36" s="249">
        <v>45799</v>
      </c>
      <c r="C36" s="253">
        <v>45778</v>
      </c>
      <c r="D36" s="256" t="s">
        <v>656</v>
      </c>
      <c r="E36" s="239" t="s">
        <v>584</v>
      </c>
      <c r="F36" s="238" t="s">
        <v>6</v>
      </c>
      <c r="G36" s="239" t="s">
        <v>657</v>
      </c>
      <c r="H36" s="239" t="s">
        <v>658</v>
      </c>
      <c r="I36" s="343"/>
      <c r="J36" s="343"/>
    </row>
    <row r="37" spans="2:10" x14ac:dyDescent="0.25">
      <c r="B37" s="249">
        <v>45799</v>
      </c>
      <c r="C37" s="253">
        <v>45778</v>
      </c>
      <c r="D37" s="256" t="s">
        <v>659</v>
      </c>
      <c r="E37" s="239" t="s">
        <v>584</v>
      </c>
      <c r="F37" s="238" t="s">
        <v>6</v>
      </c>
      <c r="G37" s="239" t="s">
        <v>641</v>
      </c>
      <c r="H37" s="239" t="s">
        <v>660</v>
      </c>
      <c r="I37" s="343"/>
      <c r="J37" s="343"/>
    </row>
    <row r="38" spans="2:10" x14ac:dyDescent="0.25">
      <c r="B38" s="249">
        <v>45799</v>
      </c>
      <c r="C38" s="253">
        <v>45778</v>
      </c>
      <c r="D38" s="256" t="s">
        <v>659</v>
      </c>
      <c r="E38" s="239" t="s">
        <v>584</v>
      </c>
      <c r="F38" s="238" t="s">
        <v>6</v>
      </c>
      <c r="G38" s="239" t="s">
        <v>641</v>
      </c>
      <c r="H38" s="239" t="s">
        <v>661</v>
      </c>
      <c r="I38" s="343"/>
      <c r="J38" s="343"/>
    </row>
    <row r="39" spans="2:10" x14ac:dyDescent="0.25">
      <c r="B39" s="249">
        <v>45799</v>
      </c>
      <c r="C39" s="253">
        <v>45778</v>
      </c>
      <c r="D39" s="256" t="s">
        <v>410</v>
      </c>
      <c r="E39" s="239" t="s">
        <v>584</v>
      </c>
      <c r="F39" s="238" t="s">
        <v>6</v>
      </c>
      <c r="G39" s="239" t="s">
        <v>662</v>
      </c>
      <c r="H39" s="239" t="s">
        <v>663</v>
      </c>
      <c r="I39" s="343"/>
      <c r="J39" s="343"/>
    </row>
    <row r="40" spans="2:10" x14ac:dyDescent="0.25">
      <c r="B40" s="249">
        <v>45803</v>
      </c>
      <c r="C40" s="253">
        <v>45778</v>
      </c>
      <c r="D40" s="256" t="s">
        <v>640</v>
      </c>
      <c r="E40" s="239" t="s">
        <v>584</v>
      </c>
      <c r="F40" s="238" t="s">
        <v>6</v>
      </c>
      <c r="G40" s="239" t="s">
        <v>641</v>
      </c>
      <c r="H40" s="239" t="s">
        <v>664</v>
      </c>
      <c r="I40" s="343"/>
      <c r="J40" s="343"/>
    </row>
    <row r="41" spans="2:10" x14ac:dyDescent="0.25">
      <c r="B41" s="249">
        <v>45804</v>
      </c>
      <c r="C41" s="253">
        <v>45778</v>
      </c>
      <c r="D41" s="256" t="s">
        <v>640</v>
      </c>
      <c r="E41" s="239" t="s">
        <v>584</v>
      </c>
      <c r="F41" s="238" t="s">
        <v>6</v>
      </c>
      <c r="G41" s="239" t="s">
        <v>641</v>
      </c>
      <c r="H41" s="239" t="s">
        <v>665</v>
      </c>
      <c r="I41" s="343"/>
      <c r="J41" s="343"/>
    </row>
    <row r="42" spans="2:10" x14ac:dyDescent="0.25">
      <c r="B42" s="249">
        <v>45804</v>
      </c>
      <c r="C42" s="253">
        <v>45778</v>
      </c>
      <c r="D42" s="256" t="s">
        <v>332</v>
      </c>
      <c r="E42" s="239" t="s">
        <v>584</v>
      </c>
      <c r="F42" s="238" t="s">
        <v>6</v>
      </c>
      <c r="G42" s="239" t="s">
        <v>644</v>
      </c>
      <c r="H42" s="239" t="s">
        <v>666</v>
      </c>
      <c r="I42" s="343"/>
      <c r="J42" s="343"/>
    </row>
    <row r="43" spans="2:10" x14ac:dyDescent="0.25">
      <c r="B43" s="249">
        <v>45804</v>
      </c>
      <c r="C43" s="253">
        <v>45778</v>
      </c>
      <c r="D43" s="256" t="s">
        <v>332</v>
      </c>
      <c r="E43" s="239" t="s">
        <v>584</v>
      </c>
      <c r="F43" s="238" t="s">
        <v>6</v>
      </c>
      <c r="G43" s="239" t="s">
        <v>644</v>
      </c>
      <c r="H43" s="239" t="s">
        <v>645</v>
      </c>
      <c r="I43" s="343"/>
      <c r="J43" s="343"/>
    </row>
    <row r="44" spans="2:10" x14ac:dyDescent="0.25">
      <c r="B44" s="249">
        <v>45805</v>
      </c>
      <c r="C44" s="253">
        <v>45778</v>
      </c>
      <c r="D44" s="256" t="s">
        <v>640</v>
      </c>
      <c r="E44" s="239" t="s">
        <v>584</v>
      </c>
      <c r="F44" s="238" t="s">
        <v>6</v>
      </c>
      <c r="G44" s="239" t="s">
        <v>641</v>
      </c>
      <c r="H44" s="239" t="s">
        <v>667</v>
      </c>
      <c r="I44" s="343"/>
      <c r="J44" s="343"/>
    </row>
    <row r="45" spans="2:10" x14ac:dyDescent="0.25">
      <c r="B45" s="249">
        <v>45806</v>
      </c>
      <c r="C45" s="253">
        <v>45778</v>
      </c>
      <c r="D45" s="256" t="s">
        <v>591</v>
      </c>
      <c r="E45" s="239" t="s">
        <v>584</v>
      </c>
      <c r="F45" s="238" t="s">
        <v>6</v>
      </c>
      <c r="G45" s="239" t="s">
        <v>638</v>
      </c>
      <c r="H45" s="239" t="s">
        <v>668</v>
      </c>
      <c r="I45" s="343"/>
      <c r="J45" s="343"/>
    </row>
    <row r="46" spans="2:10" x14ac:dyDescent="0.25">
      <c r="B46" s="249">
        <v>45806</v>
      </c>
      <c r="C46" s="253">
        <v>45778</v>
      </c>
      <c r="D46" s="256" t="s">
        <v>640</v>
      </c>
      <c r="E46" s="239" t="s">
        <v>584</v>
      </c>
      <c r="F46" s="238" t="s">
        <v>6</v>
      </c>
      <c r="G46" s="239" t="s">
        <v>641</v>
      </c>
      <c r="H46" s="239" t="s">
        <v>669</v>
      </c>
      <c r="I46" s="343"/>
      <c r="J46" s="343"/>
    </row>
    <row r="47" spans="2:10" x14ac:dyDescent="0.25">
      <c r="B47" s="249">
        <v>45806</v>
      </c>
      <c r="C47" s="253">
        <v>45778</v>
      </c>
      <c r="D47" s="256" t="s">
        <v>640</v>
      </c>
      <c r="E47" s="239" t="s">
        <v>584</v>
      </c>
      <c r="F47" s="238" t="s">
        <v>6</v>
      </c>
      <c r="G47" s="239" t="s">
        <v>641</v>
      </c>
      <c r="H47" s="239" t="s">
        <v>670</v>
      </c>
      <c r="I47" s="343"/>
      <c r="J47" s="343"/>
    </row>
    <row r="48" spans="2:10" x14ac:dyDescent="0.25">
      <c r="B48" s="249">
        <v>45807</v>
      </c>
      <c r="C48" s="253">
        <v>45778</v>
      </c>
      <c r="D48" s="256" t="s">
        <v>332</v>
      </c>
      <c r="E48" s="239" t="s">
        <v>584</v>
      </c>
      <c r="F48" s="238" t="s">
        <v>6</v>
      </c>
      <c r="G48" s="239" t="s">
        <v>644</v>
      </c>
      <c r="H48" s="239" t="s">
        <v>666</v>
      </c>
      <c r="I48" s="343"/>
      <c r="J48" s="343"/>
    </row>
    <row r="49" spans="2:10" x14ac:dyDescent="0.25">
      <c r="B49" s="249">
        <v>45807</v>
      </c>
      <c r="C49" s="253">
        <v>45778</v>
      </c>
      <c r="D49" s="256" t="s">
        <v>332</v>
      </c>
      <c r="E49" s="239" t="s">
        <v>584</v>
      </c>
      <c r="F49" s="238" t="s">
        <v>6</v>
      </c>
      <c r="G49" s="239" t="s">
        <v>644</v>
      </c>
      <c r="H49" s="239" t="s">
        <v>645</v>
      </c>
      <c r="I49" s="343"/>
      <c r="J49" s="343"/>
    </row>
    <row r="50" spans="2:10" x14ac:dyDescent="0.25">
      <c r="B50" s="248">
        <v>45810</v>
      </c>
      <c r="C50" s="252">
        <v>45809</v>
      </c>
      <c r="D50" s="255" t="s">
        <v>640</v>
      </c>
      <c r="E50" s="237" t="s">
        <v>584</v>
      </c>
      <c r="F50" s="238" t="s">
        <v>6</v>
      </c>
      <c r="G50" s="237" t="s">
        <v>641</v>
      </c>
      <c r="H50" s="237" t="s">
        <v>671</v>
      </c>
      <c r="I50" s="343"/>
      <c r="J50" s="343"/>
    </row>
    <row r="51" spans="2:10" x14ac:dyDescent="0.25">
      <c r="B51" s="249">
        <v>45810</v>
      </c>
      <c r="C51" s="253">
        <v>45809</v>
      </c>
      <c r="D51" s="256" t="s">
        <v>672</v>
      </c>
      <c r="E51" s="239" t="s">
        <v>584</v>
      </c>
      <c r="F51" s="238" t="s">
        <v>6</v>
      </c>
      <c r="G51" s="239" t="s">
        <v>673</v>
      </c>
      <c r="H51" s="239" t="s">
        <v>674</v>
      </c>
      <c r="I51" s="343"/>
      <c r="J51" s="343"/>
    </row>
    <row r="52" spans="2:10" x14ac:dyDescent="0.25">
      <c r="B52" s="249">
        <v>45811</v>
      </c>
      <c r="C52" s="253">
        <v>45809</v>
      </c>
      <c r="D52" s="256" t="s">
        <v>640</v>
      </c>
      <c r="E52" s="239" t="s">
        <v>584</v>
      </c>
      <c r="F52" s="238" t="s">
        <v>6</v>
      </c>
      <c r="G52" s="239" t="s">
        <v>641</v>
      </c>
      <c r="H52" s="239" t="s">
        <v>675</v>
      </c>
      <c r="I52" s="343"/>
      <c r="J52" s="343"/>
    </row>
    <row r="53" spans="2:10" x14ac:dyDescent="0.25">
      <c r="B53" s="249">
        <v>45812</v>
      </c>
      <c r="C53" s="253">
        <v>45809</v>
      </c>
      <c r="D53" s="256" t="s">
        <v>640</v>
      </c>
      <c r="E53" s="239" t="s">
        <v>584</v>
      </c>
      <c r="F53" s="238" t="s">
        <v>6</v>
      </c>
      <c r="G53" s="239" t="s">
        <v>641</v>
      </c>
      <c r="H53" s="239" t="s">
        <v>676</v>
      </c>
      <c r="I53" s="343"/>
      <c r="J53" s="343"/>
    </row>
    <row r="54" spans="2:10" x14ac:dyDescent="0.25">
      <c r="B54" s="249">
        <v>45812</v>
      </c>
      <c r="C54" s="253">
        <v>45809</v>
      </c>
      <c r="D54" s="256" t="s">
        <v>591</v>
      </c>
      <c r="E54" s="239" t="s">
        <v>584</v>
      </c>
      <c r="F54" s="238" t="s">
        <v>6</v>
      </c>
      <c r="G54" s="239" t="s">
        <v>638</v>
      </c>
      <c r="H54" s="239" t="s">
        <v>668</v>
      </c>
      <c r="I54" s="343"/>
      <c r="J54" s="343"/>
    </row>
    <row r="55" spans="2:10" x14ac:dyDescent="0.25">
      <c r="B55" s="249">
        <v>45813</v>
      </c>
      <c r="C55" s="253">
        <v>45809</v>
      </c>
      <c r="D55" s="256" t="s">
        <v>591</v>
      </c>
      <c r="E55" s="239" t="s">
        <v>584</v>
      </c>
      <c r="F55" s="238" t="s">
        <v>6</v>
      </c>
      <c r="G55" s="239" t="s">
        <v>638</v>
      </c>
      <c r="H55" s="239" t="s">
        <v>668</v>
      </c>
      <c r="I55" s="343"/>
      <c r="J55" s="343"/>
    </row>
    <row r="56" spans="2:10" x14ac:dyDescent="0.25">
      <c r="B56" s="249">
        <v>45814</v>
      </c>
      <c r="C56" s="253">
        <v>45809</v>
      </c>
      <c r="D56" s="256" t="s">
        <v>640</v>
      </c>
      <c r="E56" s="239" t="s">
        <v>584</v>
      </c>
      <c r="F56" s="238" t="s">
        <v>6</v>
      </c>
      <c r="G56" s="239" t="s">
        <v>641</v>
      </c>
      <c r="H56" s="239" t="s">
        <v>677</v>
      </c>
      <c r="I56" s="343"/>
      <c r="J56" s="343"/>
    </row>
    <row r="57" spans="2:10" x14ac:dyDescent="0.25">
      <c r="B57" s="249">
        <v>45817</v>
      </c>
      <c r="C57" s="253">
        <v>45809</v>
      </c>
      <c r="D57" s="256" t="s">
        <v>640</v>
      </c>
      <c r="E57" s="239" t="s">
        <v>584</v>
      </c>
      <c r="F57" s="238" t="s">
        <v>6</v>
      </c>
      <c r="G57" s="239" t="s">
        <v>641</v>
      </c>
      <c r="H57" s="239" t="s">
        <v>678</v>
      </c>
      <c r="I57" s="343"/>
      <c r="J57" s="343"/>
    </row>
    <row r="58" spans="2:10" x14ac:dyDescent="0.25">
      <c r="B58" s="249">
        <v>45817</v>
      </c>
      <c r="C58" s="253">
        <v>45809</v>
      </c>
      <c r="D58" s="256" t="s">
        <v>640</v>
      </c>
      <c r="E58" s="239" t="s">
        <v>584</v>
      </c>
      <c r="F58" s="238" t="s">
        <v>6</v>
      </c>
      <c r="G58" s="239" t="s">
        <v>641</v>
      </c>
      <c r="H58" s="239" t="s">
        <v>679</v>
      </c>
      <c r="I58" s="343"/>
      <c r="J58" s="343"/>
    </row>
    <row r="59" spans="2:10" x14ac:dyDescent="0.25">
      <c r="B59" s="249">
        <v>45818</v>
      </c>
      <c r="C59" s="253">
        <v>45809</v>
      </c>
      <c r="D59" s="256" t="s">
        <v>680</v>
      </c>
      <c r="E59" s="239" t="s">
        <v>584</v>
      </c>
      <c r="F59" s="238" t="s">
        <v>6</v>
      </c>
      <c r="G59" s="239" t="s">
        <v>681</v>
      </c>
      <c r="H59" s="239" t="s">
        <v>682</v>
      </c>
      <c r="I59" s="343"/>
      <c r="J59" s="343"/>
    </row>
    <row r="60" spans="2:10" x14ac:dyDescent="0.25">
      <c r="B60" s="249">
        <v>45819</v>
      </c>
      <c r="C60" s="253">
        <v>45809</v>
      </c>
      <c r="D60" s="256" t="s">
        <v>332</v>
      </c>
      <c r="E60" s="239" t="s">
        <v>584</v>
      </c>
      <c r="F60" s="238" t="s">
        <v>6</v>
      </c>
      <c r="G60" s="239" t="s">
        <v>683</v>
      </c>
      <c r="H60" s="239" t="s">
        <v>684</v>
      </c>
      <c r="I60" s="343"/>
      <c r="J60" s="343"/>
    </row>
    <row r="61" spans="2:10" x14ac:dyDescent="0.25">
      <c r="B61" s="249">
        <v>45820</v>
      </c>
      <c r="C61" s="253">
        <v>45809</v>
      </c>
      <c r="D61" s="256" t="s">
        <v>640</v>
      </c>
      <c r="E61" s="239" t="s">
        <v>584</v>
      </c>
      <c r="F61" s="238" t="s">
        <v>6</v>
      </c>
      <c r="G61" s="239" t="s">
        <v>641</v>
      </c>
      <c r="H61" s="239" t="s">
        <v>685</v>
      </c>
      <c r="I61" s="343"/>
      <c r="J61" s="343"/>
    </row>
    <row r="62" spans="2:10" x14ac:dyDescent="0.25">
      <c r="B62" s="249">
        <v>45824</v>
      </c>
      <c r="C62" s="253">
        <v>45809</v>
      </c>
      <c r="D62" s="256" t="s">
        <v>640</v>
      </c>
      <c r="E62" s="239" t="s">
        <v>584</v>
      </c>
      <c r="F62" s="238" t="s">
        <v>6</v>
      </c>
      <c r="G62" s="239" t="s">
        <v>686</v>
      </c>
      <c r="H62" s="239" t="s">
        <v>687</v>
      </c>
      <c r="I62" s="343"/>
      <c r="J62" s="343"/>
    </row>
    <row r="63" spans="2:10" x14ac:dyDescent="0.25">
      <c r="B63" s="249">
        <v>45825</v>
      </c>
      <c r="C63" s="253">
        <v>45809</v>
      </c>
      <c r="D63" s="256" t="s">
        <v>640</v>
      </c>
      <c r="E63" s="239" t="s">
        <v>584</v>
      </c>
      <c r="F63" s="238" t="s">
        <v>6</v>
      </c>
      <c r="G63" s="239" t="s">
        <v>686</v>
      </c>
      <c r="H63" s="239" t="s">
        <v>688</v>
      </c>
      <c r="I63" s="343"/>
      <c r="J63" s="343"/>
    </row>
    <row r="64" spans="2:10" x14ac:dyDescent="0.25">
      <c r="B64" s="249">
        <v>45826</v>
      </c>
      <c r="C64" s="253">
        <v>45809</v>
      </c>
      <c r="D64" s="256" t="s">
        <v>640</v>
      </c>
      <c r="E64" s="239" t="s">
        <v>584</v>
      </c>
      <c r="F64" s="238" t="s">
        <v>6</v>
      </c>
      <c r="G64" s="239" t="s">
        <v>686</v>
      </c>
      <c r="H64" s="239" t="s">
        <v>689</v>
      </c>
      <c r="I64" s="343"/>
      <c r="J64" s="343"/>
    </row>
    <row r="65" spans="2:10" x14ac:dyDescent="0.25">
      <c r="B65" s="249">
        <v>45826</v>
      </c>
      <c r="C65" s="253">
        <v>45809</v>
      </c>
      <c r="D65" s="256" t="s">
        <v>640</v>
      </c>
      <c r="E65" s="239" t="s">
        <v>584</v>
      </c>
      <c r="F65" s="238" t="s">
        <v>6</v>
      </c>
      <c r="G65" s="239" t="s">
        <v>686</v>
      </c>
      <c r="H65" s="239" t="s">
        <v>690</v>
      </c>
      <c r="I65" s="343"/>
      <c r="J65" s="343"/>
    </row>
    <row r="66" spans="2:10" x14ac:dyDescent="0.25">
      <c r="B66" s="249">
        <v>45827</v>
      </c>
      <c r="C66" s="253">
        <v>45809</v>
      </c>
      <c r="D66" s="256" t="s">
        <v>640</v>
      </c>
      <c r="E66" s="239" t="s">
        <v>584</v>
      </c>
      <c r="F66" s="238" t="s">
        <v>6</v>
      </c>
      <c r="G66" s="239" t="s">
        <v>686</v>
      </c>
      <c r="H66" s="239" t="s">
        <v>691</v>
      </c>
      <c r="I66" s="343"/>
      <c r="J66" s="343"/>
    </row>
    <row r="67" spans="2:10" x14ac:dyDescent="0.25">
      <c r="B67" s="249">
        <v>45827</v>
      </c>
      <c r="C67" s="253">
        <v>45809</v>
      </c>
      <c r="D67" s="256" t="s">
        <v>692</v>
      </c>
      <c r="E67" s="239" t="s">
        <v>584</v>
      </c>
      <c r="F67" s="238" t="s">
        <v>6</v>
      </c>
      <c r="G67" s="239" t="s">
        <v>693</v>
      </c>
      <c r="H67" s="239" t="s">
        <v>694</v>
      </c>
      <c r="I67" s="343"/>
      <c r="J67" s="343"/>
    </row>
    <row r="68" spans="2:10" x14ac:dyDescent="0.25">
      <c r="B68" s="249">
        <v>45831</v>
      </c>
      <c r="C68" s="253">
        <v>45809</v>
      </c>
      <c r="D68" s="256" t="s">
        <v>640</v>
      </c>
      <c r="E68" s="239" t="s">
        <v>584</v>
      </c>
      <c r="F68" s="238" t="s">
        <v>6</v>
      </c>
      <c r="G68" s="239" t="s">
        <v>686</v>
      </c>
      <c r="H68" s="239" t="s">
        <v>695</v>
      </c>
      <c r="I68" s="343"/>
      <c r="J68" s="343"/>
    </row>
    <row r="69" spans="2:10" x14ac:dyDescent="0.25">
      <c r="B69" s="249">
        <v>45831</v>
      </c>
      <c r="C69" s="253">
        <v>45809</v>
      </c>
      <c r="D69" s="256" t="s">
        <v>614</v>
      </c>
      <c r="E69" s="239" t="s">
        <v>584</v>
      </c>
      <c r="F69" s="238" t="s">
        <v>6</v>
      </c>
      <c r="G69" s="239" t="s">
        <v>696</v>
      </c>
      <c r="H69" s="239" t="s">
        <v>697</v>
      </c>
      <c r="I69" s="343"/>
      <c r="J69" s="343"/>
    </row>
    <row r="70" spans="2:10" x14ac:dyDescent="0.25">
      <c r="B70" s="249">
        <v>45833</v>
      </c>
      <c r="C70" s="253">
        <v>45809</v>
      </c>
      <c r="D70" s="256" t="s">
        <v>640</v>
      </c>
      <c r="E70" s="239" t="s">
        <v>584</v>
      </c>
      <c r="F70" s="238" t="s">
        <v>6</v>
      </c>
      <c r="G70" s="239" t="s">
        <v>686</v>
      </c>
      <c r="H70" s="239" t="s">
        <v>698</v>
      </c>
      <c r="I70" s="343"/>
      <c r="J70" s="343"/>
    </row>
    <row r="71" spans="2:10" x14ac:dyDescent="0.25">
      <c r="B71" s="249">
        <v>45833</v>
      </c>
      <c r="C71" s="253">
        <v>45809</v>
      </c>
      <c r="D71" s="256" t="s">
        <v>640</v>
      </c>
      <c r="E71" s="239" t="s">
        <v>584</v>
      </c>
      <c r="F71" s="238" t="s">
        <v>6</v>
      </c>
      <c r="G71" s="239" t="s">
        <v>686</v>
      </c>
      <c r="H71" s="239" t="s">
        <v>699</v>
      </c>
      <c r="I71" s="343"/>
      <c r="J71" s="343"/>
    </row>
    <row r="72" spans="2:10" x14ac:dyDescent="0.25">
      <c r="B72" s="249">
        <v>45835</v>
      </c>
      <c r="C72" s="253">
        <v>45809</v>
      </c>
      <c r="D72" s="256" t="s">
        <v>692</v>
      </c>
      <c r="E72" s="239" t="s">
        <v>584</v>
      </c>
      <c r="F72" s="238" t="s">
        <v>6</v>
      </c>
      <c r="G72" s="239" t="s">
        <v>693</v>
      </c>
      <c r="H72" s="239" t="s">
        <v>700</v>
      </c>
      <c r="I72" s="343"/>
      <c r="J72" s="343"/>
    </row>
    <row r="73" spans="2:10" x14ac:dyDescent="0.25">
      <c r="B73" s="248">
        <v>45839</v>
      </c>
      <c r="C73" s="252">
        <v>45839</v>
      </c>
      <c r="D73" s="255" t="s">
        <v>640</v>
      </c>
      <c r="E73" s="237" t="s">
        <v>584</v>
      </c>
      <c r="F73" s="238" t="s">
        <v>6</v>
      </c>
      <c r="G73" s="237" t="s">
        <v>701</v>
      </c>
      <c r="H73" s="237" t="s">
        <v>702</v>
      </c>
      <c r="I73" s="343"/>
      <c r="J73" s="343"/>
    </row>
    <row r="74" spans="2:10" x14ac:dyDescent="0.25">
      <c r="B74" s="249">
        <v>45840</v>
      </c>
      <c r="C74" s="253">
        <v>45839</v>
      </c>
      <c r="D74" s="256" t="s">
        <v>640</v>
      </c>
      <c r="E74" s="239" t="s">
        <v>584</v>
      </c>
      <c r="F74" s="238" t="s">
        <v>6</v>
      </c>
      <c r="G74" s="239" t="s">
        <v>701</v>
      </c>
      <c r="H74" s="239" t="s">
        <v>703</v>
      </c>
      <c r="I74" s="343"/>
      <c r="J74" s="343"/>
    </row>
    <row r="75" spans="2:10" x14ac:dyDescent="0.25">
      <c r="B75" s="249">
        <v>45841</v>
      </c>
      <c r="C75" s="253">
        <v>45839</v>
      </c>
      <c r="D75" s="256" t="s">
        <v>591</v>
      </c>
      <c r="E75" s="239" t="s">
        <v>584</v>
      </c>
      <c r="F75" s="238" t="s">
        <v>6</v>
      </c>
      <c r="G75" s="239" t="s">
        <v>638</v>
      </c>
      <c r="H75" s="239" t="s">
        <v>704</v>
      </c>
      <c r="I75" s="343"/>
      <c r="J75" s="343"/>
    </row>
    <row r="76" spans="2:10" x14ac:dyDescent="0.25">
      <c r="B76" s="249">
        <v>45841</v>
      </c>
      <c r="C76" s="253">
        <v>45839</v>
      </c>
      <c r="D76" s="256" t="s">
        <v>640</v>
      </c>
      <c r="E76" s="239" t="s">
        <v>584</v>
      </c>
      <c r="F76" s="238" t="s">
        <v>6</v>
      </c>
      <c r="G76" s="239" t="s">
        <v>701</v>
      </c>
      <c r="H76" s="239" t="s">
        <v>705</v>
      </c>
      <c r="I76" s="343"/>
      <c r="J76" s="343"/>
    </row>
    <row r="77" spans="2:10" x14ac:dyDescent="0.25">
      <c r="B77" s="249">
        <v>45845</v>
      </c>
      <c r="C77" s="253">
        <v>45839</v>
      </c>
      <c r="D77" s="256" t="s">
        <v>640</v>
      </c>
      <c r="E77" s="239" t="s">
        <v>584</v>
      </c>
      <c r="F77" s="238" t="s">
        <v>6</v>
      </c>
      <c r="G77" s="239" t="s">
        <v>701</v>
      </c>
      <c r="H77" s="239" t="s">
        <v>706</v>
      </c>
      <c r="I77" s="343"/>
      <c r="J77" s="343"/>
    </row>
    <row r="78" spans="2:10" x14ac:dyDescent="0.25">
      <c r="B78" s="249">
        <v>45845</v>
      </c>
      <c r="C78" s="253">
        <v>45839</v>
      </c>
      <c r="D78" s="256" t="s">
        <v>640</v>
      </c>
      <c r="E78" s="239" t="s">
        <v>584</v>
      </c>
      <c r="F78" s="238" t="s">
        <v>6</v>
      </c>
      <c r="G78" s="239" t="s">
        <v>701</v>
      </c>
      <c r="H78" s="239" t="s">
        <v>707</v>
      </c>
      <c r="I78" s="343"/>
      <c r="J78" s="343"/>
    </row>
    <row r="79" spans="2:10" x14ac:dyDescent="0.25">
      <c r="B79" s="249">
        <v>45847</v>
      </c>
      <c r="C79" s="253">
        <v>45839</v>
      </c>
      <c r="D79" s="256" t="s">
        <v>708</v>
      </c>
      <c r="E79" s="239" t="s">
        <v>584</v>
      </c>
      <c r="F79" s="238" t="s">
        <v>6</v>
      </c>
      <c r="G79" s="239" t="s">
        <v>709</v>
      </c>
      <c r="H79" s="239" t="s">
        <v>710</v>
      </c>
      <c r="I79" s="343"/>
      <c r="J79" s="343"/>
    </row>
    <row r="80" spans="2:10" x14ac:dyDescent="0.25">
      <c r="B80" s="249">
        <v>45847</v>
      </c>
      <c r="C80" s="253">
        <v>45839</v>
      </c>
      <c r="D80" s="256" t="s">
        <v>708</v>
      </c>
      <c r="E80" s="239" t="s">
        <v>584</v>
      </c>
      <c r="F80" s="238" t="s">
        <v>6</v>
      </c>
      <c r="G80" s="239" t="s">
        <v>709</v>
      </c>
      <c r="H80" s="239" t="s">
        <v>710</v>
      </c>
      <c r="I80" s="343"/>
      <c r="J80" s="343"/>
    </row>
    <row r="81" spans="2:10" x14ac:dyDescent="0.25">
      <c r="B81" s="249">
        <v>45847</v>
      </c>
      <c r="C81" s="253">
        <v>45839</v>
      </c>
      <c r="D81" s="256" t="s">
        <v>410</v>
      </c>
      <c r="E81" s="239" t="s">
        <v>584</v>
      </c>
      <c r="F81" s="238" t="s">
        <v>6</v>
      </c>
      <c r="G81" s="239" t="s">
        <v>711</v>
      </c>
      <c r="H81" s="239" t="s">
        <v>712</v>
      </c>
      <c r="I81" s="343"/>
      <c r="J81" s="343"/>
    </row>
    <row r="82" spans="2:10" x14ac:dyDescent="0.25">
      <c r="B82" s="249">
        <v>45847</v>
      </c>
      <c r="C82" s="253">
        <v>45839</v>
      </c>
      <c r="D82" s="256" t="s">
        <v>640</v>
      </c>
      <c r="E82" s="239" t="s">
        <v>584</v>
      </c>
      <c r="F82" s="238" t="s">
        <v>6</v>
      </c>
      <c r="G82" s="239" t="s">
        <v>701</v>
      </c>
      <c r="H82" s="239" t="s">
        <v>713</v>
      </c>
      <c r="I82" s="343"/>
      <c r="J82" s="343"/>
    </row>
    <row r="83" spans="2:10" x14ac:dyDescent="0.25">
      <c r="B83" s="249">
        <v>45848</v>
      </c>
      <c r="C83" s="253">
        <v>45839</v>
      </c>
      <c r="D83" s="256" t="s">
        <v>591</v>
      </c>
      <c r="E83" s="239" t="s">
        <v>584</v>
      </c>
      <c r="F83" s="238" t="s">
        <v>6</v>
      </c>
      <c r="G83" s="239" t="s">
        <v>638</v>
      </c>
      <c r="H83" s="239" t="s">
        <v>714</v>
      </c>
      <c r="I83" s="343"/>
      <c r="J83" s="343"/>
    </row>
    <row r="84" spans="2:10" x14ac:dyDescent="0.25">
      <c r="B84" s="249">
        <v>45849</v>
      </c>
      <c r="C84" s="253">
        <v>45839</v>
      </c>
      <c r="D84" s="256" t="s">
        <v>640</v>
      </c>
      <c r="E84" s="239" t="s">
        <v>584</v>
      </c>
      <c r="F84" s="238" t="s">
        <v>6</v>
      </c>
      <c r="G84" s="239" t="s">
        <v>701</v>
      </c>
      <c r="H84" s="239" t="s">
        <v>715</v>
      </c>
      <c r="I84" s="343"/>
      <c r="J84" s="343"/>
    </row>
    <row r="85" spans="2:10" x14ac:dyDescent="0.25">
      <c r="B85" s="249">
        <v>45849</v>
      </c>
      <c r="C85" s="253">
        <v>45839</v>
      </c>
      <c r="D85" s="256" t="s">
        <v>640</v>
      </c>
      <c r="E85" s="239" t="s">
        <v>584</v>
      </c>
      <c r="F85" s="238" t="s">
        <v>6</v>
      </c>
      <c r="G85" s="239" t="s">
        <v>701</v>
      </c>
      <c r="H85" s="239" t="s">
        <v>716</v>
      </c>
      <c r="I85" s="343"/>
      <c r="J85" s="343"/>
    </row>
    <row r="86" spans="2:10" x14ac:dyDescent="0.25">
      <c r="B86" s="249">
        <v>45852</v>
      </c>
      <c r="C86" s="253">
        <v>45839</v>
      </c>
      <c r="D86" s="256" t="s">
        <v>717</v>
      </c>
      <c r="E86" s="239" t="s">
        <v>584</v>
      </c>
      <c r="F86" s="238" t="s">
        <v>6</v>
      </c>
      <c r="G86" s="239" t="s">
        <v>718</v>
      </c>
      <c r="H86" s="239" t="s">
        <v>719</v>
      </c>
      <c r="I86" s="343"/>
      <c r="J86" s="343"/>
    </row>
    <row r="87" spans="2:10" x14ac:dyDescent="0.25">
      <c r="B87" s="249">
        <v>45852</v>
      </c>
      <c r="C87" s="253">
        <v>45839</v>
      </c>
      <c r="D87" s="256" t="s">
        <v>717</v>
      </c>
      <c r="E87" s="239" t="s">
        <v>584</v>
      </c>
      <c r="F87" s="238" t="s">
        <v>6</v>
      </c>
      <c r="G87" s="239" t="s">
        <v>718</v>
      </c>
      <c r="H87" s="239" t="s">
        <v>720</v>
      </c>
      <c r="I87" s="343"/>
      <c r="J87" s="343"/>
    </row>
    <row r="88" spans="2:10" x14ac:dyDescent="0.25">
      <c r="B88" s="249">
        <v>45853</v>
      </c>
      <c r="C88" s="253">
        <v>45839</v>
      </c>
      <c r="D88" s="256" t="s">
        <v>721</v>
      </c>
      <c r="E88" s="239" t="s">
        <v>584</v>
      </c>
      <c r="F88" s="238" t="s">
        <v>6</v>
      </c>
      <c r="G88" s="239" t="s">
        <v>722</v>
      </c>
      <c r="H88" s="239" t="s">
        <v>723</v>
      </c>
      <c r="I88" s="343"/>
      <c r="J88" s="343"/>
    </row>
    <row r="89" spans="2:10" x14ac:dyDescent="0.25">
      <c r="B89" s="249">
        <v>45855</v>
      </c>
      <c r="C89" s="253">
        <v>45839</v>
      </c>
      <c r="D89" s="256" t="s">
        <v>640</v>
      </c>
      <c r="E89" s="239" t="s">
        <v>584</v>
      </c>
      <c r="F89" s="238" t="s">
        <v>6</v>
      </c>
      <c r="G89" s="239" t="s">
        <v>718</v>
      </c>
      <c r="H89" s="239" t="s">
        <v>724</v>
      </c>
      <c r="I89" s="343"/>
      <c r="J89" s="343"/>
    </row>
    <row r="90" spans="2:10" x14ac:dyDescent="0.25">
      <c r="B90" s="249">
        <v>45855</v>
      </c>
      <c r="C90" s="253">
        <v>45839</v>
      </c>
      <c r="D90" s="256" t="s">
        <v>725</v>
      </c>
      <c r="E90" s="239" t="s">
        <v>584</v>
      </c>
      <c r="F90" s="238" t="s">
        <v>6</v>
      </c>
      <c r="G90" s="239" t="s">
        <v>726</v>
      </c>
      <c r="H90" s="239" t="s">
        <v>727</v>
      </c>
      <c r="I90" s="343"/>
      <c r="J90" s="343"/>
    </row>
    <row r="91" spans="2:10" x14ac:dyDescent="0.25">
      <c r="B91" s="249">
        <v>45856</v>
      </c>
      <c r="C91" s="253">
        <v>45839</v>
      </c>
      <c r="D91" s="256" t="s">
        <v>725</v>
      </c>
      <c r="E91" s="239" t="s">
        <v>584</v>
      </c>
      <c r="F91" s="238" t="s">
        <v>6</v>
      </c>
      <c r="G91" s="239" t="s">
        <v>728</v>
      </c>
      <c r="H91" s="239" t="s">
        <v>729</v>
      </c>
      <c r="I91" s="343"/>
      <c r="J91" s="343"/>
    </row>
    <row r="92" spans="2:10" x14ac:dyDescent="0.25">
      <c r="B92" s="249">
        <v>45860</v>
      </c>
      <c r="C92" s="253">
        <v>45839</v>
      </c>
      <c r="D92" s="256" t="s">
        <v>640</v>
      </c>
      <c r="E92" s="239" t="s">
        <v>584</v>
      </c>
      <c r="F92" s="238" t="s">
        <v>6</v>
      </c>
      <c r="G92" s="239" t="s">
        <v>718</v>
      </c>
      <c r="H92" s="239" t="s">
        <v>730</v>
      </c>
      <c r="I92" s="343"/>
      <c r="J92" s="343"/>
    </row>
    <row r="93" spans="2:10" x14ac:dyDescent="0.25">
      <c r="B93" s="249">
        <v>45862</v>
      </c>
      <c r="C93" s="253">
        <v>45839</v>
      </c>
      <c r="D93" s="256" t="s">
        <v>640</v>
      </c>
      <c r="E93" s="239" t="s">
        <v>584</v>
      </c>
      <c r="F93" s="238" t="s">
        <v>6</v>
      </c>
      <c r="G93" s="239" t="s">
        <v>718</v>
      </c>
      <c r="H93" s="239" t="s">
        <v>731</v>
      </c>
      <c r="I93" s="343"/>
      <c r="J93" s="343"/>
    </row>
    <row r="94" spans="2:10" x14ac:dyDescent="0.25">
      <c r="B94" s="249">
        <v>45862</v>
      </c>
      <c r="C94" s="253">
        <v>45839</v>
      </c>
      <c r="D94" s="256" t="s">
        <v>732</v>
      </c>
      <c r="E94" s="239" t="s">
        <v>584</v>
      </c>
      <c r="F94" s="238" t="s">
        <v>6</v>
      </c>
      <c r="G94" s="239" t="s">
        <v>733</v>
      </c>
      <c r="H94" s="239" t="s">
        <v>734</v>
      </c>
      <c r="I94" s="343"/>
      <c r="J94" s="343"/>
    </row>
    <row r="95" spans="2:10" x14ac:dyDescent="0.25">
      <c r="B95" s="249">
        <v>45862</v>
      </c>
      <c r="C95" s="253">
        <v>45839</v>
      </c>
      <c r="D95" s="256" t="s">
        <v>640</v>
      </c>
      <c r="E95" s="239" t="s">
        <v>584</v>
      </c>
      <c r="F95" s="238" t="s">
        <v>6</v>
      </c>
      <c r="G95" s="239" t="s">
        <v>718</v>
      </c>
      <c r="H95" s="239" t="s">
        <v>735</v>
      </c>
      <c r="I95" s="343"/>
      <c r="J95" s="343"/>
    </row>
    <row r="96" spans="2:10" x14ac:dyDescent="0.25">
      <c r="B96" s="249">
        <v>45866</v>
      </c>
      <c r="C96" s="253">
        <v>45839</v>
      </c>
      <c r="D96" s="256" t="s">
        <v>736</v>
      </c>
      <c r="E96" s="239" t="s">
        <v>584</v>
      </c>
      <c r="F96" s="238" t="s">
        <v>6</v>
      </c>
      <c r="G96" s="239" t="s">
        <v>737</v>
      </c>
      <c r="H96" s="239" t="s">
        <v>738</v>
      </c>
      <c r="I96" s="343"/>
      <c r="J96" s="343"/>
    </row>
    <row r="97" spans="2:10" x14ac:dyDescent="0.25">
      <c r="B97" s="249">
        <v>45866</v>
      </c>
      <c r="C97" s="253">
        <v>45839</v>
      </c>
      <c r="D97" s="256" t="s">
        <v>736</v>
      </c>
      <c r="E97" s="239" t="s">
        <v>584</v>
      </c>
      <c r="F97" s="238" t="s">
        <v>6</v>
      </c>
      <c r="G97" s="239" t="s">
        <v>737</v>
      </c>
      <c r="H97" s="239" t="s">
        <v>739</v>
      </c>
      <c r="I97" s="343"/>
      <c r="J97" s="343"/>
    </row>
    <row r="98" spans="2:10" x14ac:dyDescent="0.25">
      <c r="B98" s="249">
        <v>45867</v>
      </c>
      <c r="C98" s="253">
        <v>45839</v>
      </c>
      <c r="D98" s="256" t="s">
        <v>640</v>
      </c>
      <c r="E98" s="239" t="s">
        <v>584</v>
      </c>
      <c r="F98" s="238" t="s">
        <v>6</v>
      </c>
      <c r="G98" s="239" t="s">
        <v>740</v>
      </c>
      <c r="H98" s="239" t="s">
        <v>741</v>
      </c>
      <c r="I98" s="343"/>
      <c r="J98" s="343"/>
    </row>
    <row r="99" spans="2:10" x14ac:dyDescent="0.25">
      <c r="B99" s="249">
        <v>45868</v>
      </c>
      <c r="C99" s="253">
        <v>45839</v>
      </c>
      <c r="D99" s="256" t="s">
        <v>640</v>
      </c>
      <c r="E99" s="239" t="s">
        <v>584</v>
      </c>
      <c r="F99" s="238" t="s">
        <v>6</v>
      </c>
      <c r="G99" s="239" t="s">
        <v>740</v>
      </c>
      <c r="H99" s="239" t="s">
        <v>742</v>
      </c>
      <c r="I99" s="343"/>
      <c r="J99" s="343"/>
    </row>
    <row r="100" spans="2:10" x14ac:dyDescent="0.25">
      <c r="B100" s="249">
        <v>45868</v>
      </c>
      <c r="C100" s="253">
        <v>45839</v>
      </c>
      <c r="D100" s="256" t="s">
        <v>283</v>
      </c>
      <c r="E100" s="239" t="s">
        <v>584</v>
      </c>
      <c r="F100" s="238" t="s">
        <v>6</v>
      </c>
      <c r="G100" s="239" t="s">
        <v>743</v>
      </c>
      <c r="H100" s="239" t="s">
        <v>744</v>
      </c>
      <c r="I100" s="343"/>
      <c r="J100" s="343"/>
    </row>
    <row r="101" spans="2:10" x14ac:dyDescent="0.25">
      <c r="B101" s="249">
        <v>45868</v>
      </c>
      <c r="C101" s="253">
        <v>45839</v>
      </c>
      <c r="D101" s="256" t="s">
        <v>640</v>
      </c>
      <c r="E101" s="239" t="s">
        <v>584</v>
      </c>
      <c r="F101" s="238" t="s">
        <v>6</v>
      </c>
      <c r="G101" s="239" t="s">
        <v>745</v>
      </c>
      <c r="H101" s="239" t="s">
        <v>746</v>
      </c>
      <c r="I101" s="343"/>
      <c r="J101" s="343"/>
    </row>
    <row r="102" spans="2:10" x14ac:dyDescent="0.25">
      <c r="B102" s="249">
        <v>45869</v>
      </c>
      <c r="C102" s="253">
        <v>45839</v>
      </c>
      <c r="D102" s="256" t="s">
        <v>747</v>
      </c>
      <c r="E102" s="239" t="s">
        <v>584</v>
      </c>
      <c r="F102" s="238" t="s">
        <v>6</v>
      </c>
      <c r="G102" s="239" t="s">
        <v>748</v>
      </c>
      <c r="H102" s="239" t="s">
        <v>749</v>
      </c>
      <c r="I102" s="343"/>
      <c r="J102" s="343"/>
    </row>
    <row r="103" spans="2:10" x14ac:dyDescent="0.25">
      <c r="B103" s="249">
        <v>45873</v>
      </c>
      <c r="C103" s="253">
        <v>45870</v>
      </c>
      <c r="D103" s="256" t="s">
        <v>736</v>
      </c>
      <c r="E103" s="239" t="s">
        <v>584</v>
      </c>
      <c r="F103" s="238" t="s">
        <v>6</v>
      </c>
      <c r="G103" s="239" t="s">
        <v>750</v>
      </c>
      <c r="H103" s="239" t="s">
        <v>751</v>
      </c>
      <c r="I103" s="343"/>
      <c r="J103" s="343"/>
    </row>
    <row r="104" spans="2:10" x14ac:dyDescent="0.25">
      <c r="B104" s="249">
        <v>45873</v>
      </c>
      <c r="C104" s="253">
        <v>45870</v>
      </c>
      <c r="D104" s="256" t="s">
        <v>640</v>
      </c>
      <c r="E104" s="239" t="s">
        <v>584</v>
      </c>
      <c r="F104" s="238" t="s">
        <v>6</v>
      </c>
      <c r="G104" s="239" t="s">
        <v>750</v>
      </c>
      <c r="H104" s="239" t="s">
        <v>752</v>
      </c>
      <c r="I104" s="343"/>
      <c r="J104" s="343"/>
    </row>
    <row r="105" spans="2:10" x14ac:dyDescent="0.25">
      <c r="B105" s="249">
        <v>45873</v>
      </c>
      <c r="C105" s="253">
        <v>45870</v>
      </c>
      <c r="D105" s="256" t="s">
        <v>708</v>
      </c>
      <c r="E105" s="239" t="s">
        <v>584</v>
      </c>
      <c r="F105" s="238" t="s">
        <v>6</v>
      </c>
      <c r="G105" s="239" t="s">
        <v>753</v>
      </c>
      <c r="H105" s="239" t="s">
        <v>754</v>
      </c>
      <c r="I105" s="343"/>
      <c r="J105" s="343"/>
    </row>
    <row r="106" spans="2:10" x14ac:dyDescent="0.25">
      <c r="B106" s="249">
        <v>45873</v>
      </c>
      <c r="C106" s="253">
        <v>45870</v>
      </c>
      <c r="D106" s="256" t="s">
        <v>708</v>
      </c>
      <c r="E106" s="239" t="s">
        <v>584</v>
      </c>
      <c r="F106" s="238" t="s">
        <v>6</v>
      </c>
      <c r="G106" s="239" t="s">
        <v>753</v>
      </c>
      <c r="H106" s="239" t="s">
        <v>755</v>
      </c>
      <c r="I106" s="343"/>
      <c r="J106" s="343"/>
    </row>
    <row r="107" spans="2:10" x14ac:dyDescent="0.25">
      <c r="B107" s="249">
        <v>45874</v>
      </c>
      <c r="C107" s="253">
        <v>45870</v>
      </c>
      <c r="D107" s="256" t="s">
        <v>732</v>
      </c>
      <c r="E107" s="239" t="s">
        <v>584</v>
      </c>
      <c r="F107" s="238" t="s">
        <v>6</v>
      </c>
      <c r="G107" s="239" t="s">
        <v>733</v>
      </c>
      <c r="H107" s="239" t="s">
        <v>734</v>
      </c>
      <c r="I107" s="343"/>
      <c r="J107" s="343"/>
    </row>
    <row r="108" spans="2:10" x14ac:dyDescent="0.25">
      <c r="B108" s="249">
        <v>45876</v>
      </c>
      <c r="C108" s="253">
        <v>45870</v>
      </c>
      <c r="D108" s="256" t="s">
        <v>640</v>
      </c>
      <c r="E108" s="239" t="s">
        <v>584</v>
      </c>
      <c r="F108" s="238" t="s">
        <v>6</v>
      </c>
      <c r="G108" s="239" t="s">
        <v>750</v>
      </c>
      <c r="H108" s="239" t="s">
        <v>752</v>
      </c>
      <c r="I108" s="343"/>
      <c r="J108" s="343"/>
    </row>
    <row r="109" spans="2:10" x14ac:dyDescent="0.25">
      <c r="B109" s="249">
        <v>45877</v>
      </c>
      <c r="C109" s="253">
        <v>45870</v>
      </c>
      <c r="D109" s="256" t="s">
        <v>640</v>
      </c>
      <c r="E109" s="239" t="s">
        <v>584</v>
      </c>
      <c r="F109" s="238" t="s">
        <v>6</v>
      </c>
      <c r="G109" s="239" t="s">
        <v>750</v>
      </c>
      <c r="H109" s="239" t="s">
        <v>737</v>
      </c>
      <c r="I109" s="343"/>
      <c r="J109" s="343"/>
    </row>
    <row r="110" spans="2:10" x14ac:dyDescent="0.25">
      <c r="B110" s="249">
        <v>45877</v>
      </c>
      <c r="C110" s="253">
        <v>45870</v>
      </c>
      <c r="D110" s="256" t="s">
        <v>640</v>
      </c>
      <c r="E110" s="239" t="s">
        <v>584</v>
      </c>
      <c r="F110" s="238" t="s">
        <v>6</v>
      </c>
      <c r="G110" s="239" t="s">
        <v>750</v>
      </c>
      <c r="H110" s="239" t="s">
        <v>756</v>
      </c>
      <c r="I110" s="343"/>
      <c r="J110" s="343"/>
    </row>
    <row r="111" spans="2:10" x14ac:dyDescent="0.25">
      <c r="B111" s="248">
        <v>45880</v>
      </c>
      <c r="C111" s="252">
        <v>45870</v>
      </c>
      <c r="D111" s="255" t="s">
        <v>640</v>
      </c>
      <c r="E111" s="237" t="s">
        <v>584</v>
      </c>
      <c r="F111" s="238" t="s">
        <v>6</v>
      </c>
      <c r="G111" s="237" t="s">
        <v>757</v>
      </c>
      <c r="H111" s="237" t="s">
        <v>758</v>
      </c>
      <c r="I111" s="343"/>
      <c r="J111" s="343"/>
    </row>
    <row r="112" spans="2:10" x14ac:dyDescent="0.25">
      <c r="B112" s="249">
        <v>45881</v>
      </c>
      <c r="C112" s="253">
        <v>45870</v>
      </c>
      <c r="D112" s="256" t="s">
        <v>640</v>
      </c>
      <c r="E112" s="239" t="s">
        <v>584</v>
      </c>
      <c r="F112" s="238" t="s">
        <v>6</v>
      </c>
      <c r="G112" s="239" t="s">
        <v>757</v>
      </c>
      <c r="H112" s="239" t="s">
        <v>759</v>
      </c>
      <c r="I112" s="343"/>
      <c r="J112" s="343"/>
    </row>
    <row r="113" spans="2:10" x14ac:dyDescent="0.25">
      <c r="B113" s="249">
        <v>45881</v>
      </c>
      <c r="C113" s="253">
        <v>45870</v>
      </c>
      <c r="D113" s="256" t="s">
        <v>640</v>
      </c>
      <c r="E113" s="239" t="s">
        <v>584</v>
      </c>
      <c r="F113" s="238" t="s">
        <v>6</v>
      </c>
      <c r="G113" s="239" t="s">
        <v>757</v>
      </c>
      <c r="H113" s="244" t="s">
        <v>760</v>
      </c>
      <c r="I113" s="343"/>
      <c r="J113" s="343"/>
    </row>
    <row r="114" spans="2:10" x14ac:dyDescent="0.25">
      <c r="B114" s="249">
        <v>45882</v>
      </c>
      <c r="C114" s="253">
        <v>45870</v>
      </c>
      <c r="D114" s="256" t="s">
        <v>717</v>
      </c>
      <c r="E114" s="239" t="s">
        <v>584</v>
      </c>
      <c r="F114" s="238" t="s">
        <v>6</v>
      </c>
      <c r="G114" s="239" t="s">
        <v>757</v>
      </c>
      <c r="H114" s="244" t="s">
        <v>761</v>
      </c>
      <c r="I114" s="343"/>
      <c r="J114" s="343"/>
    </row>
    <row r="115" spans="2:10" x14ac:dyDescent="0.25">
      <c r="B115" s="249">
        <v>45887</v>
      </c>
      <c r="C115" s="253">
        <v>45870</v>
      </c>
      <c r="D115" s="256" t="s">
        <v>717</v>
      </c>
      <c r="E115" s="239" t="s">
        <v>584</v>
      </c>
      <c r="F115" s="238" t="s">
        <v>6</v>
      </c>
      <c r="G115" s="239" t="s">
        <v>757</v>
      </c>
      <c r="H115" s="237" t="s">
        <v>762</v>
      </c>
      <c r="I115" s="343"/>
      <c r="J115" s="343"/>
    </row>
    <row r="116" spans="2:10" x14ac:dyDescent="0.25">
      <c r="B116" s="249">
        <v>45888</v>
      </c>
      <c r="C116" s="253">
        <v>45870</v>
      </c>
      <c r="D116" s="256" t="s">
        <v>640</v>
      </c>
      <c r="E116" s="239" t="s">
        <v>584</v>
      </c>
      <c r="F116" s="238" t="s">
        <v>6</v>
      </c>
      <c r="G116" s="239" t="s">
        <v>757</v>
      </c>
      <c r="H116" s="239" t="s">
        <v>763</v>
      </c>
      <c r="I116" s="343"/>
      <c r="J116" s="343"/>
    </row>
    <row r="117" spans="2:10" x14ac:dyDescent="0.25">
      <c r="B117" s="249">
        <v>45888</v>
      </c>
      <c r="C117" s="253">
        <v>45870</v>
      </c>
      <c r="D117" s="256" t="s">
        <v>640</v>
      </c>
      <c r="E117" s="239" t="s">
        <v>584</v>
      </c>
      <c r="F117" s="238" t="s">
        <v>6</v>
      </c>
      <c r="G117" s="239" t="s">
        <v>757</v>
      </c>
      <c r="H117" s="239" t="s">
        <v>764</v>
      </c>
      <c r="I117" s="343"/>
      <c r="J117" s="343"/>
    </row>
    <row r="118" spans="2:10" x14ac:dyDescent="0.25">
      <c r="B118" s="249">
        <v>45889</v>
      </c>
      <c r="C118" s="253">
        <v>45870</v>
      </c>
      <c r="D118" s="256" t="s">
        <v>765</v>
      </c>
      <c r="E118" s="239" t="s">
        <v>584</v>
      </c>
      <c r="F118" s="238" t="s">
        <v>6</v>
      </c>
      <c r="G118" s="239" t="s">
        <v>757</v>
      </c>
      <c r="H118" s="239" t="s">
        <v>766</v>
      </c>
      <c r="I118" s="343"/>
      <c r="J118" s="343"/>
    </row>
    <row r="119" spans="2:10" x14ac:dyDescent="0.25">
      <c r="B119" s="249">
        <v>45890</v>
      </c>
      <c r="C119" s="253">
        <v>45870</v>
      </c>
      <c r="D119" s="256" t="s">
        <v>640</v>
      </c>
      <c r="E119" s="239" t="s">
        <v>584</v>
      </c>
      <c r="F119" s="238" t="s">
        <v>6</v>
      </c>
      <c r="G119" s="239" t="s">
        <v>757</v>
      </c>
      <c r="H119" s="239" t="s">
        <v>767</v>
      </c>
      <c r="I119" s="343"/>
      <c r="J119" s="343"/>
    </row>
    <row r="120" spans="2:10" x14ac:dyDescent="0.25">
      <c r="B120" s="249">
        <v>45895</v>
      </c>
      <c r="C120" s="253">
        <v>45870</v>
      </c>
      <c r="D120" s="256" t="s">
        <v>591</v>
      </c>
      <c r="E120" s="239" t="s">
        <v>584</v>
      </c>
      <c r="F120" s="238" t="s">
        <v>6</v>
      </c>
      <c r="G120" s="239" t="s">
        <v>768</v>
      </c>
      <c r="H120" s="239" t="s">
        <v>769</v>
      </c>
      <c r="I120" s="343"/>
      <c r="J120" s="343"/>
    </row>
    <row r="121" spans="2:10" x14ac:dyDescent="0.25">
      <c r="B121" s="249">
        <v>45895</v>
      </c>
      <c r="C121" s="253">
        <v>45870</v>
      </c>
      <c r="D121" s="256" t="s">
        <v>640</v>
      </c>
      <c r="E121" s="239" t="s">
        <v>584</v>
      </c>
      <c r="F121" s="238" t="s">
        <v>6</v>
      </c>
      <c r="G121" s="239" t="s">
        <v>770</v>
      </c>
      <c r="H121" s="239" t="s">
        <v>771</v>
      </c>
      <c r="I121" s="343"/>
      <c r="J121" s="343"/>
    </row>
    <row r="122" spans="2:10" x14ac:dyDescent="0.25">
      <c r="B122" s="249">
        <v>45897</v>
      </c>
      <c r="C122" s="253">
        <v>45870</v>
      </c>
      <c r="D122" s="256" t="s">
        <v>640</v>
      </c>
      <c r="E122" s="239" t="s">
        <v>584</v>
      </c>
      <c r="F122" s="238" t="s">
        <v>6</v>
      </c>
      <c r="G122" s="244" t="s">
        <v>772</v>
      </c>
      <c r="H122" s="245" t="s">
        <v>773</v>
      </c>
      <c r="I122" s="343"/>
      <c r="J122" s="343"/>
    </row>
    <row r="123" spans="2:10" x14ac:dyDescent="0.25">
      <c r="B123" s="249">
        <v>45898</v>
      </c>
      <c r="C123" s="253">
        <v>45870</v>
      </c>
      <c r="D123" s="256" t="s">
        <v>774</v>
      </c>
      <c r="E123" s="239" t="s">
        <v>584</v>
      </c>
      <c r="F123" s="238" t="s">
        <v>6</v>
      </c>
      <c r="G123" s="237" t="s">
        <v>775</v>
      </c>
      <c r="H123" s="239" t="s">
        <v>776</v>
      </c>
      <c r="I123" s="343"/>
      <c r="J123" s="343"/>
    </row>
    <row r="124" spans="2:10" x14ac:dyDescent="0.25">
      <c r="B124" s="248">
        <v>45901</v>
      </c>
      <c r="C124" s="252">
        <v>45901</v>
      </c>
      <c r="D124" s="255" t="s">
        <v>717</v>
      </c>
      <c r="E124" s="237" t="s">
        <v>584</v>
      </c>
      <c r="F124" s="238" t="s">
        <v>6</v>
      </c>
      <c r="G124" s="237" t="s">
        <v>772</v>
      </c>
      <c r="H124" s="237" t="s">
        <v>777</v>
      </c>
      <c r="I124" s="343"/>
      <c r="J124" s="343"/>
    </row>
    <row r="125" spans="2:10" x14ac:dyDescent="0.25">
      <c r="B125" s="249">
        <v>45901</v>
      </c>
      <c r="C125" s="253">
        <v>45901</v>
      </c>
      <c r="D125" s="256" t="s">
        <v>283</v>
      </c>
      <c r="E125" s="239" t="s">
        <v>584</v>
      </c>
      <c r="F125" s="246" t="s">
        <v>4</v>
      </c>
      <c r="G125" s="239" t="s">
        <v>778</v>
      </c>
      <c r="H125" s="239" t="s">
        <v>779</v>
      </c>
      <c r="I125" s="343"/>
      <c r="J125" s="343"/>
    </row>
    <row r="126" spans="2:10" x14ac:dyDescent="0.25">
      <c r="B126" s="249">
        <v>45902</v>
      </c>
      <c r="C126" s="253">
        <v>45901</v>
      </c>
      <c r="D126" s="256" t="s">
        <v>780</v>
      </c>
      <c r="E126" s="239" t="s">
        <v>584</v>
      </c>
      <c r="F126" s="238" t="s">
        <v>6</v>
      </c>
      <c r="G126" s="239" t="s">
        <v>781</v>
      </c>
      <c r="H126" s="239" t="s">
        <v>782</v>
      </c>
      <c r="I126" s="343"/>
      <c r="J126" s="343"/>
    </row>
    <row r="127" spans="2:10" x14ac:dyDescent="0.25">
      <c r="B127" s="249">
        <v>45903</v>
      </c>
      <c r="C127" s="253">
        <v>45901</v>
      </c>
      <c r="D127" s="256" t="s">
        <v>672</v>
      </c>
      <c r="E127" s="239" t="s">
        <v>584</v>
      </c>
      <c r="F127" s="238" t="s">
        <v>6</v>
      </c>
      <c r="G127" s="239" t="s">
        <v>783</v>
      </c>
      <c r="H127" s="239" t="s">
        <v>784</v>
      </c>
      <c r="I127" s="343"/>
      <c r="J127" s="343"/>
    </row>
    <row r="128" spans="2:10" x14ac:dyDescent="0.25">
      <c r="B128" s="249">
        <v>45904</v>
      </c>
      <c r="C128" s="253">
        <v>45901</v>
      </c>
      <c r="D128" s="256" t="s">
        <v>672</v>
      </c>
      <c r="E128" s="239" t="s">
        <v>584</v>
      </c>
      <c r="F128" s="238" t="s">
        <v>6</v>
      </c>
      <c r="G128" s="239" t="s">
        <v>783</v>
      </c>
      <c r="H128" s="239" t="s">
        <v>784</v>
      </c>
      <c r="I128" s="343"/>
      <c r="J128" s="343"/>
    </row>
    <row r="129" spans="2:10" x14ac:dyDescent="0.25">
      <c r="B129" s="249">
        <v>45905</v>
      </c>
      <c r="C129" s="253">
        <v>45901</v>
      </c>
      <c r="D129" s="256" t="s">
        <v>640</v>
      </c>
      <c r="E129" s="239" t="s">
        <v>584</v>
      </c>
      <c r="F129" s="238" t="s">
        <v>6</v>
      </c>
      <c r="G129" s="239" t="s">
        <v>772</v>
      </c>
      <c r="H129" s="239" t="s">
        <v>785</v>
      </c>
      <c r="I129" s="343"/>
      <c r="J129" s="343"/>
    </row>
    <row r="130" spans="2:10" x14ac:dyDescent="0.25">
      <c r="B130" s="249">
        <v>45905</v>
      </c>
      <c r="C130" s="253">
        <v>45901</v>
      </c>
      <c r="D130" s="256" t="s">
        <v>717</v>
      </c>
      <c r="E130" s="239" t="s">
        <v>584</v>
      </c>
      <c r="F130" s="238" t="s">
        <v>6</v>
      </c>
      <c r="G130" s="239" t="s">
        <v>772</v>
      </c>
      <c r="H130" s="239" t="s">
        <v>786</v>
      </c>
      <c r="I130" s="343"/>
      <c r="J130" s="343"/>
    </row>
    <row r="131" spans="2:10" x14ac:dyDescent="0.25">
      <c r="B131" s="249">
        <v>45905</v>
      </c>
      <c r="C131" s="253">
        <v>45901</v>
      </c>
      <c r="D131" s="256" t="s">
        <v>787</v>
      </c>
      <c r="E131" s="239" t="s">
        <v>584</v>
      </c>
      <c r="F131" s="238" t="s">
        <v>6</v>
      </c>
      <c r="G131" s="239" t="s">
        <v>788</v>
      </c>
      <c r="H131" s="239" t="s">
        <v>789</v>
      </c>
      <c r="I131" s="343"/>
      <c r="J131" s="343"/>
    </row>
    <row r="132" spans="2:10" x14ac:dyDescent="0.25">
      <c r="B132" s="249">
        <v>45905</v>
      </c>
      <c r="C132" s="253">
        <v>45901</v>
      </c>
      <c r="D132" s="256" t="s">
        <v>406</v>
      </c>
      <c r="E132" s="239" t="s">
        <v>584</v>
      </c>
      <c r="F132" s="238" t="s">
        <v>6</v>
      </c>
      <c r="G132" s="239" t="s">
        <v>790</v>
      </c>
      <c r="H132" s="239" t="s">
        <v>791</v>
      </c>
      <c r="I132" s="343"/>
      <c r="J132" s="343"/>
    </row>
    <row r="133" spans="2:10" x14ac:dyDescent="0.25">
      <c r="B133" s="249">
        <v>45908</v>
      </c>
      <c r="C133" s="253">
        <v>45901</v>
      </c>
      <c r="D133" s="256" t="s">
        <v>774</v>
      </c>
      <c r="E133" s="239" t="s">
        <v>584</v>
      </c>
      <c r="F133" s="238" t="s">
        <v>6</v>
      </c>
      <c r="G133" s="239" t="s">
        <v>775</v>
      </c>
      <c r="H133" s="239" t="s">
        <v>792</v>
      </c>
      <c r="I133" s="343"/>
      <c r="J133" s="343"/>
    </row>
    <row r="134" spans="2:10" x14ac:dyDescent="0.25">
      <c r="B134" s="248">
        <v>45908</v>
      </c>
      <c r="C134" s="252">
        <v>45901</v>
      </c>
      <c r="D134" s="255" t="s">
        <v>640</v>
      </c>
      <c r="E134" s="237" t="s">
        <v>584</v>
      </c>
      <c r="F134" s="238" t="s">
        <v>6</v>
      </c>
      <c r="G134" s="237" t="s">
        <v>772</v>
      </c>
      <c r="H134" s="237" t="s">
        <v>793</v>
      </c>
      <c r="I134" s="343"/>
      <c r="J134" s="343"/>
    </row>
    <row r="135" spans="2:10" x14ac:dyDescent="0.25">
      <c r="B135" s="249">
        <v>45909</v>
      </c>
      <c r="C135" s="253">
        <v>45901</v>
      </c>
      <c r="D135" s="256" t="s">
        <v>640</v>
      </c>
      <c r="E135" s="239" t="s">
        <v>584</v>
      </c>
      <c r="F135" s="238" t="s">
        <v>6</v>
      </c>
      <c r="G135" s="239" t="s">
        <v>794</v>
      </c>
      <c r="H135" s="239" t="s">
        <v>795</v>
      </c>
      <c r="I135" s="343"/>
      <c r="J135" s="343"/>
    </row>
    <row r="136" spans="2:10" x14ac:dyDescent="0.25">
      <c r="B136" s="249">
        <v>45912</v>
      </c>
      <c r="C136" s="253">
        <v>45901</v>
      </c>
      <c r="D136" s="256" t="s">
        <v>796</v>
      </c>
      <c r="E136" s="239" t="s">
        <v>584</v>
      </c>
      <c r="F136" s="238" t="s">
        <v>6</v>
      </c>
      <c r="G136" s="239" t="s">
        <v>794</v>
      </c>
      <c r="H136" s="239" t="s">
        <v>797</v>
      </c>
      <c r="I136" s="343"/>
      <c r="J136" s="343"/>
    </row>
    <row r="137" spans="2:10" x14ac:dyDescent="0.25">
      <c r="B137" s="249">
        <v>45915</v>
      </c>
      <c r="C137" s="253">
        <v>45901</v>
      </c>
      <c r="D137" s="256" t="s">
        <v>640</v>
      </c>
      <c r="E137" s="239" t="s">
        <v>584</v>
      </c>
      <c r="F137" s="238" t="s">
        <v>6</v>
      </c>
      <c r="G137" s="239" t="s">
        <v>794</v>
      </c>
      <c r="H137" s="239" t="s">
        <v>798</v>
      </c>
      <c r="I137" s="343"/>
      <c r="J137" s="343"/>
    </row>
    <row r="138" spans="2:10" x14ac:dyDescent="0.25">
      <c r="B138" s="249">
        <v>45922</v>
      </c>
      <c r="C138" s="253">
        <v>45901</v>
      </c>
      <c r="D138" s="256" t="s">
        <v>640</v>
      </c>
      <c r="E138" s="239" t="s">
        <v>584</v>
      </c>
      <c r="F138" s="238" t="s">
        <v>6</v>
      </c>
      <c r="G138" s="239" t="s">
        <v>794</v>
      </c>
      <c r="H138" s="239" t="s">
        <v>799</v>
      </c>
      <c r="I138" s="343"/>
      <c r="J138" s="343"/>
    </row>
    <row r="139" spans="2:10" x14ac:dyDescent="0.25">
      <c r="B139" s="249">
        <v>45923</v>
      </c>
      <c r="C139" s="253">
        <v>45901</v>
      </c>
      <c r="D139" s="256" t="s">
        <v>640</v>
      </c>
      <c r="E139" s="239" t="s">
        <v>584</v>
      </c>
      <c r="F139" s="238" t="s">
        <v>6</v>
      </c>
      <c r="G139" s="239" t="s">
        <v>794</v>
      </c>
      <c r="H139" s="239" t="s">
        <v>800</v>
      </c>
      <c r="I139" s="343"/>
      <c r="J139" s="343"/>
    </row>
    <row r="140" spans="2:10" x14ac:dyDescent="0.25">
      <c r="B140" s="249">
        <v>45923</v>
      </c>
      <c r="C140" s="253">
        <v>45901</v>
      </c>
      <c r="D140" s="256" t="s">
        <v>640</v>
      </c>
      <c r="E140" s="239" t="s">
        <v>584</v>
      </c>
      <c r="F140" s="238" t="s">
        <v>6</v>
      </c>
      <c r="G140" s="239" t="s">
        <v>794</v>
      </c>
      <c r="H140" s="239" t="s">
        <v>801</v>
      </c>
      <c r="I140" s="343"/>
      <c r="J140" s="343"/>
    </row>
    <row r="141" spans="2:10" x14ac:dyDescent="0.25">
      <c r="B141" s="249">
        <v>45923</v>
      </c>
      <c r="C141" s="253">
        <v>45901</v>
      </c>
      <c r="D141" s="256" t="s">
        <v>640</v>
      </c>
      <c r="E141" s="239" t="s">
        <v>584</v>
      </c>
      <c r="F141" s="238" t="s">
        <v>6</v>
      </c>
      <c r="G141" s="239" t="s">
        <v>794</v>
      </c>
      <c r="H141" s="239" t="s">
        <v>802</v>
      </c>
      <c r="I141" s="343"/>
      <c r="J141" s="343"/>
    </row>
    <row r="142" spans="2:10" x14ac:dyDescent="0.25">
      <c r="B142" s="249">
        <v>45925</v>
      </c>
      <c r="C142" s="253">
        <v>45901</v>
      </c>
      <c r="D142" s="256" t="s">
        <v>640</v>
      </c>
      <c r="E142" s="239" t="s">
        <v>584</v>
      </c>
      <c r="F142" s="238" t="s">
        <v>6</v>
      </c>
      <c r="G142" s="239" t="s">
        <v>794</v>
      </c>
      <c r="H142" s="239" t="s">
        <v>803</v>
      </c>
      <c r="I142" s="343"/>
      <c r="J142" s="343"/>
    </row>
    <row r="143" spans="2:10" x14ac:dyDescent="0.25">
      <c r="B143" s="249">
        <v>45929</v>
      </c>
      <c r="C143" s="253">
        <v>45901</v>
      </c>
      <c r="D143" s="256" t="s">
        <v>640</v>
      </c>
      <c r="E143" s="239" t="s">
        <v>584</v>
      </c>
      <c r="F143" s="238" t="s">
        <v>6</v>
      </c>
      <c r="G143" s="239" t="s">
        <v>794</v>
      </c>
      <c r="H143" s="239" t="s">
        <v>804</v>
      </c>
      <c r="I143" s="343"/>
      <c r="J143" s="343"/>
    </row>
    <row r="144" spans="2:10" x14ac:dyDescent="0.25">
      <c r="B144" s="249">
        <v>45929</v>
      </c>
      <c r="C144" s="253">
        <v>45901</v>
      </c>
      <c r="D144" s="256" t="s">
        <v>640</v>
      </c>
      <c r="E144" s="239" t="s">
        <v>584</v>
      </c>
      <c r="F144" s="238" t="s">
        <v>6</v>
      </c>
      <c r="G144" s="239" t="s">
        <v>805</v>
      </c>
      <c r="H144" s="239" t="s">
        <v>806</v>
      </c>
      <c r="I144" s="343"/>
      <c r="J144" s="343"/>
    </row>
    <row r="145" spans="2:10" x14ac:dyDescent="0.25">
      <c r="B145" s="249">
        <v>45930</v>
      </c>
      <c r="C145" s="253">
        <v>45901</v>
      </c>
      <c r="D145" s="256" t="s">
        <v>640</v>
      </c>
      <c r="E145" s="239" t="s">
        <v>584</v>
      </c>
      <c r="F145" s="238" t="s">
        <v>6</v>
      </c>
      <c r="G145" s="239" t="s">
        <v>794</v>
      </c>
      <c r="H145" s="239" t="s">
        <v>807</v>
      </c>
      <c r="I145" s="343"/>
      <c r="J145" s="343"/>
    </row>
    <row r="146" spans="2:10" x14ac:dyDescent="0.25">
      <c r="B146" s="249">
        <v>45930</v>
      </c>
      <c r="C146" s="253">
        <v>45901</v>
      </c>
      <c r="D146" s="256" t="s">
        <v>640</v>
      </c>
      <c r="E146" s="239" t="s">
        <v>584</v>
      </c>
      <c r="F146" s="238" t="s">
        <v>6</v>
      </c>
      <c r="G146" s="239" t="s">
        <v>808</v>
      </c>
      <c r="H146" s="239" t="s">
        <v>809</v>
      </c>
      <c r="I146" s="343"/>
      <c r="J146" s="343"/>
    </row>
    <row r="147" spans="2:10" x14ac:dyDescent="0.25">
      <c r="B147" s="249">
        <v>45933</v>
      </c>
      <c r="C147" s="253">
        <v>45931</v>
      </c>
      <c r="D147" s="256" t="s">
        <v>810</v>
      </c>
      <c r="E147" s="239" t="s">
        <v>584</v>
      </c>
      <c r="F147" s="238" t="s">
        <v>6</v>
      </c>
      <c r="G147" s="239" t="s">
        <v>811</v>
      </c>
      <c r="H147" s="239" t="s">
        <v>812</v>
      </c>
      <c r="I147" s="343"/>
      <c r="J147" s="343"/>
    </row>
    <row r="148" spans="2:10" x14ac:dyDescent="0.25">
      <c r="B148" s="249">
        <v>45936</v>
      </c>
      <c r="C148" s="253">
        <v>45931</v>
      </c>
      <c r="D148" s="256" t="s">
        <v>640</v>
      </c>
      <c r="E148" s="239" t="s">
        <v>584</v>
      </c>
      <c r="F148" s="238" t="s">
        <v>6</v>
      </c>
      <c r="G148" s="239" t="s">
        <v>807</v>
      </c>
      <c r="H148" s="239" t="s">
        <v>813</v>
      </c>
      <c r="I148" s="343"/>
      <c r="J148" s="343"/>
    </row>
    <row r="149" spans="2:10" x14ac:dyDescent="0.25">
      <c r="B149" s="249">
        <v>45936</v>
      </c>
      <c r="C149" s="253">
        <v>45931</v>
      </c>
      <c r="D149" s="256" t="s">
        <v>406</v>
      </c>
      <c r="E149" s="239" t="s">
        <v>584</v>
      </c>
      <c r="F149" s="238" t="s">
        <v>6</v>
      </c>
      <c r="G149" s="239" t="s">
        <v>808</v>
      </c>
      <c r="H149" s="239" t="s">
        <v>814</v>
      </c>
      <c r="I149" s="343"/>
      <c r="J149" s="343"/>
    </row>
    <row r="150" spans="2:10" x14ac:dyDescent="0.25">
      <c r="B150" s="249">
        <v>45936</v>
      </c>
      <c r="C150" s="253">
        <v>45931</v>
      </c>
      <c r="D150" s="256" t="s">
        <v>640</v>
      </c>
      <c r="E150" s="239" t="s">
        <v>584</v>
      </c>
      <c r="F150" s="238" t="s">
        <v>6</v>
      </c>
      <c r="G150" s="239" t="s">
        <v>808</v>
      </c>
      <c r="H150" s="239" t="s">
        <v>815</v>
      </c>
      <c r="I150" s="343"/>
      <c r="J150" s="343"/>
    </row>
    <row r="151" spans="2:10" x14ac:dyDescent="0.25">
      <c r="B151" s="249">
        <v>45937</v>
      </c>
      <c r="C151" s="253">
        <v>45931</v>
      </c>
      <c r="D151" s="256" t="s">
        <v>816</v>
      </c>
      <c r="E151" s="239" t="s">
        <v>584</v>
      </c>
      <c r="F151" s="238" t="s">
        <v>6</v>
      </c>
      <c r="G151" s="239" t="s">
        <v>817</v>
      </c>
      <c r="H151" s="239" t="s">
        <v>818</v>
      </c>
      <c r="I151" s="343"/>
      <c r="J151" s="343"/>
    </row>
    <row r="152" spans="2:10" x14ac:dyDescent="0.25">
      <c r="B152" s="249">
        <v>45937</v>
      </c>
      <c r="C152" s="253">
        <v>45931</v>
      </c>
      <c r="D152" s="256" t="s">
        <v>640</v>
      </c>
      <c r="E152" s="239" t="s">
        <v>584</v>
      </c>
      <c r="F152" s="238" t="s">
        <v>6</v>
      </c>
      <c r="G152" s="239" t="s">
        <v>808</v>
      </c>
      <c r="H152" s="239" t="s">
        <v>819</v>
      </c>
      <c r="I152" s="343"/>
      <c r="J152" s="343"/>
    </row>
    <row r="153" spans="2:10" x14ac:dyDescent="0.25">
      <c r="B153" s="249">
        <v>45937</v>
      </c>
      <c r="C153" s="253">
        <v>45931</v>
      </c>
      <c r="D153" s="256" t="s">
        <v>816</v>
      </c>
      <c r="E153" s="239" t="s">
        <v>584</v>
      </c>
      <c r="F153" s="238" t="s">
        <v>6</v>
      </c>
      <c r="G153" s="239" t="s">
        <v>805</v>
      </c>
      <c r="H153" s="239" t="s">
        <v>820</v>
      </c>
      <c r="I153" s="343"/>
      <c r="J153" s="343"/>
    </row>
    <row r="154" spans="2:10" x14ac:dyDescent="0.25">
      <c r="B154" s="249">
        <v>45938</v>
      </c>
      <c r="C154" s="253">
        <v>45931</v>
      </c>
      <c r="D154" s="256" t="s">
        <v>640</v>
      </c>
      <c r="E154" s="239" t="s">
        <v>584</v>
      </c>
      <c r="F154" s="238" t="s">
        <v>6</v>
      </c>
      <c r="G154" s="239" t="s">
        <v>808</v>
      </c>
      <c r="H154" s="239" t="s">
        <v>821</v>
      </c>
      <c r="I154" s="343"/>
      <c r="J154" s="343"/>
    </row>
    <row r="155" spans="2:10" x14ac:dyDescent="0.25">
      <c r="B155" s="249">
        <v>45938</v>
      </c>
      <c r="C155" s="253">
        <v>45931</v>
      </c>
      <c r="D155" s="256" t="s">
        <v>822</v>
      </c>
      <c r="E155" s="239" t="s">
        <v>584</v>
      </c>
      <c r="F155" s="238" t="s">
        <v>6</v>
      </c>
      <c r="G155" s="239" t="s">
        <v>805</v>
      </c>
      <c r="H155" s="239" t="s">
        <v>823</v>
      </c>
      <c r="I155" s="343"/>
      <c r="J155" s="343"/>
    </row>
    <row r="156" spans="2:10" x14ac:dyDescent="0.25">
      <c r="B156" s="249">
        <v>45938</v>
      </c>
      <c r="C156" s="253">
        <v>45931</v>
      </c>
      <c r="D156" s="256" t="s">
        <v>822</v>
      </c>
      <c r="E156" s="239" t="s">
        <v>584</v>
      </c>
      <c r="F156" s="238" t="s">
        <v>6</v>
      </c>
      <c r="G156" s="239" t="s">
        <v>805</v>
      </c>
      <c r="H156" s="239" t="s">
        <v>824</v>
      </c>
      <c r="I156" s="343"/>
      <c r="J156" s="343"/>
    </row>
    <row r="157" spans="2:10" x14ac:dyDescent="0.25">
      <c r="B157" s="249">
        <v>45938</v>
      </c>
      <c r="C157" s="253">
        <v>45931</v>
      </c>
      <c r="D157" s="256" t="s">
        <v>640</v>
      </c>
      <c r="E157" s="239" t="s">
        <v>584</v>
      </c>
      <c r="F157" s="238" t="s">
        <v>6</v>
      </c>
      <c r="G157" s="239" t="s">
        <v>808</v>
      </c>
      <c r="H157" s="239" t="s">
        <v>825</v>
      </c>
      <c r="I157" s="343"/>
      <c r="J157" s="343"/>
    </row>
    <row r="158" spans="2:10" x14ac:dyDescent="0.25">
      <c r="B158" s="249">
        <v>45938</v>
      </c>
      <c r="C158" s="253">
        <v>45931</v>
      </c>
      <c r="D158" s="256" t="s">
        <v>640</v>
      </c>
      <c r="E158" s="239" t="s">
        <v>584</v>
      </c>
      <c r="F158" s="238" t="s">
        <v>6</v>
      </c>
      <c r="G158" s="239" t="s">
        <v>808</v>
      </c>
      <c r="H158" s="239" t="s">
        <v>826</v>
      </c>
      <c r="I158" s="343"/>
      <c r="J158" s="343"/>
    </row>
    <row r="159" spans="2:10" x14ac:dyDescent="0.25">
      <c r="B159" s="249">
        <v>45940</v>
      </c>
      <c r="C159" s="253">
        <v>45931</v>
      </c>
      <c r="D159" s="256" t="s">
        <v>721</v>
      </c>
      <c r="E159" s="239" t="s">
        <v>584</v>
      </c>
      <c r="F159" s="238" t="s">
        <v>6</v>
      </c>
      <c r="G159" s="239" t="s">
        <v>606</v>
      </c>
      <c r="H159" s="239" t="s">
        <v>827</v>
      </c>
      <c r="I159" s="343"/>
      <c r="J159" s="343"/>
    </row>
    <row r="160" spans="2:10" x14ac:dyDescent="0.25">
      <c r="B160" s="248">
        <v>45944</v>
      </c>
      <c r="C160" s="252">
        <v>45931</v>
      </c>
      <c r="D160" s="255" t="s">
        <v>614</v>
      </c>
      <c r="E160" s="237" t="s">
        <v>584</v>
      </c>
      <c r="F160" s="238" t="s">
        <v>6</v>
      </c>
      <c r="G160" s="237" t="s">
        <v>828</v>
      </c>
      <c r="H160" s="237" t="s">
        <v>829</v>
      </c>
      <c r="I160" s="343"/>
      <c r="J160" s="343"/>
    </row>
    <row r="161" spans="2:10" x14ac:dyDescent="0.25">
      <c r="B161" s="249">
        <v>45946</v>
      </c>
      <c r="C161" s="253">
        <v>45931</v>
      </c>
      <c r="D161" s="256" t="s">
        <v>640</v>
      </c>
      <c r="E161" s="239" t="s">
        <v>584</v>
      </c>
      <c r="F161" s="238" t="s">
        <v>6</v>
      </c>
      <c r="G161" s="239" t="s">
        <v>830</v>
      </c>
      <c r="H161" s="239" t="s">
        <v>831</v>
      </c>
      <c r="I161" s="343"/>
      <c r="J161" s="343"/>
    </row>
    <row r="162" spans="2:10" x14ac:dyDescent="0.25">
      <c r="B162" s="249">
        <v>45947</v>
      </c>
      <c r="C162" s="253">
        <v>45931</v>
      </c>
      <c r="D162" s="256" t="s">
        <v>591</v>
      </c>
      <c r="E162" s="239" t="s">
        <v>584</v>
      </c>
      <c r="F162" s="238" t="s">
        <v>6</v>
      </c>
      <c r="G162" s="239" t="s">
        <v>832</v>
      </c>
      <c r="H162" s="239" t="s">
        <v>833</v>
      </c>
      <c r="I162" s="343"/>
      <c r="J162" s="343"/>
    </row>
    <row r="163" spans="2:10" x14ac:dyDescent="0.25">
      <c r="B163" s="249">
        <v>45950</v>
      </c>
      <c r="C163" s="253">
        <v>45931</v>
      </c>
      <c r="D163" s="256" t="s">
        <v>834</v>
      </c>
      <c r="E163" s="239" t="s">
        <v>584</v>
      </c>
      <c r="F163" s="238" t="s">
        <v>6</v>
      </c>
      <c r="G163" s="239" t="s">
        <v>835</v>
      </c>
      <c r="H163" s="239" t="s">
        <v>836</v>
      </c>
      <c r="I163" s="343"/>
      <c r="J163" s="343"/>
    </row>
    <row r="164" spans="2:10" x14ac:dyDescent="0.25">
      <c r="B164" s="249">
        <v>45950</v>
      </c>
      <c r="C164" s="253">
        <v>45931</v>
      </c>
      <c r="D164" s="256" t="s">
        <v>834</v>
      </c>
      <c r="E164" s="239" t="s">
        <v>584</v>
      </c>
      <c r="F164" s="238" t="s">
        <v>6</v>
      </c>
      <c r="G164" s="239" t="s">
        <v>835</v>
      </c>
      <c r="H164" s="239" t="s">
        <v>837</v>
      </c>
      <c r="I164" s="343"/>
      <c r="J164" s="343"/>
    </row>
    <row r="165" spans="2:10" x14ac:dyDescent="0.25">
      <c r="B165" s="249">
        <v>45951</v>
      </c>
      <c r="C165" s="253">
        <v>45931</v>
      </c>
      <c r="D165" s="256" t="s">
        <v>838</v>
      </c>
      <c r="E165" s="239" t="s">
        <v>584</v>
      </c>
      <c r="F165" s="238" t="s">
        <v>6</v>
      </c>
      <c r="G165" s="239" t="s">
        <v>839</v>
      </c>
      <c r="H165" s="239" t="s">
        <v>840</v>
      </c>
      <c r="I165" s="343"/>
      <c r="J165" s="343"/>
    </row>
    <row r="166" spans="2:10" x14ac:dyDescent="0.25">
      <c r="B166" s="249">
        <v>45954</v>
      </c>
      <c r="C166" s="253">
        <v>45931</v>
      </c>
      <c r="D166" s="256" t="s">
        <v>614</v>
      </c>
      <c r="E166" s="239" t="s">
        <v>584</v>
      </c>
      <c r="F166" s="238" t="s">
        <v>6</v>
      </c>
      <c r="G166" s="239" t="s">
        <v>839</v>
      </c>
      <c r="H166" s="239" t="s">
        <v>841</v>
      </c>
      <c r="I166" s="343"/>
      <c r="J166" s="343"/>
    </row>
    <row r="167" spans="2:10" x14ac:dyDescent="0.25">
      <c r="B167" s="249">
        <v>45957</v>
      </c>
      <c r="C167" s="253">
        <v>45931</v>
      </c>
      <c r="D167" s="256" t="s">
        <v>659</v>
      </c>
      <c r="E167" s="239" t="s">
        <v>584</v>
      </c>
      <c r="F167" s="238" t="s">
        <v>6</v>
      </c>
      <c r="G167" s="239" t="s">
        <v>842</v>
      </c>
      <c r="H167" s="239" t="s">
        <v>843</v>
      </c>
      <c r="I167" s="343"/>
      <c r="J167" s="343"/>
    </row>
    <row r="168" spans="2:10" x14ac:dyDescent="0.25">
      <c r="B168" s="249">
        <v>45957</v>
      </c>
      <c r="C168" s="253">
        <v>45931</v>
      </c>
      <c r="D168" s="256" t="s">
        <v>659</v>
      </c>
      <c r="E168" s="239" t="s">
        <v>584</v>
      </c>
      <c r="F168" s="238" t="s">
        <v>6</v>
      </c>
      <c r="G168" s="239" t="s">
        <v>844</v>
      </c>
      <c r="H168" s="239" t="s">
        <v>845</v>
      </c>
      <c r="I168" s="343"/>
      <c r="J168" s="343"/>
    </row>
    <row r="169" spans="2:10" x14ac:dyDescent="0.25">
      <c r="B169" s="249">
        <v>45958</v>
      </c>
      <c r="C169" s="253">
        <v>45931</v>
      </c>
      <c r="D169" s="256" t="s">
        <v>406</v>
      </c>
      <c r="E169" s="239" t="s">
        <v>584</v>
      </c>
      <c r="F169" s="238" t="s">
        <v>6</v>
      </c>
      <c r="G169" s="239" t="s">
        <v>846</v>
      </c>
      <c r="H169" s="239" t="s">
        <v>847</v>
      </c>
      <c r="I169" s="343"/>
      <c r="J169" s="343"/>
    </row>
    <row r="170" spans="2:10" x14ac:dyDescent="0.25">
      <c r="B170" s="249">
        <v>45958</v>
      </c>
      <c r="C170" s="253">
        <v>45931</v>
      </c>
      <c r="D170" s="256" t="s">
        <v>848</v>
      </c>
      <c r="E170" s="239" t="s">
        <v>584</v>
      </c>
      <c r="F170" s="238" t="s">
        <v>6</v>
      </c>
      <c r="G170" s="239" t="s">
        <v>849</v>
      </c>
      <c r="H170" s="239" t="s">
        <v>850</v>
      </c>
      <c r="I170" s="343"/>
      <c r="J170" s="343"/>
    </row>
    <row r="171" spans="2:10" x14ac:dyDescent="0.25">
      <c r="B171" s="249">
        <v>45959</v>
      </c>
      <c r="C171" s="253">
        <v>45931</v>
      </c>
      <c r="D171" s="256" t="s">
        <v>640</v>
      </c>
      <c r="E171" s="239" t="s">
        <v>584</v>
      </c>
      <c r="F171" s="238" t="s">
        <v>6</v>
      </c>
      <c r="G171" s="239" t="s">
        <v>851</v>
      </c>
      <c r="H171" s="239" t="s">
        <v>852</v>
      </c>
      <c r="I171" s="343"/>
      <c r="J171" s="343"/>
    </row>
    <row r="172" spans="2:10" x14ac:dyDescent="0.25">
      <c r="B172" s="248">
        <v>45961</v>
      </c>
      <c r="C172" s="252">
        <v>45962</v>
      </c>
      <c r="D172" s="255" t="s">
        <v>283</v>
      </c>
      <c r="E172" s="237" t="s">
        <v>584</v>
      </c>
      <c r="F172" s="238" t="s">
        <v>6</v>
      </c>
      <c r="G172" s="237" t="s">
        <v>853</v>
      </c>
      <c r="H172" s="237" t="s">
        <v>854</v>
      </c>
      <c r="I172" s="343"/>
      <c r="J172" s="343"/>
    </row>
    <row r="173" spans="2:10" x14ac:dyDescent="0.25">
      <c r="B173" s="248">
        <v>45964</v>
      </c>
      <c r="C173" s="252">
        <v>45962</v>
      </c>
      <c r="D173" s="255" t="s">
        <v>283</v>
      </c>
      <c r="E173" s="237" t="s">
        <v>584</v>
      </c>
      <c r="F173" s="238" t="s">
        <v>6</v>
      </c>
      <c r="G173" s="237" t="s">
        <v>853</v>
      </c>
      <c r="H173" s="237" t="s">
        <v>855</v>
      </c>
      <c r="I173" s="343"/>
      <c r="J173" s="343"/>
    </row>
    <row r="174" spans="2:10" x14ac:dyDescent="0.25">
      <c r="B174" s="249">
        <v>45965</v>
      </c>
      <c r="C174" s="253">
        <v>45962</v>
      </c>
      <c r="D174" s="256" t="s">
        <v>283</v>
      </c>
      <c r="E174" s="239" t="s">
        <v>584</v>
      </c>
      <c r="F174" s="238" t="s">
        <v>6</v>
      </c>
      <c r="G174" s="239" t="s">
        <v>853</v>
      </c>
      <c r="H174" s="239" t="s">
        <v>856</v>
      </c>
      <c r="I174" s="343"/>
      <c r="J174" s="343"/>
    </row>
    <row r="175" spans="2:10" x14ac:dyDescent="0.25">
      <c r="B175" s="249">
        <v>45965</v>
      </c>
      <c r="C175" s="253">
        <v>45962</v>
      </c>
      <c r="D175" s="256" t="s">
        <v>614</v>
      </c>
      <c r="E175" s="239" t="s">
        <v>584</v>
      </c>
      <c r="F175" s="238" t="s">
        <v>6</v>
      </c>
      <c r="G175" s="239" t="s">
        <v>857</v>
      </c>
      <c r="H175" s="239" t="s">
        <v>858</v>
      </c>
      <c r="I175" s="343"/>
      <c r="J175" s="343"/>
    </row>
    <row r="176" spans="2:10" x14ac:dyDescent="0.25">
      <c r="B176" s="249">
        <v>45966</v>
      </c>
      <c r="C176" s="253">
        <v>45962</v>
      </c>
      <c r="D176" s="256" t="s">
        <v>283</v>
      </c>
      <c r="E176" s="239" t="s">
        <v>584</v>
      </c>
      <c r="F176" s="238" t="s">
        <v>6</v>
      </c>
      <c r="G176" s="239" t="s">
        <v>853</v>
      </c>
      <c r="H176" s="239" t="s">
        <v>859</v>
      </c>
      <c r="I176" s="343"/>
      <c r="J176" s="343"/>
    </row>
    <row r="177" spans="2:10" x14ac:dyDescent="0.25">
      <c r="B177" s="249">
        <v>45967</v>
      </c>
      <c r="C177" s="253">
        <v>45962</v>
      </c>
      <c r="D177" s="256" t="s">
        <v>591</v>
      </c>
      <c r="E177" s="239" t="s">
        <v>584</v>
      </c>
      <c r="F177" s="238" t="s">
        <v>6</v>
      </c>
      <c r="G177" s="239" t="s">
        <v>860</v>
      </c>
      <c r="H177" s="239" t="s">
        <v>861</v>
      </c>
      <c r="I177" s="343"/>
      <c r="J177" s="343"/>
    </row>
    <row r="178" spans="2:10" x14ac:dyDescent="0.25">
      <c r="B178" s="249">
        <v>45967</v>
      </c>
      <c r="C178" s="253">
        <v>45962</v>
      </c>
      <c r="D178" s="256" t="s">
        <v>283</v>
      </c>
      <c r="E178" s="239" t="s">
        <v>584</v>
      </c>
      <c r="F178" s="238" t="s">
        <v>6</v>
      </c>
      <c r="G178" s="239" t="s">
        <v>853</v>
      </c>
      <c r="H178" s="239" t="s">
        <v>862</v>
      </c>
      <c r="I178" s="343"/>
      <c r="J178" s="343"/>
    </row>
    <row r="179" spans="2:10" x14ac:dyDescent="0.25">
      <c r="B179" s="249">
        <v>45971</v>
      </c>
      <c r="C179" s="253">
        <v>45962</v>
      </c>
      <c r="D179" s="256" t="s">
        <v>591</v>
      </c>
      <c r="E179" s="239" t="s">
        <v>584</v>
      </c>
      <c r="F179" s="238" t="s">
        <v>6</v>
      </c>
      <c r="G179" s="239" t="s">
        <v>863</v>
      </c>
      <c r="H179" s="239" t="s">
        <v>864</v>
      </c>
      <c r="I179" s="343"/>
      <c r="J179" s="343"/>
    </row>
    <row r="180" spans="2:10" x14ac:dyDescent="0.25">
      <c r="B180" s="249">
        <v>45971</v>
      </c>
      <c r="C180" s="253">
        <v>45962</v>
      </c>
      <c r="D180" s="256" t="s">
        <v>721</v>
      </c>
      <c r="E180" s="239" t="s">
        <v>584</v>
      </c>
      <c r="F180" s="238" t="s">
        <v>6</v>
      </c>
      <c r="G180" s="239" t="s">
        <v>606</v>
      </c>
      <c r="H180" s="239" t="s">
        <v>865</v>
      </c>
      <c r="I180" s="343"/>
      <c r="J180" s="343"/>
    </row>
    <row r="181" spans="2:10" x14ac:dyDescent="0.25">
      <c r="B181" s="248">
        <v>45972</v>
      </c>
      <c r="C181" s="252">
        <v>45962</v>
      </c>
      <c r="D181" s="255" t="s">
        <v>614</v>
      </c>
      <c r="E181" s="237" t="s">
        <v>584</v>
      </c>
      <c r="F181" s="238" t="s">
        <v>6</v>
      </c>
      <c r="G181" s="237" t="s">
        <v>866</v>
      </c>
      <c r="H181" s="237" t="s">
        <v>867</v>
      </c>
      <c r="I181" s="343"/>
      <c r="J181" s="343"/>
    </row>
    <row r="182" spans="2:10" x14ac:dyDescent="0.25">
      <c r="B182" s="249">
        <v>45973</v>
      </c>
      <c r="C182" s="253">
        <v>45962</v>
      </c>
      <c r="D182" s="256" t="s">
        <v>868</v>
      </c>
      <c r="E182" s="239" t="s">
        <v>584</v>
      </c>
      <c r="F182" s="238" t="s">
        <v>6</v>
      </c>
      <c r="G182" s="239" t="s">
        <v>790</v>
      </c>
      <c r="H182" s="239" t="s">
        <v>869</v>
      </c>
      <c r="I182" s="343"/>
      <c r="J182" s="343"/>
    </row>
    <row r="183" spans="2:10" x14ac:dyDescent="0.25">
      <c r="B183" s="249">
        <v>45975</v>
      </c>
      <c r="C183" s="253">
        <v>45962</v>
      </c>
      <c r="D183" s="256" t="s">
        <v>774</v>
      </c>
      <c r="E183" s="239" t="s">
        <v>584</v>
      </c>
      <c r="F183" s="238" t="s">
        <v>6</v>
      </c>
      <c r="G183" s="239" t="s">
        <v>870</v>
      </c>
      <c r="H183" s="239" t="s">
        <v>871</v>
      </c>
      <c r="I183" s="343"/>
      <c r="J183" s="343"/>
    </row>
    <row r="184" spans="2:10" x14ac:dyDescent="0.25">
      <c r="B184" s="249">
        <v>45975</v>
      </c>
      <c r="C184" s="253">
        <v>45962</v>
      </c>
      <c r="D184" s="256" t="s">
        <v>406</v>
      </c>
      <c r="E184" s="239" t="s">
        <v>584</v>
      </c>
      <c r="F184" s="238" t="s">
        <v>6</v>
      </c>
      <c r="G184" s="239" t="s">
        <v>872</v>
      </c>
      <c r="H184" s="239" t="s">
        <v>873</v>
      </c>
      <c r="I184" s="343"/>
      <c r="J184" s="343"/>
    </row>
    <row r="185" spans="2:10" x14ac:dyDescent="0.25">
      <c r="B185" s="249">
        <v>45978</v>
      </c>
      <c r="C185" s="253">
        <v>45962</v>
      </c>
      <c r="D185" s="256" t="s">
        <v>708</v>
      </c>
      <c r="E185" s="239" t="s">
        <v>584</v>
      </c>
      <c r="F185" s="238" t="s">
        <v>6</v>
      </c>
      <c r="G185" s="239" t="s">
        <v>849</v>
      </c>
      <c r="H185" s="239" t="s">
        <v>874</v>
      </c>
      <c r="I185" s="343"/>
      <c r="J185" s="343"/>
    </row>
    <row r="186" spans="2:10" x14ac:dyDescent="0.25">
      <c r="B186" s="249">
        <v>45978</v>
      </c>
      <c r="C186" s="253">
        <v>45962</v>
      </c>
      <c r="D186" s="256" t="s">
        <v>868</v>
      </c>
      <c r="E186" s="239" t="s">
        <v>584</v>
      </c>
      <c r="F186" s="238" t="s">
        <v>6</v>
      </c>
      <c r="G186" s="239" t="s">
        <v>875</v>
      </c>
      <c r="H186" s="239" t="s">
        <v>876</v>
      </c>
      <c r="I186" s="343"/>
      <c r="J186" s="343"/>
    </row>
    <row r="187" spans="2:10" x14ac:dyDescent="0.25">
      <c r="B187" s="249">
        <v>45979</v>
      </c>
      <c r="C187" s="253">
        <v>45962</v>
      </c>
      <c r="D187" s="256" t="s">
        <v>868</v>
      </c>
      <c r="E187" s="239" t="s">
        <v>584</v>
      </c>
      <c r="F187" s="238" t="s">
        <v>6</v>
      </c>
      <c r="G187" s="239" t="s">
        <v>875</v>
      </c>
      <c r="H187" s="239" t="s">
        <v>877</v>
      </c>
      <c r="I187" s="343"/>
      <c r="J187" s="343"/>
    </row>
    <row r="188" spans="2:10" x14ac:dyDescent="0.25">
      <c r="B188" s="249">
        <v>45979</v>
      </c>
      <c r="C188" s="253">
        <v>45962</v>
      </c>
      <c r="D188" s="256" t="s">
        <v>868</v>
      </c>
      <c r="E188" s="239" t="s">
        <v>584</v>
      </c>
      <c r="F188" s="238" t="s">
        <v>6</v>
      </c>
      <c r="G188" s="239" t="s">
        <v>875</v>
      </c>
      <c r="H188" s="239" t="s">
        <v>878</v>
      </c>
      <c r="I188" s="343"/>
      <c r="J188" s="343"/>
    </row>
    <row r="189" spans="2:10" x14ac:dyDescent="0.25">
      <c r="B189" s="249">
        <v>45979</v>
      </c>
      <c r="C189" s="253">
        <v>45962</v>
      </c>
      <c r="D189" s="256" t="s">
        <v>406</v>
      </c>
      <c r="E189" s="239" t="s">
        <v>584</v>
      </c>
      <c r="F189" s="238" t="s">
        <v>6</v>
      </c>
      <c r="G189" s="239" t="s">
        <v>849</v>
      </c>
      <c r="H189" s="239" t="s">
        <v>879</v>
      </c>
      <c r="I189" s="343"/>
      <c r="J189" s="343"/>
    </row>
    <row r="190" spans="2:10" x14ac:dyDescent="0.25">
      <c r="B190" s="249">
        <v>45980</v>
      </c>
      <c r="C190" s="253">
        <v>45962</v>
      </c>
      <c r="D190" s="256" t="s">
        <v>614</v>
      </c>
      <c r="E190" s="239" t="s">
        <v>584</v>
      </c>
      <c r="F190" s="238" t="s">
        <v>6</v>
      </c>
      <c r="G190" s="239" t="s">
        <v>880</v>
      </c>
      <c r="H190" s="239" t="s">
        <v>881</v>
      </c>
      <c r="I190" s="343"/>
      <c r="J190" s="343"/>
    </row>
    <row r="191" spans="2:10" x14ac:dyDescent="0.25">
      <c r="B191" s="249">
        <v>45981</v>
      </c>
      <c r="C191" s="253">
        <v>45962</v>
      </c>
      <c r="D191" s="256" t="s">
        <v>882</v>
      </c>
      <c r="E191" s="239" t="s">
        <v>584</v>
      </c>
      <c r="F191" s="238" t="s">
        <v>6</v>
      </c>
      <c r="G191" s="239" t="s">
        <v>883</v>
      </c>
      <c r="H191" s="239" t="s">
        <v>884</v>
      </c>
      <c r="I191" s="343"/>
      <c r="J191" s="343"/>
    </row>
    <row r="192" spans="2:10" x14ac:dyDescent="0.25">
      <c r="B192" s="248">
        <v>45985</v>
      </c>
      <c r="C192" s="252">
        <v>45962</v>
      </c>
      <c r="D192" s="255" t="s">
        <v>283</v>
      </c>
      <c r="E192" s="237" t="s">
        <v>584</v>
      </c>
      <c r="F192" s="238" t="s">
        <v>6</v>
      </c>
      <c r="G192" s="237" t="s">
        <v>875</v>
      </c>
      <c r="H192" s="237" t="s">
        <v>885</v>
      </c>
      <c r="I192" s="343"/>
      <c r="J192" s="343"/>
    </row>
    <row r="193" spans="2:10" x14ac:dyDescent="0.25">
      <c r="B193" s="249">
        <v>45986</v>
      </c>
      <c r="C193" s="253">
        <v>45962</v>
      </c>
      <c r="D193" s="256" t="s">
        <v>283</v>
      </c>
      <c r="E193" s="239" t="s">
        <v>584</v>
      </c>
      <c r="F193" s="238" t="s">
        <v>6</v>
      </c>
      <c r="G193" s="239" t="s">
        <v>875</v>
      </c>
      <c r="H193" s="239" t="s">
        <v>885</v>
      </c>
      <c r="I193" s="343"/>
      <c r="J193" s="343"/>
    </row>
    <row r="194" spans="2:10" x14ac:dyDescent="0.25">
      <c r="B194" s="249">
        <v>45987</v>
      </c>
      <c r="C194" s="253">
        <v>45962</v>
      </c>
      <c r="D194" s="256" t="s">
        <v>283</v>
      </c>
      <c r="E194" s="239" t="s">
        <v>584</v>
      </c>
      <c r="F194" s="238" t="s">
        <v>6</v>
      </c>
      <c r="G194" s="239" t="s">
        <v>875</v>
      </c>
      <c r="H194" s="239" t="s">
        <v>885</v>
      </c>
      <c r="I194" s="343"/>
      <c r="J194" s="343"/>
    </row>
    <row r="195" spans="2:10" x14ac:dyDescent="0.25">
      <c r="B195" s="249">
        <v>45988</v>
      </c>
      <c r="C195" s="253">
        <v>45962</v>
      </c>
      <c r="D195" s="256" t="s">
        <v>283</v>
      </c>
      <c r="E195" s="239" t="s">
        <v>584</v>
      </c>
      <c r="F195" s="238" t="s">
        <v>6</v>
      </c>
      <c r="G195" s="239" t="s">
        <v>875</v>
      </c>
      <c r="H195" s="239" t="s">
        <v>885</v>
      </c>
      <c r="I195" s="343"/>
      <c r="J195" s="343"/>
    </row>
    <row r="196" spans="2:10" x14ac:dyDescent="0.25">
      <c r="B196" s="249">
        <v>45989</v>
      </c>
      <c r="C196" s="253">
        <v>45962</v>
      </c>
      <c r="D196" s="256" t="s">
        <v>283</v>
      </c>
      <c r="E196" s="239" t="s">
        <v>584</v>
      </c>
      <c r="F196" s="238" t="s">
        <v>6</v>
      </c>
      <c r="G196" s="239" t="s">
        <v>875</v>
      </c>
      <c r="H196" s="239" t="s">
        <v>885</v>
      </c>
      <c r="I196" s="343"/>
      <c r="J196" s="343"/>
    </row>
    <row r="197" spans="2:10" x14ac:dyDescent="0.25">
      <c r="B197" s="249">
        <v>45992</v>
      </c>
      <c r="C197" s="253">
        <v>45992</v>
      </c>
      <c r="D197" s="256" t="s">
        <v>283</v>
      </c>
      <c r="E197" s="239" t="s">
        <v>584</v>
      </c>
      <c r="F197" s="238" t="s">
        <v>6</v>
      </c>
      <c r="G197" s="239" t="s">
        <v>886</v>
      </c>
      <c r="H197" s="239" t="s">
        <v>887</v>
      </c>
      <c r="I197" s="343"/>
      <c r="J197" s="343"/>
    </row>
    <row r="198" spans="2:10" x14ac:dyDescent="0.25">
      <c r="B198" s="249">
        <v>45993</v>
      </c>
      <c r="C198" s="253">
        <v>45992</v>
      </c>
      <c r="D198" s="256" t="s">
        <v>680</v>
      </c>
      <c r="E198" s="239" t="s">
        <v>584</v>
      </c>
      <c r="F198" s="238" t="s">
        <v>6</v>
      </c>
      <c r="G198" s="239" t="s">
        <v>839</v>
      </c>
      <c r="H198" s="239" t="s">
        <v>888</v>
      </c>
      <c r="I198" s="343"/>
      <c r="J198" s="343"/>
    </row>
    <row r="199" spans="2:10" x14ac:dyDescent="0.25">
      <c r="B199" s="249">
        <v>45993</v>
      </c>
      <c r="C199" s="253">
        <v>45992</v>
      </c>
      <c r="D199" s="256" t="s">
        <v>882</v>
      </c>
      <c r="E199" s="239" t="s">
        <v>584</v>
      </c>
      <c r="F199" s="238" t="s">
        <v>6</v>
      </c>
      <c r="G199" s="239" t="s">
        <v>889</v>
      </c>
      <c r="H199" s="239" t="s">
        <v>890</v>
      </c>
      <c r="I199" s="343"/>
      <c r="J199" s="343"/>
    </row>
    <row r="200" spans="2:10" x14ac:dyDescent="0.25">
      <c r="B200" s="249">
        <v>45994</v>
      </c>
      <c r="C200" s="253">
        <v>45992</v>
      </c>
      <c r="D200" s="256" t="s">
        <v>591</v>
      </c>
      <c r="E200" s="239" t="s">
        <v>584</v>
      </c>
      <c r="F200" s="238" t="s">
        <v>6</v>
      </c>
      <c r="G200" s="239" t="s">
        <v>891</v>
      </c>
      <c r="H200" s="239" t="s">
        <v>892</v>
      </c>
      <c r="I200" s="343"/>
      <c r="J200" s="343"/>
    </row>
    <row r="201" spans="2:10" x14ac:dyDescent="0.25">
      <c r="B201" s="249">
        <v>45994</v>
      </c>
      <c r="C201" s="253">
        <v>45992</v>
      </c>
      <c r="D201" s="256" t="s">
        <v>893</v>
      </c>
      <c r="E201" s="239" t="s">
        <v>584</v>
      </c>
      <c r="F201" s="238" t="s">
        <v>6</v>
      </c>
      <c r="G201" s="239" t="s">
        <v>839</v>
      </c>
      <c r="H201" s="239" t="s">
        <v>888</v>
      </c>
      <c r="I201" s="343"/>
      <c r="J201" s="343"/>
    </row>
    <row r="202" spans="2:10" x14ac:dyDescent="0.25">
      <c r="B202" s="249">
        <v>45994</v>
      </c>
      <c r="C202" s="253">
        <v>45992</v>
      </c>
      <c r="D202" s="256" t="s">
        <v>882</v>
      </c>
      <c r="E202" s="239" t="s">
        <v>584</v>
      </c>
      <c r="F202" s="238" t="s">
        <v>6</v>
      </c>
      <c r="G202" s="239" t="s">
        <v>889</v>
      </c>
      <c r="H202" s="239" t="s">
        <v>894</v>
      </c>
      <c r="I202" s="343"/>
      <c r="J202" s="343"/>
    </row>
    <row r="203" spans="2:10" x14ac:dyDescent="0.25">
      <c r="B203" s="249">
        <v>45995</v>
      </c>
      <c r="C203" s="253">
        <v>45992</v>
      </c>
      <c r="D203" s="256" t="s">
        <v>893</v>
      </c>
      <c r="E203" s="239" t="s">
        <v>584</v>
      </c>
      <c r="F203" s="238" t="s">
        <v>6</v>
      </c>
      <c r="G203" s="239" t="s">
        <v>839</v>
      </c>
      <c r="H203" s="239" t="s">
        <v>895</v>
      </c>
      <c r="I203" s="343"/>
      <c r="J203" s="343"/>
    </row>
    <row r="204" spans="2:10" x14ac:dyDescent="0.25">
      <c r="B204" s="249">
        <v>45995</v>
      </c>
      <c r="C204" s="253">
        <v>45992</v>
      </c>
      <c r="D204" s="256" t="s">
        <v>882</v>
      </c>
      <c r="E204" s="239" t="s">
        <v>584</v>
      </c>
      <c r="F204" s="238" t="s">
        <v>6</v>
      </c>
      <c r="G204" s="239" t="s">
        <v>889</v>
      </c>
      <c r="H204" s="239" t="s">
        <v>896</v>
      </c>
      <c r="I204" s="343"/>
      <c r="J204" s="343"/>
    </row>
    <row r="205" spans="2:10" x14ac:dyDescent="0.25">
      <c r="B205" s="249">
        <v>45996</v>
      </c>
      <c r="C205" s="253">
        <v>45992</v>
      </c>
      <c r="D205" s="256" t="s">
        <v>882</v>
      </c>
      <c r="E205" s="239" t="s">
        <v>584</v>
      </c>
      <c r="F205" s="238" t="s">
        <v>6</v>
      </c>
      <c r="G205" s="239" t="s">
        <v>889</v>
      </c>
      <c r="H205" s="239" t="s">
        <v>897</v>
      </c>
      <c r="I205" s="343"/>
      <c r="J205" s="343"/>
    </row>
    <row r="206" spans="2:10" x14ac:dyDescent="0.25">
      <c r="B206" s="249">
        <v>45996</v>
      </c>
      <c r="C206" s="253">
        <v>45992</v>
      </c>
      <c r="D206" s="256" t="s">
        <v>893</v>
      </c>
      <c r="E206" s="239" t="s">
        <v>584</v>
      </c>
      <c r="F206" s="238" t="s">
        <v>6</v>
      </c>
      <c r="G206" s="239" t="s">
        <v>839</v>
      </c>
      <c r="H206" s="239" t="s">
        <v>895</v>
      </c>
      <c r="I206" s="343"/>
      <c r="J206" s="343"/>
    </row>
    <row r="207" spans="2:10" x14ac:dyDescent="0.25">
      <c r="B207" s="249">
        <v>45996</v>
      </c>
      <c r="C207" s="253">
        <v>45992</v>
      </c>
      <c r="D207" s="256" t="s">
        <v>614</v>
      </c>
      <c r="E207" s="239" t="s">
        <v>584</v>
      </c>
      <c r="F207" s="238" t="s">
        <v>6</v>
      </c>
      <c r="G207" s="239" t="s">
        <v>898</v>
      </c>
      <c r="H207" s="239" t="s">
        <v>899</v>
      </c>
      <c r="I207" s="343"/>
      <c r="J207" s="343"/>
    </row>
    <row r="208" spans="2:10" x14ac:dyDescent="0.25">
      <c r="B208" s="248">
        <v>45999</v>
      </c>
      <c r="C208" s="252">
        <v>45992</v>
      </c>
      <c r="D208" s="255" t="s">
        <v>283</v>
      </c>
      <c r="E208" s="237" t="s">
        <v>584</v>
      </c>
      <c r="F208" s="238" t="s">
        <v>6</v>
      </c>
      <c r="G208" s="237" t="s">
        <v>900</v>
      </c>
      <c r="H208" s="237" t="s">
        <v>901</v>
      </c>
      <c r="I208" s="343"/>
      <c r="J208" s="343"/>
    </row>
    <row r="209" spans="2:10" x14ac:dyDescent="0.25">
      <c r="B209" s="249">
        <v>46000</v>
      </c>
      <c r="C209" s="253">
        <v>45992</v>
      </c>
      <c r="D209" s="256" t="s">
        <v>680</v>
      </c>
      <c r="E209" s="239" t="s">
        <v>584</v>
      </c>
      <c r="F209" s="238" t="s">
        <v>6</v>
      </c>
      <c r="G209" s="239" t="s">
        <v>902</v>
      </c>
      <c r="H209" s="239" t="s">
        <v>903</v>
      </c>
      <c r="I209" s="343"/>
      <c r="J209" s="343"/>
    </row>
    <row r="210" spans="2:10" x14ac:dyDescent="0.25">
      <c r="B210" s="249">
        <v>46000</v>
      </c>
      <c r="C210" s="253">
        <v>45992</v>
      </c>
      <c r="D210" s="256" t="s">
        <v>283</v>
      </c>
      <c r="E210" s="239" t="s">
        <v>584</v>
      </c>
      <c r="F210" s="238" t="s">
        <v>6</v>
      </c>
      <c r="G210" s="239" t="s">
        <v>904</v>
      </c>
      <c r="H210" s="239" t="s">
        <v>905</v>
      </c>
      <c r="I210" s="343"/>
      <c r="J210" s="343"/>
    </row>
    <row r="211" spans="2:10" x14ac:dyDescent="0.25">
      <c r="B211" s="249">
        <v>46001</v>
      </c>
      <c r="C211" s="253">
        <v>45992</v>
      </c>
      <c r="D211" s="256" t="s">
        <v>680</v>
      </c>
      <c r="E211" s="239" t="s">
        <v>584</v>
      </c>
      <c r="F211" s="238" t="s">
        <v>6</v>
      </c>
      <c r="G211" s="239" t="s">
        <v>902</v>
      </c>
      <c r="H211" s="239" t="s">
        <v>906</v>
      </c>
      <c r="I211" s="343"/>
      <c r="J211" s="343"/>
    </row>
    <row r="212" spans="2:10" x14ac:dyDescent="0.25">
      <c r="B212" s="249">
        <v>46001</v>
      </c>
      <c r="C212" s="253">
        <v>45992</v>
      </c>
      <c r="D212" s="256" t="s">
        <v>680</v>
      </c>
      <c r="E212" s="239" t="s">
        <v>584</v>
      </c>
      <c r="F212" s="238" t="s">
        <v>6</v>
      </c>
      <c r="G212" s="239" t="s">
        <v>902</v>
      </c>
      <c r="H212" s="239" t="s">
        <v>907</v>
      </c>
      <c r="I212" s="343"/>
      <c r="J212" s="343"/>
    </row>
    <row r="213" spans="2:10" x14ac:dyDescent="0.25">
      <c r="B213" s="249">
        <v>46001</v>
      </c>
      <c r="C213" s="253">
        <v>45992</v>
      </c>
      <c r="D213" s="256" t="s">
        <v>680</v>
      </c>
      <c r="E213" s="239" t="s">
        <v>584</v>
      </c>
      <c r="F213" s="238" t="s">
        <v>6</v>
      </c>
      <c r="G213" s="239" t="s">
        <v>902</v>
      </c>
      <c r="H213" s="239" t="s">
        <v>908</v>
      </c>
      <c r="I213" s="343"/>
      <c r="J213" s="343"/>
    </row>
    <row r="214" spans="2:10" x14ac:dyDescent="0.25">
      <c r="B214" s="249">
        <v>46001</v>
      </c>
      <c r="C214" s="253">
        <v>45992</v>
      </c>
      <c r="D214" s="256" t="s">
        <v>680</v>
      </c>
      <c r="E214" s="239" t="s">
        <v>584</v>
      </c>
      <c r="F214" s="238" t="s">
        <v>6</v>
      </c>
      <c r="G214" s="239" t="s">
        <v>902</v>
      </c>
      <c r="H214" s="239" t="s">
        <v>909</v>
      </c>
      <c r="I214" s="343"/>
      <c r="J214" s="343"/>
    </row>
    <row r="215" spans="2:10" x14ac:dyDescent="0.25">
      <c r="B215" s="249">
        <v>46001</v>
      </c>
      <c r="C215" s="253">
        <v>45992</v>
      </c>
      <c r="D215" s="256" t="s">
        <v>721</v>
      </c>
      <c r="E215" s="239" t="s">
        <v>584</v>
      </c>
      <c r="F215" s="238" t="s">
        <v>6</v>
      </c>
      <c r="G215" s="239" t="s">
        <v>606</v>
      </c>
      <c r="H215" s="239" t="s">
        <v>865</v>
      </c>
      <c r="I215" s="343"/>
      <c r="J215" s="343"/>
    </row>
    <row r="216" spans="2:10" x14ac:dyDescent="0.25">
      <c r="B216" s="249">
        <v>46001</v>
      </c>
      <c r="C216" s="253">
        <v>45992</v>
      </c>
      <c r="D216" s="256" t="s">
        <v>283</v>
      </c>
      <c r="E216" s="239" t="s">
        <v>584</v>
      </c>
      <c r="F216" s="238" t="s">
        <v>6</v>
      </c>
      <c r="G216" s="239" t="s">
        <v>910</v>
      </c>
      <c r="H216" s="239" t="s">
        <v>911</v>
      </c>
      <c r="I216" s="343"/>
      <c r="J216" s="343"/>
    </row>
    <row r="217" spans="2:10" x14ac:dyDescent="0.25">
      <c r="B217" s="249">
        <v>46002</v>
      </c>
      <c r="C217" s="253">
        <v>45992</v>
      </c>
      <c r="D217" s="256" t="s">
        <v>893</v>
      </c>
      <c r="E217" s="239" t="s">
        <v>584</v>
      </c>
      <c r="F217" s="238" t="s">
        <v>6</v>
      </c>
      <c r="G217" s="239" t="s">
        <v>912</v>
      </c>
      <c r="H217" s="239" t="s">
        <v>913</v>
      </c>
      <c r="I217" s="343"/>
      <c r="J217" s="343"/>
    </row>
    <row r="218" spans="2:10" x14ac:dyDescent="0.25">
      <c r="B218" s="249">
        <v>46002</v>
      </c>
      <c r="C218" s="253">
        <v>45992</v>
      </c>
      <c r="D218" s="256" t="s">
        <v>893</v>
      </c>
      <c r="E218" s="239" t="s">
        <v>584</v>
      </c>
      <c r="F218" s="238" t="s">
        <v>6</v>
      </c>
      <c r="G218" s="239" t="s">
        <v>912</v>
      </c>
      <c r="H218" s="239" t="s">
        <v>913</v>
      </c>
      <c r="I218" s="343"/>
      <c r="J218" s="343"/>
    </row>
    <row r="219" spans="2:10" x14ac:dyDescent="0.25">
      <c r="B219" s="249">
        <v>46006</v>
      </c>
      <c r="C219" s="253">
        <v>45992</v>
      </c>
      <c r="D219" s="256" t="s">
        <v>893</v>
      </c>
      <c r="E219" s="239" t="s">
        <v>584</v>
      </c>
      <c r="F219" s="238" t="s">
        <v>6</v>
      </c>
      <c r="G219" s="239" t="s">
        <v>912</v>
      </c>
      <c r="H219" s="239" t="s">
        <v>913</v>
      </c>
      <c r="I219" s="343"/>
      <c r="J219" s="343"/>
    </row>
    <row r="220" spans="2:10" x14ac:dyDescent="0.25">
      <c r="B220" s="249">
        <v>46006</v>
      </c>
      <c r="C220" s="253">
        <v>45992</v>
      </c>
      <c r="D220" s="256" t="s">
        <v>893</v>
      </c>
      <c r="E220" s="239" t="s">
        <v>584</v>
      </c>
      <c r="F220" s="238" t="s">
        <v>6</v>
      </c>
      <c r="G220" s="239" t="s">
        <v>912</v>
      </c>
      <c r="H220" s="239" t="s">
        <v>913</v>
      </c>
      <c r="I220" s="343"/>
      <c r="J220" s="343"/>
    </row>
    <row r="221" spans="2:10" x14ac:dyDescent="0.25">
      <c r="B221" s="249">
        <v>46007</v>
      </c>
      <c r="C221" s="253">
        <v>45992</v>
      </c>
      <c r="D221" s="256" t="s">
        <v>283</v>
      </c>
      <c r="E221" s="239" t="s">
        <v>584</v>
      </c>
      <c r="F221" s="238" t="s">
        <v>6</v>
      </c>
      <c r="G221" s="239" t="s">
        <v>914</v>
      </c>
      <c r="H221" s="239" t="s">
        <v>915</v>
      </c>
      <c r="I221" s="343"/>
      <c r="J221" s="343"/>
    </row>
    <row r="222" spans="2:10" x14ac:dyDescent="0.25">
      <c r="B222" s="249">
        <v>46007</v>
      </c>
      <c r="C222" s="253">
        <v>45992</v>
      </c>
      <c r="D222" s="256" t="s">
        <v>283</v>
      </c>
      <c r="E222" s="239" t="s">
        <v>584</v>
      </c>
      <c r="F222" s="238" t="s">
        <v>6</v>
      </c>
      <c r="G222" s="239" t="s">
        <v>916</v>
      </c>
      <c r="H222" s="239" t="s">
        <v>917</v>
      </c>
      <c r="I222" s="343"/>
      <c r="J222" s="343"/>
    </row>
    <row r="223" spans="2:10" x14ac:dyDescent="0.25">
      <c r="B223" s="249">
        <v>46008</v>
      </c>
      <c r="C223" s="253">
        <v>45992</v>
      </c>
      <c r="D223" s="256" t="s">
        <v>283</v>
      </c>
      <c r="E223" s="239" t="s">
        <v>584</v>
      </c>
      <c r="F223" s="238" t="s">
        <v>6</v>
      </c>
      <c r="G223" s="239" t="s">
        <v>918</v>
      </c>
      <c r="H223" s="239" t="s">
        <v>919</v>
      </c>
      <c r="I223" s="343"/>
      <c r="J223" s="343"/>
    </row>
    <row r="224" spans="2:10" x14ac:dyDescent="0.25">
      <c r="B224" s="249">
        <v>46008</v>
      </c>
      <c r="C224" s="253">
        <v>45992</v>
      </c>
      <c r="D224" s="256" t="s">
        <v>680</v>
      </c>
      <c r="E224" s="239" t="s">
        <v>584</v>
      </c>
      <c r="F224" s="238" t="s">
        <v>6</v>
      </c>
      <c r="G224" s="239" t="s">
        <v>920</v>
      </c>
      <c r="H224" s="239" t="s">
        <v>921</v>
      </c>
      <c r="I224" s="343"/>
      <c r="J224" s="343"/>
    </row>
    <row r="225" spans="2:10" x14ac:dyDescent="0.25">
      <c r="B225" s="249">
        <v>46008</v>
      </c>
      <c r="C225" s="253">
        <v>45992</v>
      </c>
      <c r="D225" s="256" t="s">
        <v>680</v>
      </c>
      <c r="E225" s="239" t="s">
        <v>584</v>
      </c>
      <c r="F225" s="238" t="s">
        <v>6</v>
      </c>
      <c r="G225" s="239" t="s">
        <v>920</v>
      </c>
      <c r="H225" s="239" t="s">
        <v>922</v>
      </c>
      <c r="I225" s="343"/>
      <c r="J225" s="343"/>
    </row>
    <row r="226" spans="2:10" x14ac:dyDescent="0.25">
      <c r="B226" s="249">
        <v>46009</v>
      </c>
      <c r="C226" s="253">
        <v>45992</v>
      </c>
      <c r="D226" s="256" t="s">
        <v>680</v>
      </c>
      <c r="E226" s="239" t="s">
        <v>584</v>
      </c>
      <c r="F226" s="238" t="s">
        <v>6</v>
      </c>
      <c r="G226" s="239" t="s">
        <v>923</v>
      </c>
      <c r="H226" s="239" t="s">
        <v>924</v>
      </c>
      <c r="I226" s="343"/>
      <c r="J226" s="343"/>
    </row>
    <row r="227" spans="2:10" x14ac:dyDescent="0.25">
      <c r="B227" s="249">
        <v>46009</v>
      </c>
      <c r="C227" s="253">
        <v>45992</v>
      </c>
      <c r="D227" s="256" t="s">
        <v>680</v>
      </c>
      <c r="E227" s="239" t="s">
        <v>584</v>
      </c>
      <c r="F227" s="238" t="s">
        <v>6</v>
      </c>
      <c r="G227" s="239" t="s">
        <v>923</v>
      </c>
      <c r="H227" s="239" t="s">
        <v>925</v>
      </c>
      <c r="I227" s="343"/>
      <c r="J227" s="343"/>
    </row>
    <row r="228" spans="2:10" x14ac:dyDescent="0.25">
      <c r="B228" s="249">
        <v>46009</v>
      </c>
      <c r="C228" s="253">
        <v>45992</v>
      </c>
      <c r="D228" s="256" t="s">
        <v>680</v>
      </c>
      <c r="E228" s="239" t="s">
        <v>584</v>
      </c>
      <c r="F228" s="238" t="s">
        <v>6</v>
      </c>
      <c r="G228" s="239" t="s">
        <v>926</v>
      </c>
      <c r="H228" s="239" t="s">
        <v>927</v>
      </c>
      <c r="I228" s="343"/>
      <c r="J228" s="343"/>
    </row>
    <row r="229" spans="2:10" x14ac:dyDescent="0.25">
      <c r="B229" s="249">
        <v>46009</v>
      </c>
      <c r="C229" s="253">
        <v>45992</v>
      </c>
      <c r="D229" s="256" t="s">
        <v>680</v>
      </c>
      <c r="E229" s="239" t="s">
        <v>584</v>
      </c>
      <c r="F229" s="238" t="s">
        <v>6</v>
      </c>
      <c r="G229" s="239" t="s">
        <v>926</v>
      </c>
      <c r="H229" s="239" t="s">
        <v>928</v>
      </c>
      <c r="I229" s="343"/>
      <c r="J229" s="343"/>
    </row>
    <row r="230" spans="2:10" x14ac:dyDescent="0.25">
      <c r="B230" s="249">
        <v>46009</v>
      </c>
      <c r="C230" s="253">
        <v>45992</v>
      </c>
      <c r="D230" s="256" t="s">
        <v>283</v>
      </c>
      <c r="E230" s="239" t="s">
        <v>584</v>
      </c>
      <c r="F230" s="238" t="s">
        <v>6</v>
      </c>
      <c r="G230" s="239" t="s">
        <v>929</v>
      </c>
      <c r="H230" s="239" t="s">
        <v>930</v>
      </c>
      <c r="I230" s="343"/>
      <c r="J230" s="343"/>
    </row>
    <row r="231" spans="2:10" x14ac:dyDescent="0.25">
      <c r="B231" s="249">
        <v>46010</v>
      </c>
      <c r="C231" s="253">
        <v>45992</v>
      </c>
      <c r="D231" s="256" t="s">
        <v>584</v>
      </c>
      <c r="E231" s="239" t="s">
        <v>584</v>
      </c>
      <c r="F231" s="238" t="s">
        <v>6</v>
      </c>
      <c r="G231" s="239" t="s">
        <v>931</v>
      </c>
      <c r="H231" s="239" t="s">
        <v>932</v>
      </c>
      <c r="I231" s="343"/>
      <c r="J231" s="343"/>
    </row>
    <row r="232" spans="2:10" x14ac:dyDescent="0.25">
      <c r="B232" s="249">
        <v>46013</v>
      </c>
      <c r="C232" s="253">
        <v>45992</v>
      </c>
      <c r="D232" s="256" t="s">
        <v>283</v>
      </c>
      <c r="E232" s="239" t="s">
        <v>584</v>
      </c>
      <c r="F232" s="238" t="s">
        <v>6</v>
      </c>
      <c r="G232" s="239" t="s">
        <v>933</v>
      </c>
      <c r="H232" s="239" t="s">
        <v>934</v>
      </c>
      <c r="I232" s="343"/>
      <c r="J232" s="343"/>
    </row>
    <row r="233" spans="2:10" x14ac:dyDescent="0.25">
      <c r="B233" s="249">
        <v>46014</v>
      </c>
      <c r="C233" s="253">
        <v>45992</v>
      </c>
      <c r="D233" s="256" t="s">
        <v>283</v>
      </c>
      <c r="E233" s="239" t="s">
        <v>584</v>
      </c>
      <c r="F233" s="238" t="s">
        <v>6</v>
      </c>
      <c r="G233" s="239" t="s">
        <v>935</v>
      </c>
      <c r="H233" s="239" t="s">
        <v>936</v>
      </c>
      <c r="I233" s="343"/>
      <c r="J233" s="343"/>
    </row>
    <row r="234" spans="2:10" x14ac:dyDescent="0.25">
      <c r="B234" s="249">
        <v>46020</v>
      </c>
      <c r="C234" s="253">
        <v>45992</v>
      </c>
      <c r="D234" s="256" t="s">
        <v>283</v>
      </c>
      <c r="E234" s="239" t="s">
        <v>584</v>
      </c>
      <c r="F234" s="238" t="s">
        <v>6</v>
      </c>
      <c r="G234" s="239" t="s">
        <v>931</v>
      </c>
      <c r="H234" s="239" t="s">
        <v>937</v>
      </c>
      <c r="I234" s="343"/>
      <c r="J234" s="343"/>
    </row>
    <row r="235" spans="2:10" x14ac:dyDescent="0.25">
      <c r="B235" s="249">
        <v>46021</v>
      </c>
      <c r="C235" s="253">
        <v>45992</v>
      </c>
      <c r="D235" s="256" t="s">
        <v>283</v>
      </c>
      <c r="E235" s="239" t="s">
        <v>584</v>
      </c>
      <c r="F235" s="238" t="s">
        <v>6</v>
      </c>
      <c r="G235" s="239" t="s">
        <v>938</v>
      </c>
      <c r="H235" s="239" t="s">
        <v>939</v>
      </c>
      <c r="I235" s="343"/>
      <c r="J235" s="343"/>
    </row>
    <row r="236" spans="2:10" x14ac:dyDescent="0.25">
      <c r="B236" s="249">
        <v>46021</v>
      </c>
      <c r="C236" s="253">
        <v>45992</v>
      </c>
      <c r="D236" s="256" t="s">
        <v>283</v>
      </c>
      <c r="E236" s="239" t="s">
        <v>584</v>
      </c>
      <c r="F236" s="238" t="s">
        <v>6</v>
      </c>
      <c r="G236" s="239" t="s">
        <v>940</v>
      </c>
      <c r="H236" s="239" t="s">
        <v>941</v>
      </c>
      <c r="I236" s="343"/>
      <c r="J236" s="343"/>
    </row>
    <row r="237" spans="2:10" x14ac:dyDescent="0.25">
      <c r="B237" s="249">
        <v>46022</v>
      </c>
      <c r="C237" s="253">
        <v>45992</v>
      </c>
      <c r="D237" s="256" t="s">
        <v>283</v>
      </c>
      <c r="E237" s="239" t="s">
        <v>584</v>
      </c>
      <c r="F237" s="238" t="s">
        <v>6</v>
      </c>
      <c r="G237" s="239" t="s">
        <v>942</v>
      </c>
      <c r="H237" s="239" t="s">
        <v>943</v>
      </c>
      <c r="I237" s="343"/>
      <c r="J237" s="343"/>
    </row>
    <row r="238" spans="2:10" x14ac:dyDescent="0.25">
      <c r="B238" s="249">
        <v>46024</v>
      </c>
      <c r="C238" s="253">
        <v>46023</v>
      </c>
      <c r="D238" s="256" t="s">
        <v>283</v>
      </c>
      <c r="E238" s="239" t="s">
        <v>584</v>
      </c>
      <c r="F238" s="238" t="s">
        <v>6</v>
      </c>
      <c r="G238" s="239" t="s">
        <v>942</v>
      </c>
      <c r="H238" s="239" t="s">
        <v>943</v>
      </c>
      <c r="I238" s="343"/>
      <c r="J238" s="343"/>
    </row>
    <row r="239" spans="2:10" x14ac:dyDescent="0.25">
      <c r="B239" s="249">
        <v>46027</v>
      </c>
      <c r="C239" s="253">
        <v>46023</v>
      </c>
      <c r="D239" s="256" t="s">
        <v>283</v>
      </c>
      <c r="E239" s="239" t="s">
        <v>584</v>
      </c>
      <c r="F239" s="238" t="s">
        <v>6</v>
      </c>
      <c r="G239" s="239" t="s">
        <v>942</v>
      </c>
      <c r="H239" s="239" t="s">
        <v>943</v>
      </c>
      <c r="I239" s="343"/>
      <c r="J239" s="343"/>
    </row>
    <row r="240" spans="2:10" x14ac:dyDescent="0.25">
      <c r="B240" s="249">
        <v>46028</v>
      </c>
      <c r="C240" s="253">
        <v>46023</v>
      </c>
      <c r="D240" s="256" t="s">
        <v>283</v>
      </c>
      <c r="E240" s="239" t="s">
        <v>584</v>
      </c>
      <c r="F240" s="238" t="s">
        <v>6</v>
      </c>
      <c r="G240" s="239" t="s">
        <v>944</v>
      </c>
      <c r="H240" s="239" t="s">
        <v>945</v>
      </c>
      <c r="I240" s="343"/>
      <c r="J240" s="343"/>
    </row>
    <row r="241" spans="2:10" x14ac:dyDescent="0.25">
      <c r="B241" s="249">
        <v>46029</v>
      </c>
      <c r="C241" s="253">
        <v>46023</v>
      </c>
      <c r="D241" s="256" t="s">
        <v>946</v>
      </c>
      <c r="E241" s="239" t="s">
        <v>584</v>
      </c>
      <c r="F241" s="238" t="s">
        <v>6</v>
      </c>
      <c r="G241" s="239" t="s">
        <v>944</v>
      </c>
      <c r="H241" s="239" t="s">
        <v>947</v>
      </c>
      <c r="I241" s="343"/>
      <c r="J241" s="343"/>
    </row>
    <row r="242" spans="2:10" x14ac:dyDescent="0.25">
      <c r="B242" s="249">
        <v>46029</v>
      </c>
      <c r="C242" s="253">
        <v>46023</v>
      </c>
      <c r="D242" s="256" t="s">
        <v>591</v>
      </c>
      <c r="E242" s="239" t="s">
        <v>584</v>
      </c>
      <c r="F242" s="238" t="s">
        <v>6</v>
      </c>
      <c r="G242" s="239" t="s">
        <v>944</v>
      </c>
      <c r="H242" s="239" t="s">
        <v>948</v>
      </c>
      <c r="I242" s="343"/>
      <c r="J242" s="343"/>
    </row>
    <row r="243" spans="2:10" x14ac:dyDescent="0.25">
      <c r="B243" s="249">
        <v>46029</v>
      </c>
      <c r="C243" s="253">
        <v>46023</v>
      </c>
      <c r="D243" s="256" t="s">
        <v>946</v>
      </c>
      <c r="E243" s="239" t="s">
        <v>584</v>
      </c>
      <c r="F243" s="238" t="s">
        <v>6</v>
      </c>
      <c r="G243" s="239" t="s">
        <v>944</v>
      </c>
      <c r="H243" s="239" t="s">
        <v>949</v>
      </c>
      <c r="I243" s="343"/>
      <c r="J243" s="343"/>
    </row>
    <row r="244" spans="2:10" x14ac:dyDescent="0.25">
      <c r="B244" s="249">
        <v>46030</v>
      </c>
      <c r="C244" s="253">
        <v>46023</v>
      </c>
      <c r="D244" s="256" t="s">
        <v>950</v>
      </c>
      <c r="E244" s="239" t="s">
        <v>584</v>
      </c>
      <c r="F244" s="238" t="s">
        <v>6</v>
      </c>
      <c r="G244" s="239" t="s">
        <v>951</v>
      </c>
      <c r="H244" s="239" t="s">
        <v>952</v>
      </c>
      <c r="I244" s="343"/>
      <c r="J244" s="343"/>
    </row>
    <row r="245" spans="2:10" x14ac:dyDescent="0.25">
      <c r="B245" s="249">
        <v>46030</v>
      </c>
      <c r="C245" s="253">
        <v>46023</v>
      </c>
      <c r="D245" s="256" t="s">
        <v>283</v>
      </c>
      <c r="E245" s="239" t="s">
        <v>584</v>
      </c>
      <c r="F245" s="238" t="s">
        <v>6</v>
      </c>
      <c r="G245" s="239" t="s">
        <v>944</v>
      </c>
      <c r="H245" s="239" t="s">
        <v>953</v>
      </c>
      <c r="I245" s="343"/>
      <c r="J245" s="343"/>
    </row>
    <row r="246" spans="2:10" x14ac:dyDescent="0.25">
      <c r="B246" s="249">
        <v>46031</v>
      </c>
      <c r="C246" s="253">
        <v>46023</v>
      </c>
      <c r="D246" s="256" t="s">
        <v>946</v>
      </c>
      <c r="E246" s="239" t="s">
        <v>584</v>
      </c>
      <c r="F246" s="238" t="s">
        <v>6</v>
      </c>
      <c r="G246" s="239" t="s">
        <v>944</v>
      </c>
      <c r="H246" s="239" t="s">
        <v>954</v>
      </c>
      <c r="I246" s="343"/>
      <c r="J246" s="343"/>
    </row>
    <row r="247" spans="2:10" x14ac:dyDescent="0.25">
      <c r="B247" s="248">
        <v>46034</v>
      </c>
      <c r="C247" s="252">
        <v>46023</v>
      </c>
      <c r="D247" s="255" t="s">
        <v>283</v>
      </c>
      <c r="E247" s="237" t="s">
        <v>584</v>
      </c>
      <c r="F247" s="238" t="s">
        <v>6</v>
      </c>
      <c r="G247" s="237" t="s">
        <v>944</v>
      </c>
      <c r="H247" s="237" t="s">
        <v>953</v>
      </c>
      <c r="I247" s="343"/>
      <c r="J247" s="343"/>
    </row>
    <row r="248" spans="2:10" x14ac:dyDescent="0.25">
      <c r="B248" s="249">
        <v>46035</v>
      </c>
      <c r="C248" s="253">
        <v>46023</v>
      </c>
      <c r="D248" s="256" t="s">
        <v>780</v>
      </c>
      <c r="E248" s="239" t="s">
        <v>584</v>
      </c>
      <c r="F248" s="238" t="s">
        <v>6</v>
      </c>
      <c r="G248" s="239" t="s">
        <v>955</v>
      </c>
      <c r="H248" s="239" t="s">
        <v>956</v>
      </c>
      <c r="I248" s="343"/>
      <c r="J248" s="343"/>
    </row>
    <row r="249" spans="2:10" x14ac:dyDescent="0.25">
      <c r="B249" s="249">
        <v>46036</v>
      </c>
      <c r="C249" s="253">
        <v>46023</v>
      </c>
      <c r="D249" s="256" t="s">
        <v>283</v>
      </c>
      <c r="E249" s="239" t="s">
        <v>584</v>
      </c>
      <c r="F249" s="238" t="s">
        <v>6</v>
      </c>
      <c r="G249" s="239" t="s">
        <v>957</v>
      </c>
      <c r="H249" s="239" t="s">
        <v>958</v>
      </c>
      <c r="I249" s="343"/>
      <c r="J249" s="343"/>
    </row>
    <row r="250" spans="2:10" x14ac:dyDescent="0.25">
      <c r="B250" s="249">
        <v>46037</v>
      </c>
      <c r="C250" s="253">
        <v>46023</v>
      </c>
      <c r="D250" s="256" t="s">
        <v>283</v>
      </c>
      <c r="E250" s="239" t="s">
        <v>584</v>
      </c>
      <c r="F250" s="238" t="s">
        <v>6</v>
      </c>
      <c r="G250" s="239" t="s">
        <v>959</v>
      </c>
      <c r="H250" s="239" t="s">
        <v>960</v>
      </c>
      <c r="I250" s="343"/>
      <c r="J250" s="343"/>
    </row>
    <row r="251" spans="2:10" x14ac:dyDescent="0.25">
      <c r="B251" s="249">
        <v>46038</v>
      </c>
      <c r="C251" s="253">
        <v>46023</v>
      </c>
      <c r="D251" s="256" t="s">
        <v>283</v>
      </c>
      <c r="E251" s="239" t="s">
        <v>584</v>
      </c>
      <c r="F251" s="238" t="s">
        <v>6</v>
      </c>
      <c r="G251" s="239" t="s">
        <v>959</v>
      </c>
      <c r="H251" s="239" t="s">
        <v>960</v>
      </c>
      <c r="I251" s="343"/>
      <c r="J251" s="343"/>
    </row>
    <row r="252" spans="2:10" x14ac:dyDescent="0.25">
      <c r="B252" s="249">
        <v>46041</v>
      </c>
      <c r="C252" s="253">
        <v>46023</v>
      </c>
      <c r="D252" s="256" t="s">
        <v>283</v>
      </c>
      <c r="E252" s="239" t="s">
        <v>584</v>
      </c>
      <c r="F252" s="238" t="s">
        <v>6</v>
      </c>
      <c r="G252" s="239" t="s">
        <v>961</v>
      </c>
      <c r="H252" s="239" t="s">
        <v>962</v>
      </c>
      <c r="I252" s="343"/>
      <c r="J252" s="343"/>
    </row>
    <row r="253" spans="2:10" x14ac:dyDescent="0.25">
      <c r="B253" s="249">
        <v>46042</v>
      </c>
      <c r="C253" s="253">
        <v>46023</v>
      </c>
      <c r="D253" s="256" t="s">
        <v>283</v>
      </c>
      <c r="E253" s="239" t="s">
        <v>584</v>
      </c>
      <c r="F253" s="238" t="s">
        <v>6</v>
      </c>
      <c r="G253" s="239" t="s">
        <v>963</v>
      </c>
      <c r="H253" s="239" t="s">
        <v>964</v>
      </c>
      <c r="I253" s="343"/>
      <c r="J253" s="343"/>
    </row>
    <row r="254" spans="2:10" x14ac:dyDescent="0.25">
      <c r="B254" s="249">
        <v>46043</v>
      </c>
      <c r="C254" s="253">
        <v>46023</v>
      </c>
      <c r="D254" s="256" t="s">
        <v>283</v>
      </c>
      <c r="E254" s="239" t="s">
        <v>584</v>
      </c>
      <c r="F254" s="238" t="s">
        <v>6</v>
      </c>
      <c r="G254" s="239" t="s">
        <v>959</v>
      </c>
      <c r="H254" s="239" t="s">
        <v>965</v>
      </c>
      <c r="I254" s="343"/>
      <c r="J254" s="343"/>
    </row>
    <row r="255" spans="2:10" x14ac:dyDescent="0.25">
      <c r="B255" s="249">
        <v>46044</v>
      </c>
      <c r="C255" s="253">
        <v>46023</v>
      </c>
      <c r="D255" s="256" t="s">
        <v>946</v>
      </c>
      <c r="E255" s="239" t="s">
        <v>584</v>
      </c>
      <c r="F255" s="238" t="s">
        <v>6</v>
      </c>
      <c r="G255" s="239" t="s">
        <v>944</v>
      </c>
      <c r="H255" s="239" t="s">
        <v>966</v>
      </c>
      <c r="I255" s="343"/>
      <c r="J255" s="343"/>
    </row>
    <row r="256" spans="2:10" x14ac:dyDescent="0.25">
      <c r="B256" s="249">
        <v>46044</v>
      </c>
      <c r="C256" s="253">
        <v>46023</v>
      </c>
      <c r="D256" s="256" t="s">
        <v>283</v>
      </c>
      <c r="E256" s="239" t="s">
        <v>584</v>
      </c>
      <c r="F256" s="238" t="s">
        <v>6</v>
      </c>
      <c r="G256" s="239" t="s">
        <v>967</v>
      </c>
      <c r="H256" s="239" t="s">
        <v>968</v>
      </c>
      <c r="I256" s="343"/>
      <c r="J256" s="343"/>
    </row>
    <row r="257" spans="2:10" x14ac:dyDescent="0.25">
      <c r="B257" s="249">
        <v>46044</v>
      </c>
      <c r="C257" s="253">
        <v>46023</v>
      </c>
      <c r="D257" s="256" t="s">
        <v>283</v>
      </c>
      <c r="E257" s="239" t="s">
        <v>584</v>
      </c>
      <c r="F257" s="238" t="s">
        <v>6</v>
      </c>
      <c r="G257" s="239" t="s">
        <v>969</v>
      </c>
      <c r="H257" s="239" t="s">
        <v>970</v>
      </c>
      <c r="I257" s="343"/>
      <c r="J257" s="343"/>
    </row>
    <row r="258" spans="2:10" x14ac:dyDescent="0.25">
      <c r="B258" s="249">
        <v>46044</v>
      </c>
      <c r="C258" s="253">
        <v>46023</v>
      </c>
      <c r="D258" s="256" t="s">
        <v>283</v>
      </c>
      <c r="E258" s="239" t="s">
        <v>584</v>
      </c>
      <c r="F258" s="238" t="s">
        <v>6</v>
      </c>
      <c r="G258" s="239" t="s">
        <v>971</v>
      </c>
      <c r="H258" s="239" t="s">
        <v>972</v>
      </c>
      <c r="I258" s="343"/>
      <c r="J258" s="343"/>
    </row>
    <row r="259" spans="2:10" x14ac:dyDescent="0.25">
      <c r="B259" s="249">
        <v>46044</v>
      </c>
      <c r="C259" s="253">
        <v>46023</v>
      </c>
      <c r="D259" s="256" t="s">
        <v>614</v>
      </c>
      <c r="E259" s="239" t="s">
        <v>584</v>
      </c>
      <c r="F259" s="238" t="s">
        <v>6</v>
      </c>
      <c r="G259" s="239" t="s">
        <v>973</v>
      </c>
      <c r="H259" s="239" t="s">
        <v>974</v>
      </c>
      <c r="I259" s="343"/>
      <c r="J259" s="343"/>
    </row>
    <row r="260" spans="2:10" x14ac:dyDescent="0.25">
      <c r="B260" s="249">
        <v>46045</v>
      </c>
      <c r="C260" s="253">
        <v>46023</v>
      </c>
      <c r="D260" s="256" t="s">
        <v>283</v>
      </c>
      <c r="E260" s="239" t="s">
        <v>584</v>
      </c>
      <c r="F260" s="238" t="s">
        <v>6</v>
      </c>
      <c r="G260" s="239" t="s">
        <v>975</v>
      </c>
      <c r="H260" s="239" t="s">
        <v>976</v>
      </c>
      <c r="I260" s="343"/>
      <c r="J260" s="343"/>
    </row>
    <row r="261" spans="2:10" x14ac:dyDescent="0.25">
      <c r="B261" s="249">
        <v>46045</v>
      </c>
      <c r="C261" s="253">
        <v>46023</v>
      </c>
      <c r="D261" s="256" t="s">
        <v>406</v>
      </c>
      <c r="E261" s="239" t="s">
        <v>584</v>
      </c>
      <c r="F261" s="238" t="s">
        <v>6</v>
      </c>
      <c r="G261" s="239" t="s">
        <v>977</v>
      </c>
      <c r="H261" s="239" t="s">
        <v>978</v>
      </c>
      <c r="I261" s="343"/>
      <c r="J261" s="343"/>
    </row>
    <row r="262" spans="2:10" x14ac:dyDescent="0.25">
      <c r="B262" s="249">
        <v>46048</v>
      </c>
      <c r="C262" s="253">
        <v>46023</v>
      </c>
      <c r="D262" s="256" t="s">
        <v>868</v>
      </c>
      <c r="E262" s="239" t="s">
        <v>584</v>
      </c>
      <c r="F262" s="238" t="s">
        <v>6</v>
      </c>
      <c r="G262" s="239" t="s">
        <v>959</v>
      </c>
      <c r="H262" s="239" t="s">
        <v>979</v>
      </c>
      <c r="I262" s="343"/>
      <c r="J262" s="343"/>
    </row>
    <row r="263" spans="2:10" x14ac:dyDescent="0.25">
      <c r="B263" s="249">
        <v>46048</v>
      </c>
      <c r="C263" s="253">
        <v>46023</v>
      </c>
      <c r="D263" s="256" t="s">
        <v>406</v>
      </c>
      <c r="E263" s="239" t="s">
        <v>584</v>
      </c>
      <c r="F263" s="238" t="s">
        <v>6</v>
      </c>
      <c r="G263" s="239" t="s">
        <v>980</v>
      </c>
      <c r="H263" s="239" t="s">
        <v>981</v>
      </c>
      <c r="I263" s="343"/>
      <c r="J263" s="343"/>
    </row>
    <row r="264" spans="2:10" x14ac:dyDescent="0.25">
      <c r="B264" s="249">
        <v>46049</v>
      </c>
      <c r="C264" s="253">
        <v>46023</v>
      </c>
      <c r="D264" s="256" t="s">
        <v>868</v>
      </c>
      <c r="E264" s="239" t="s">
        <v>584</v>
      </c>
      <c r="F264" s="238" t="s">
        <v>6</v>
      </c>
      <c r="G264" s="239" t="s">
        <v>982</v>
      </c>
      <c r="H264" s="239" t="s">
        <v>983</v>
      </c>
      <c r="I264" s="343"/>
      <c r="J264" s="343"/>
    </row>
    <row r="265" spans="2:10" x14ac:dyDescent="0.25">
      <c r="B265" s="249">
        <v>46049</v>
      </c>
      <c r="C265" s="253">
        <v>46023</v>
      </c>
      <c r="D265" s="256" t="s">
        <v>946</v>
      </c>
      <c r="E265" s="239" t="s">
        <v>584</v>
      </c>
      <c r="F265" s="238" t="s">
        <v>6</v>
      </c>
      <c r="G265" s="239" t="s">
        <v>984</v>
      </c>
      <c r="H265" s="239" t="s">
        <v>985</v>
      </c>
      <c r="I265" s="343"/>
      <c r="J265" s="343"/>
    </row>
    <row r="266" spans="2:10" x14ac:dyDescent="0.25">
      <c r="B266" s="249">
        <v>46050</v>
      </c>
      <c r="C266" s="253">
        <v>46023</v>
      </c>
      <c r="D266" s="256" t="s">
        <v>283</v>
      </c>
      <c r="E266" s="239" t="s">
        <v>584</v>
      </c>
      <c r="F266" s="238" t="s">
        <v>6</v>
      </c>
      <c r="G266" s="239" t="s">
        <v>967</v>
      </c>
      <c r="H266" s="239" t="s">
        <v>968</v>
      </c>
      <c r="I266" s="343"/>
      <c r="J266" s="343"/>
    </row>
    <row r="267" spans="2:10" x14ac:dyDescent="0.25">
      <c r="B267" s="249">
        <v>46050</v>
      </c>
      <c r="C267" s="253">
        <v>46023</v>
      </c>
      <c r="D267" s="256" t="s">
        <v>946</v>
      </c>
      <c r="E267" s="239" t="s">
        <v>584</v>
      </c>
      <c r="F267" s="238" t="s">
        <v>6</v>
      </c>
      <c r="G267" s="239" t="s">
        <v>984</v>
      </c>
      <c r="H267" s="239" t="s">
        <v>986</v>
      </c>
      <c r="I267" s="343"/>
      <c r="J267" s="343"/>
    </row>
    <row r="268" spans="2:10" x14ac:dyDescent="0.25">
      <c r="B268" s="249">
        <v>46050</v>
      </c>
      <c r="C268" s="253">
        <v>46023</v>
      </c>
      <c r="D268" s="256" t="s">
        <v>868</v>
      </c>
      <c r="E268" s="239" t="s">
        <v>584</v>
      </c>
      <c r="F268" s="238" t="s">
        <v>6</v>
      </c>
      <c r="G268" s="239" t="s">
        <v>987</v>
      </c>
      <c r="H268" s="239" t="s">
        <v>988</v>
      </c>
      <c r="I268" s="343"/>
      <c r="J268" s="343"/>
    </row>
    <row r="269" spans="2:10" x14ac:dyDescent="0.25">
      <c r="B269" s="249">
        <v>46051</v>
      </c>
      <c r="C269" s="253">
        <v>46023</v>
      </c>
      <c r="D269" s="256" t="s">
        <v>946</v>
      </c>
      <c r="E269" s="239" t="s">
        <v>584</v>
      </c>
      <c r="F269" s="238" t="s">
        <v>6</v>
      </c>
      <c r="G269" s="239" t="s">
        <v>989</v>
      </c>
      <c r="H269" s="239" t="s">
        <v>990</v>
      </c>
      <c r="I269" s="343"/>
      <c r="J269" s="343"/>
    </row>
    <row r="270" spans="2:10" x14ac:dyDescent="0.25">
      <c r="B270" s="249">
        <v>46052</v>
      </c>
      <c r="C270" s="253">
        <v>46023</v>
      </c>
      <c r="D270" s="256" t="s">
        <v>283</v>
      </c>
      <c r="E270" s="239" t="s">
        <v>584</v>
      </c>
      <c r="F270" s="238" t="s">
        <v>6</v>
      </c>
      <c r="G270" s="239" t="s">
        <v>987</v>
      </c>
      <c r="H270" s="239" t="s">
        <v>991</v>
      </c>
      <c r="I270" s="343"/>
      <c r="J270" s="343"/>
    </row>
    <row r="271" spans="2:10" x14ac:dyDescent="0.25">
      <c r="B271" s="249">
        <v>46055</v>
      </c>
      <c r="C271" s="252">
        <v>46054</v>
      </c>
      <c r="D271" s="256" t="s">
        <v>283</v>
      </c>
      <c r="E271" s="239" t="s">
        <v>584</v>
      </c>
      <c r="F271" s="238" t="s">
        <v>6</v>
      </c>
      <c r="G271" s="239" t="s">
        <v>987</v>
      </c>
      <c r="H271" s="239" t="s">
        <v>991</v>
      </c>
      <c r="I271" s="343"/>
      <c r="J271" s="343"/>
    </row>
    <row r="272" spans="2:10" x14ac:dyDescent="0.25">
      <c r="B272" s="249">
        <v>46056</v>
      </c>
      <c r="C272" s="252">
        <v>46054</v>
      </c>
      <c r="D272" s="256" t="s">
        <v>283</v>
      </c>
      <c r="E272" s="239" t="s">
        <v>584</v>
      </c>
      <c r="F272" s="238" t="s">
        <v>6</v>
      </c>
      <c r="G272" s="239" t="s">
        <v>992</v>
      </c>
      <c r="H272" s="239" t="s">
        <v>993</v>
      </c>
      <c r="I272" s="343"/>
      <c r="J272" s="343"/>
    </row>
    <row r="273" spans="2:10" x14ac:dyDescent="0.25">
      <c r="B273" s="248">
        <v>46064</v>
      </c>
      <c r="C273" s="252">
        <v>46054</v>
      </c>
      <c r="D273" s="255" t="s">
        <v>994</v>
      </c>
      <c r="E273" s="237" t="s">
        <v>584</v>
      </c>
      <c r="F273" s="238" t="s">
        <v>6</v>
      </c>
      <c r="G273" s="237" t="s">
        <v>995</v>
      </c>
      <c r="H273" s="237" t="s">
        <v>996</v>
      </c>
      <c r="I273" s="343"/>
      <c r="J273" s="343"/>
    </row>
    <row r="274" spans="2:10" x14ac:dyDescent="0.25">
      <c r="B274" s="249">
        <v>46065</v>
      </c>
      <c r="C274" s="253">
        <v>46054</v>
      </c>
      <c r="D274" s="256" t="s">
        <v>994</v>
      </c>
      <c r="E274" s="239" t="s">
        <v>584</v>
      </c>
      <c r="F274" s="238" t="s">
        <v>6</v>
      </c>
      <c r="G274" s="239" t="s">
        <v>995</v>
      </c>
      <c r="H274" s="239" t="s">
        <v>997</v>
      </c>
      <c r="I274" s="343"/>
      <c r="J274" s="343"/>
    </row>
    <row r="275" spans="2:10" x14ac:dyDescent="0.25">
      <c r="B275" s="249">
        <v>46066</v>
      </c>
      <c r="C275" s="253">
        <v>46054</v>
      </c>
      <c r="D275" s="256" t="s">
        <v>994</v>
      </c>
      <c r="E275" s="239" t="s">
        <v>584</v>
      </c>
      <c r="F275" s="238" t="s">
        <v>6</v>
      </c>
      <c r="G275" s="239" t="s">
        <v>997</v>
      </c>
      <c r="H275" s="239" t="s">
        <v>997</v>
      </c>
      <c r="I275" s="343"/>
      <c r="J275" s="343"/>
    </row>
    <row r="276" spans="2:10" x14ac:dyDescent="0.25">
      <c r="B276" s="249">
        <v>46068</v>
      </c>
      <c r="C276" s="253">
        <v>46054</v>
      </c>
      <c r="D276" s="256" t="s">
        <v>614</v>
      </c>
      <c r="E276" s="239" t="s">
        <v>584</v>
      </c>
      <c r="F276" s="238" t="s">
        <v>6</v>
      </c>
      <c r="G276" s="239" t="s">
        <v>998</v>
      </c>
      <c r="H276" s="239" t="s">
        <v>999</v>
      </c>
      <c r="I276" s="343"/>
      <c r="J276" s="343"/>
    </row>
    <row r="277" spans="2:10" x14ac:dyDescent="0.25">
      <c r="B277" s="249">
        <v>46069</v>
      </c>
      <c r="C277" s="253">
        <v>46054</v>
      </c>
      <c r="D277" s="256" t="s">
        <v>994</v>
      </c>
      <c r="E277" s="239" t="s">
        <v>584</v>
      </c>
      <c r="F277" s="238" t="s">
        <v>6</v>
      </c>
      <c r="G277" s="239" t="s">
        <v>1000</v>
      </c>
      <c r="H277" s="239" t="s">
        <v>997</v>
      </c>
      <c r="I277" s="343"/>
      <c r="J277" s="343"/>
    </row>
    <row r="278" spans="2:10" x14ac:dyDescent="0.25">
      <c r="B278" s="249">
        <v>46070</v>
      </c>
      <c r="C278" s="253">
        <v>46054</v>
      </c>
      <c r="D278" s="256" t="s">
        <v>994</v>
      </c>
      <c r="E278" s="239" t="s">
        <v>584</v>
      </c>
      <c r="F278" s="238" t="s">
        <v>6</v>
      </c>
      <c r="G278" s="239" t="s">
        <v>1000</v>
      </c>
      <c r="H278" s="239" t="s">
        <v>997</v>
      </c>
      <c r="I278" s="343"/>
      <c r="J278" s="343"/>
    </row>
    <row r="279" spans="2:10" x14ac:dyDescent="0.25">
      <c r="B279" s="249">
        <v>46071</v>
      </c>
      <c r="C279" s="253">
        <v>46054</v>
      </c>
      <c r="D279" s="256" t="s">
        <v>994</v>
      </c>
      <c r="E279" s="239" t="s">
        <v>584</v>
      </c>
      <c r="F279" s="238" t="s">
        <v>6</v>
      </c>
      <c r="G279" s="239" t="s">
        <v>1000</v>
      </c>
      <c r="H279" s="239" t="s">
        <v>997</v>
      </c>
      <c r="I279" s="343"/>
      <c r="J279" s="343"/>
    </row>
    <row r="280" spans="2:10" x14ac:dyDescent="0.25">
      <c r="B280" s="249">
        <v>46072</v>
      </c>
      <c r="C280" s="253">
        <v>46054</v>
      </c>
      <c r="D280" s="256" t="s">
        <v>994</v>
      </c>
      <c r="E280" s="239" t="s">
        <v>584</v>
      </c>
      <c r="F280" s="238" t="s">
        <v>6</v>
      </c>
      <c r="G280" s="239" t="s">
        <v>1000</v>
      </c>
      <c r="H280" s="239" t="s">
        <v>997</v>
      </c>
      <c r="I280" s="343"/>
      <c r="J280" s="343"/>
    </row>
    <row r="281" spans="2:10" x14ac:dyDescent="0.25">
      <c r="B281" s="249">
        <v>46073</v>
      </c>
      <c r="C281" s="253">
        <v>46054</v>
      </c>
      <c r="D281" s="256" t="s">
        <v>406</v>
      </c>
      <c r="E281" s="239" t="s">
        <v>584</v>
      </c>
      <c r="F281" s="238" t="s">
        <v>6</v>
      </c>
      <c r="G281" s="239" t="s">
        <v>1000</v>
      </c>
      <c r="H281" s="239" t="s">
        <v>1001</v>
      </c>
      <c r="I281" s="343"/>
      <c r="J281" s="343"/>
    </row>
    <row r="282" spans="2:10" x14ac:dyDescent="0.25">
      <c r="B282" s="249">
        <v>46076</v>
      </c>
      <c r="C282" s="253">
        <v>46054</v>
      </c>
      <c r="D282" s="256" t="s">
        <v>994</v>
      </c>
      <c r="E282" s="239" t="s">
        <v>584</v>
      </c>
      <c r="F282" s="238" t="s">
        <v>6</v>
      </c>
      <c r="G282" s="239" t="s">
        <v>1000</v>
      </c>
      <c r="H282" s="239" t="s">
        <v>997</v>
      </c>
      <c r="I282" s="343"/>
      <c r="J282" s="343"/>
    </row>
    <row r="283" spans="2:10" x14ac:dyDescent="0.25">
      <c r="B283" s="249">
        <v>46078</v>
      </c>
      <c r="C283" s="253">
        <v>46054</v>
      </c>
      <c r="D283" s="256" t="s">
        <v>708</v>
      </c>
      <c r="E283" s="239" t="s">
        <v>584</v>
      </c>
      <c r="F283" s="238" t="s">
        <v>6</v>
      </c>
      <c r="G283" s="239" t="s">
        <v>1002</v>
      </c>
      <c r="H283" s="239" t="s">
        <v>1003</v>
      </c>
      <c r="I283" s="343"/>
      <c r="J283" s="343"/>
    </row>
    <row r="284" spans="2:10" x14ac:dyDescent="0.25">
      <c r="B284" s="249">
        <v>46080</v>
      </c>
      <c r="C284" s="253">
        <v>46054</v>
      </c>
      <c r="D284" s="256" t="s">
        <v>708</v>
      </c>
      <c r="E284" s="239" t="s">
        <v>584</v>
      </c>
      <c r="F284" s="238" t="s">
        <v>6</v>
      </c>
      <c r="G284" s="239" t="s">
        <v>1004</v>
      </c>
      <c r="H284" s="239" t="s">
        <v>1005</v>
      </c>
      <c r="I284" s="343"/>
      <c r="J284" s="343"/>
    </row>
    <row r="285" spans="2:10" x14ac:dyDescent="0.25">
      <c r="B285" s="249">
        <v>46080</v>
      </c>
      <c r="C285" s="253">
        <v>46054</v>
      </c>
      <c r="D285" s="256" t="s">
        <v>614</v>
      </c>
      <c r="E285" s="239" t="s">
        <v>584</v>
      </c>
      <c r="F285" s="238" t="s">
        <v>6</v>
      </c>
      <c r="G285" s="239" t="s">
        <v>1006</v>
      </c>
      <c r="H285" s="239" t="s">
        <v>1007</v>
      </c>
      <c r="I285" s="343"/>
      <c r="J285" s="343"/>
    </row>
    <row r="286" spans="2:10" x14ac:dyDescent="0.25">
      <c r="B286" s="249">
        <v>46081</v>
      </c>
      <c r="C286" s="253">
        <v>46054</v>
      </c>
      <c r="D286" s="256" t="s">
        <v>614</v>
      </c>
      <c r="E286" s="239" t="s">
        <v>584</v>
      </c>
      <c r="F286" s="238" t="s">
        <v>6</v>
      </c>
      <c r="G286" s="239" t="s">
        <v>1006</v>
      </c>
      <c r="H286" s="239" t="s">
        <v>1007</v>
      </c>
      <c r="I286" s="343"/>
      <c r="J286" s="343"/>
    </row>
    <row r="287" spans="2:10" x14ac:dyDescent="0.25">
      <c r="B287" s="249">
        <v>46082</v>
      </c>
      <c r="C287" s="253">
        <v>46082</v>
      </c>
      <c r="D287" s="256" t="s">
        <v>614</v>
      </c>
      <c r="E287" s="239" t="s">
        <v>584</v>
      </c>
      <c r="F287" s="238" t="s">
        <v>6</v>
      </c>
      <c r="G287" s="239" t="s">
        <v>1006</v>
      </c>
      <c r="H287" s="239" t="s">
        <v>1007</v>
      </c>
      <c r="I287" s="343"/>
      <c r="J287" s="343"/>
    </row>
    <row r="288" spans="2:10" x14ac:dyDescent="0.25">
      <c r="B288" s="249">
        <v>46083</v>
      </c>
      <c r="C288" s="253">
        <v>46082</v>
      </c>
      <c r="D288" s="256" t="s">
        <v>708</v>
      </c>
      <c r="E288" s="239" t="s">
        <v>584</v>
      </c>
      <c r="F288" s="238" t="s">
        <v>6</v>
      </c>
      <c r="G288" s="239" t="s">
        <v>1008</v>
      </c>
      <c r="H288" s="239" t="s">
        <v>1009</v>
      </c>
      <c r="I288" s="343"/>
      <c r="J288" s="343"/>
    </row>
    <row r="289" spans="2:10" x14ac:dyDescent="0.25">
      <c r="B289" s="249">
        <v>46084</v>
      </c>
      <c r="C289" s="253">
        <v>46082</v>
      </c>
      <c r="D289" s="256" t="s">
        <v>708</v>
      </c>
      <c r="E289" s="239" t="s">
        <v>584</v>
      </c>
      <c r="F289" s="238" t="s">
        <v>6</v>
      </c>
      <c r="G289" s="239" t="s">
        <v>1008</v>
      </c>
      <c r="H289" s="239" t="s">
        <v>1009</v>
      </c>
      <c r="I289" s="343"/>
      <c r="J289" s="343"/>
    </row>
    <row r="290" spans="2:10" x14ac:dyDescent="0.25">
      <c r="B290" s="249">
        <v>46084</v>
      </c>
      <c r="C290" s="253">
        <v>46082</v>
      </c>
      <c r="D290" s="256" t="s">
        <v>283</v>
      </c>
      <c r="E290" s="239" t="s">
        <v>584</v>
      </c>
      <c r="F290" s="238" t="s">
        <v>6</v>
      </c>
      <c r="G290" s="239" t="s">
        <v>1010</v>
      </c>
      <c r="H290" s="239" t="s">
        <v>1011</v>
      </c>
      <c r="I290" s="343"/>
      <c r="J290" s="343"/>
    </row>
    <row r="291" spans="2:10" x14ac:dyDescent="0.25">
      <c r="B291" s="249">
        <v>46085</v>
      </c>
      <c r="C291" s="253">
        <v>46082</v>
      </c>
      <c r="D291" s="256" t="s">
        <v>283</v>
      </c>
      <c r="E291" s="239" t="s">
        <v>584</v>
      </c>
      <c r="F291" s="238" t="s">
        <v>6</v>
      </c>
      <c r="G291" s="239" t="s">
        <v>1012</v>
      </c>
      <c r="H291" s="352" t="s">
        <v>1013</v>
      </c>
      <c r="I291" s="343"/>
      <c r="J291" s="343"/>
    </row>
    <row r="292" spans="2:10" x14ac:dyDescent="0.25">
      <c r="B292" s="249">
        <v>46086</v>
      </c>
      <c r="C292" s="253">
        <v>46082</v>
      </c>
      <c r="D292" s="256" t="s">
        <v>283</v>
      </c>
      <c r="E292" s="239" t="s">
        <v>584</v>
      </c>
      <c r="F292" s="238" t="s">
        <v>6</v>
      </c>
      <c r="G292" s="239" t="s">
        <v>1014</v>
      </c>
      <c r="H292" s="237" t="s">
        <v>1011</v>
      </c>
      <c r="I292" s="343"/>
      <c r="J292" s="343"/>
    </row>
    <row r="293" spans="2:10" x14ac:dyDescent="0.25">
      <c r="B293" s="249">
        <v>46087</v>
      </c>
      <c r="C293" s="253">
        <v>46082</v>
      </c>
      <c r="D293" s="256" t="s">
        <v>283</v>
      </c>
      <c r="E293" s="239" t="s">
        <v>584</v>
      </c>
      <c r="F293" s="238" t="s">
        <v>6</v>
      </c>
      <c r="G293" s="239" t="s">
        <v>1000</v>
      </c>
      <c r="H293" s="198" t="s">
        <v>1015</v>
      </c>
      <c r="I293" s="343"/>
      <c r="J293" s="343"/>
    </row>
    <row r="294" spans="2:10" x14ac:dyDescent="0.25">
      <c r="B294" s="249">
        <v>46088</v>
      </c>
      <c r="C294" s="253">
        <v>46082</v>
      </c>
      <c r="D294" s="256" t="s">
        <v>283</v>
      </c>
      <c r="E294" s="239" t="s">
        <v>584</v>
      </c>
      <c r="F294" s="238" t="s">
        <v>6</v>
      </c>
      <c r="G294" s="239" t="s">
        <v>1000</v>
      </c>
      <c r="H294" s="198" t="s">
        <v>1016</v>
      </c>
      <c r="I294" s="343"/>
      <c r="J294" s="343"/>
    </row>
    <row r="295" spans="2:10" x14ac:dyDescent="0.25">
      <c r="B295" s="249">
        <v>46091</v>
      </c>
      <c r="C295" s="253">
        <v>46082</v>
      </c>
      <c r="D295" s="256" t="s">
        <v>283</v>
      </c>
      <c r="E295" s="239" t="s">
        <v>584</v>
      </c>
      <c r="F295" s="238" t="s">
        <v>6</v>
      </c>
      <c r="G295" s="239" t="s">
        <v>1000</v>
      </c>
      <c r="H295" s="198" t="s">
        <v>1016</v>
      </c>
      <c r="I295" s="343"/>
      <c r="J295" s="343"/>
    </row>
    <row r="296" spans="2:10" x14ac:dyDescent="0.25">
      <c r="B296" s="249">
        <v>46092</v>
      </c>
      <c r="C296" s="253">
        <v>46082</v>
      </c>
      <c r="D296" s="256" t="s">
        <v>1017</v>
      </c>
      <c r="E296" s="239" t="s">
        <v>584</v>
      </c>
      <c r="F296" s="238" t="s">
        <v>6</v>
      </c>
      <c r="G296" s="239" t="s">
        <v>1018</v>
      </c>
      <c r="H296" s="198" t="s">
        <v>1019</v>
      </c>
      <c r="I296" s="343" t="s">
        <v>3267</v>
      </c>
      <c r="J296" s="343" t="s">
        <v>3279</v>
      </c>
    </row>
    <row r="297" spans="2:10" x14ac:dyDescent="0.25">
      <c r="B297" s="249">
        <v>46092</v>
      </c>
      <c r="C297" s="253">
        <v>46082</v>
      </c>
      <c r="D297" s="256" t="s">
        <v>283</v>
      </c>
      <c r="E297" s="239" t="s">
        <v>584</v>
      </c>
      <c r="F297" s="238" t="s">
        <v>6</v>
      </c>
      <c r="G297" s="239" t="s">
        <v>1000</v>
      </c>
      <c r="H297" s="198" t="s">
        <v>1016</v>
      </c>
      <c r="I297" s="343" t="s">
        <v>3267</v>
      </c>
      <c r="J297" s="343" t="s">
        <v>3364</v>
      </c>
    </row>
    <row r="298" spans="2:10" x14ac:dyDescent="0.25">
      <c r="B298" s="249">
        <v>46093</v>
      </c>
      <c r="C298" s="253">
        <v>46082</v>
      </c>
      <c r="D298" s="256" t="s">
        <v>1020</v>
      </c>
      <c r="E298" s="239" t="s">
        <v>584</v>
      </c>
      <c r="F298" s="238" t="s">
        <v>6</v>
      </c>
      <c r="G298" s="239" t="s">
        <v>1021</v>
      </c>
      <c r="H298" s="198" t="s">
        <v>1022</v>
      </c>
      <c r="I298" s="343" t="s">
        <v>3267</v>
      </c>
      <c r="J298" s="343" t="s">
        <v>3363</v>
      </c>
    </row>
    <row r="299" spans="2:10" ht="17.25" customHeight="1" x14ac:dyDescent="0.25">
      <c r="B299" s="249">
        <v>46093</v>
      </c>
      <c r="C299" s="253">
        <v>46082</v>
      </c>
      <c r="D299" s="256" t="s">
        <v>1023</v>
      </c>
      <c r="E299" s="239" t="s">
        <v>584</v>
      </c>
      <c r="F299" s="238" t="s">
        <v>6</v>
      </c>
      <c r="G299" s="239" t="s">
        <v>1024</v>
      </c>
      <c r="H299" s="198" t="s">
        <v>1025</v>
      </c>
      <c r="I299" s="343" t="s">
        <v>3267</v>
      </c>
      <c r="J299" s="343" t="s">
        <v>3363</v>
      </c>
    </row>
    <row r="300" spans="2:10" x14ac:dyDescent="0.25">
      <c r="B300" s="201">
        <v>46094</v>
      </c>
      <c r="C300" s="253">
        <v>46082</v>
      </c>
      <c r="D300" s="256" t="s">
        <v>406</v>
      </c>
      <c r="E300" s="239" t="s">
        <v>584</v>
      </c>
      <c r="F300" s="238" t="s">
        <v>6</v>
      </c>
      <c r="G300" s="239" t="s">
        <v>1024</v>
      </c>
      <c r="H300" s="198" t="s">
        <v>1026</v>
      </c>
      <c r="I300" s="343" t="s">
        <v>3267</v>
      </c>
      <c r="J300" s="343" t="s">
        <v>3279</v>
      </c>
    </row>
    <row r="301" spans="2:10" x14ac:dyDescent="0.25">
      <c r="B301" s="201">
        <v>46096</v>
      </c>
      <c r="C301" s="253">
        <v>46082</v>
      </c>
      <c r="D301" s="256" t="s">
        <v>614</v>
      </c>
      <c r="E301" s="239" t="s">
        <v>584</v>
      </c>
      <c r="F301" s="238" t="s">
        <v>6</v>
      </c>
      <c r="G301" s="239" t="s">
        <v>1006</v>
      </c>
      <c r="H301" s="239" t="s">
        <v>1007</v>
      </c>
      <c r="I301" s="343" t="s">
        <v>3267</v>
      </c>
      <c r="J301" s="343" t="s">
        <v>3361</v>
      </c>
    </row>
    <row r="302" spans="2:10" x14ac:dyDescent="0.25">
      <c r="B302" s="201">
        <v>46097</v>
      </c>
      <c r="C302" s="253">
        <v>46082</v>
      </c>
      <c r="D302" s="256" t="s">
        <v>1023</v>
      </c>
      <c r="E302" s="239" t="s">
        <v>584</v>
      </c>
      <c r="F302" s="238" t="s">
        <v>6</v>
      </c>
      <c r="G302" s="239" t="s">
        <v>1024</v>
      </c>
      <c r="H302" s="198" t="s">
        <v>1026</v>
      </c>
      <c r="I302" s="343" t="s">
        <v>3267</v>
      </c>
      <c r="J302" s="343" t="s">
        <v>3361</v>
      </c>
    </row>
    <row r="303" spans="2:10" x14ac:dyDescent="0.25">
      <c r="B303" s="201">
        <v>46098</v>
      </c>
      <c r="C303" s="254">
        <v>46082</v>
      </c>
      <c r="D303" s="247" t="s">
        <v>1027</v>
      </c>
      <c r="E303" s="134" t="s">
        <v>584</v>
      </c>
      <c r="F303" s="89" t="s">
        <v>6</v>
      </c>
      <c r="G303" s="134" t="s">
        <v>1028</v>
      </c>
      <c r="H303" s="247" t="s">
        <v>1029</v>
      </c>
      <c r="I303" s="343" t="s">
        <v>3267</v>
      </c>
      <c r="J303" s="343" t="s">
        <v>3279</v>
      </c>
    </row>
    <row r="304" spans="2:10" x14ac:dyDescent="0.25">
      <c r="B304" s="201">
        <v>46099</v>
      </c>
      <c r="C304" s="254">
        <v>46082</v>
      </c>
      <c r="D304" s="247" t="s">
        <v>1027</v>
      </c>
      <c r="E304" s="134" t="s">
        <v>584</v>
      </c>
      <c r="F304" s="89" t="s">
        <v>6</v>
      </c>
      <c r="G304" s="134" t="s">
        <v>1028</v>
      </c>
      <c r="H304" s="247" t="s">
        <v>1030</v>
      </c>
      <c r="I304" s="343" t="s">
        <v>3267</v>
      </c>
      <c r="J304" s="343" t="s">
        <v>3279</v>
      </c>
    </row>
    <row r="305" spans="2:10" x14ac:dyDescent="0.25">
      <c r="B305" s="201">
        <v>46099</v>
      </c>
      <c r="C305" s="254">
        <v>46082</v>
      </c>
      <c r="D305" s="247" t="s">
        <v>893</v>
      </c>
      <c r="E305" s="134" t="s">
        <v>584</v>
      </c>
      <c r="F305" s="89" t="s">
        <v>6</v>
      </c>
      <c r="G305" s="134" t="s">
        <v>1031</v>
      </c>
      <c r="H305" s="247" t="s">
        <v>1032</v>
      </c>
      <c r="I305" s="343" t="s">
        <v>3267</v>
      </c>
      <c r="J305" s="343" t="s">
        <v>3279</v>
      </c>
    </row>
    <row r="306" spans="2:10" x14ac:dyDescent="0.25">
      <c r="B306" s="201">
        <v>46100</v>
      </c>
      <c r="C306" s="254">
        <v>46082</v>
      </c>
      <c r="D306" s="247" t="s">
        <v>584</v>
      </c>
      <c r="E306" s="134" t="s">
        <v>584</v>
      </c>
      <c r="F306" s="89" t="s">
        <v>6</v>
      </c>
      <c r="G306" s="134" t="s">
        <v>1000</v>
      </c>
      <c r="H306" s="247" t="s">
        <v>1033</v>
      </c>
      <c r="I306" s="343" t="s">
        <v>3267</v>
      </c>
      <c r="J306" s="343" t="s">
        <v>3364</v>
      </c>
    </row>
    <row r="307" spans="2:10" x14ac:dyDescent="0.25">
      <c r="B307" s="201">
        <v>46101</v>
      </c>
      <c r="C307" s="254">
        <v>46082</v>
      </c>
      <c r="D307" s="247" t="s">
        <v>1034</v>
      </c>
      <c r="E307" s="134" t="s">
        <v>584</v>
      </c>
      <c r="F307" s="89" t="s">
        <v>6</v>
      </c>
      <c r="G307" s="388" t="s">
        <v>1035</v>
      </c>
      <c r="H307" s="247" t="s">
        <v>1036</v>
      </c>
      <c r="I307" s="343" t="s">
        <v>3267</v>
      </c>
      <c r="J307" s="343" t="s">
        <v>3279</v>
      </c>
    </row>
    <row r="308" spans="2:10" x14ac:dyDescent="0.25">
      <c r="B308" s="201">
        <v>46101</v>
      </c>
      <c r="C308" s="257">
        <v>46082</v>
      </c>
      <c r="D308" s="247" t="s">
        <v>946</v>
      </c>
      <c r="E308" s="134" t="s">
        <v>584</v>
      </c>
      <c r="F308" s="386" t="s">
        <v>6</v>
      </c>
      <c r="G308" s="351" t="s">
        <v>1037</v>
      </c>
      <c r="H308" s="387" t="s">
        <v>1038</v>
      </c>
      <c r="I308" s="343" t="s">
        <v>3267</v>
      </c>
      <c r="J308" s="343" t="s">
        <v>3361</v>
      </c>
    </row>
    <row r="309" spans="2:10" x14ac:dyDescent="0.25">
      <c r="B309" s="201">
        <v>46104</v>
      </c>
      <c r="C309" s="257">
        <v>46082</v>
      </c>
      <c r="D309" s="247" t="s">
        <v>946</v>
      </c>
      <c r="E309" s="134" t="s">
        <v>584</v>
      </c>
      <c r="F309" s="89" t="s">
        <v>6</v>
      </c>
      <c r="G309" s="258" t="s">
        <v>1037</v>
      </c>
      <c r="H309" s="247" t="s">
        <v>3252</v>
      </c>
      <c r="I309" s="343" t="s">
        <v>3267</v>
      </c>
      <c r="J309" s="343" t="s">
        <v>3363</v>
      </c>
    </row>
    <row r="310" spans="2:10" x14ac:dyDescent="0.25">
      <c r="B310" s="278">
        <v>46104</v>
      </c>
      <c r="C310" s="257">
        <v>46082</v>
      </c>
      <c r="D310" s="279" t="s">
        <v>283</v>
      </c>
      <c r="E310" s="134" t="s">
        <v>584</v>
      </c>
      <c r="F310" s="89" t="s">
        <v>6</v>
      </c>
      <c r="G310" s="247" t="s">
        <v>3253</v>
      </c>
      <c r="H310" s="247" t="s">
        <v>3254</v>
      </c>
      <c r="I310" s="343" t="s">
        <v>3267</v>
      </c>
      <c r="J310" s="343" t="s">
        <v>3279</v>
      </c>
    </row>
    <row r="311" spans="2:10" x14ac:dyDescent="0.25">
      <c r="B311" s="278">
        <v>46104</v>
      </c>
      <c r="C311" s="257">
        <v>46082</v>
      </c>
      <c r="D311" s="247" t="s">
        <v>672</v>
      </c>
      <c r="E311" s="134" t="s">
        <v>584</v>
      </c>
      <c r="F311" s="89" t="s">
        <v>6</v>
      </c>
      <c r="G311" s="247" t="s">
        <v>3255</v>
      </c>
      <c r="H311" s="349" t="s">
        <v>3256</v>
      </c>
      <c r="I311" s="343" t="s">
        <v>3267</v>
      </c>
      <c r="J311" s="343" t="s">
        <v>3361</v>
      </c>
    </row>
    <row r="312" spans="2:10" x14ac:dyDescent="0.25">
      <c r="B312" s="278">
        <v>46104</v>
      </c>
      <c r="C312" s="257">
        <v>46082</v>
      </c>
      <c r="D312" s="279" t="s">
        <v>283</v>
      </c>
      <c r="E312" s="134" t="s">
        <v>584</v>
      </c>
      <c r="F312" s="89" t="s">
        <v>6</v>
      </c>
      <c r="G312" s="258" t="s">
        <v>1037</v>
      </c>
      <c r="H312" s="351" t="s">
        <v>3257</v>
      </c>
      <c r="I312" s="343" t="s">
        <v>3267</v>
      </c>
      <c r="J312" s="343" t="s">
        <v>3361</v>
      </c>
    </row>
    <row r="313" spans="2:10" x14ac:dyDescent="0.25">
      <c r="B313" s="201">
        <v>46105</v>
      </c>
      <c r="C313" s="257">
        <v>46082</v>
      </c>
      <c r="D313" s="279" t="s">
        <v>283</v>
      </c>
      <c r="E313" s="134" t="s">
        <v>584</v>
      </c>
      <c r="F313" s="89" t="s">
        <v>6</v>
      </c>
      <c r="G313" s="247" t="s">
        <v>3355</v>
      </c>
      <c r="H313" s="350" t="s">
        <v>3356</v>
      </c>
      <c r="I313" s="343" t="s">
        <v>3267</v>
      </c>
      <c r="J313" s="343" t="s">
        <v>3279</v>
      </c>
    </row>
    <row r="314" spans="2:10" x14ac:dyDescent="0.25">
      <c r="B314" s="201">
        <v>46106</v>
      </c>
      <c r="C314" s="257">
        <v>46082</v>
      </c>
      <c r="D314" s="279" t="s">
        <v>283</v>
      </c>
      <c r="E314" s="134" t="s">
        <v>584</v>
      </c>
      <c r="F314" s="89" t="s">
        <v>6</v>
      </c>
      <c r="G314" s="247" t="s">
        <v>3397</v>
      </c>
      <c r="H314" s="247" t="s">
        <v>3398</v>
      </c>
      <c r="I314" s="343" t="s">
        <v>3315</v>
      </c>
      <c r="J314" s="343" t="s">
        <v>3399</v>
      </c>
    </row>
    <row r="315" spans="2:10" x14ac:dyDescent="0.25">
      <c r="B315" s="201">
        <v>46106</v>
      </c>
      <c r="C315" s="257">
        <v>46082</v>
      </c>
      <c r="D315" s="279" t="s">
        <v>283</v>
      </c>
      <c r="E315" s="134" t="s">
        <v>584</v>
      </c>
      <c r="F315" s="89" t="s">
        <v>6</v>
      </c>
      <c r="G315" s="247" t="s">
        <v>3413</v>
      </c>
      <c r="H315" s="247" t="s">
        <v>3482</v>
      </c>
      <c r="I315" s="343" t="s">
        <v>3267</v>
      </c>
      <c r="J315" s="343" t="s">
        <v>3363</v>
      </c>
    </row>
    <row r="316" spans="2:10" x14ac:dyDescent="0.25">
      <c r="B316" s="201">
        <v>46107</v>
      </c>
      <c r="C316" s="254">
        <v>46082</v>
      </c>
      <c r="D316" s="279" t="s">
        <v>283</v>
      </c>
      <c r="E316" s="134" t="s">
        <v>584</v>
      </c>
      <c r="F316" s="89" t="s">
        <v>6</v>
      </c>
      <c r="G316" s="247" t="s">
        <v>3397</v>
      </c>
      <c r="H316" s="247" t="s">
        <v>3478</v>
      </c>
      <c r="I316" s="343" t="s">
        <v>3267</v>
      </c>
      <c r="J316" s="343" t="s">
        <v>3279</v>
      </c>
    </row>
    <row r="317" spans="2:10" x14ac:dyDescent="0.25">
      <c r="B317" s="278">
        <v>46107</v>
      </c>
      <c r="C317" s="257">
        <v>46082</v>
      </c>
      <c r="D317" s="279" t="s">
        <v>283</v>
      </c>
      <c r="E317" s="134" t="s">
        <v>584</v>
      </c>
      <c r="F317" s="89" t="s">
        <v>6</v>
      </c>
      <c r="G317" s="247" t="s">
        <v>3397</v>
      </c>
      <c r="H317" s="247" t="s">
        <v>3479</v>
      </c>
      <c r="I317" s="343" t="s">
        <v>3267</v>
      </c>
      <c r="J317" s="343" t="s">
        <v>3279</v>
      </c>
    </row>
    <row r="318" spans="2:10" x14ac:dyDescent="0.25">
      <c r="B318" s="278">
        <v>46107</v>
      </c>
      <c r="C318" s="257">
        <v>46082</v>
      </c>
      <c r="D318" s="279" t="s">
        <v>283</v>
      </c>
      <c r="E318" s="134" t="s">
        <v>584</v>
      </c>
      <c r="F318" s="89" t="s">
        <v>6</v>
      </c>
      <c r="G318" s="247" t="s">
        <v>3397</v>
      </c>
      <c r="H318" s="247" t="s">
        <v>3481</v>
      </c>
      <c r="I318" s="343" t="s">
        <v>3267</v>
      </c>
      <c r="J318" s="343" t="s">
        <v>3279</v>
      </c>
    </row>
    <row r="319" spans="2:10" x14ac:dyDescent="0.25">
      <c r="B319" s="278">
        <v>46107</v>
      </c>
      <c r="C319" s="257">
        <v>46082</v>
      </c>
      <c r="D319" s="134" t="s">
        <v>584</v>
      </c>
      <c r="E319" s="134" t="s">
        <v>3483</v>
      </c>
      <c r="F319" s="89" t="s">
        <v>6</v>
      </c>
      <c r="G319" s="247" t="s">
        <v>3397</v>
      </c>
      <c r="H319" s="247" t="s">
        <v>3480</v>
      </c>
      <c r="I319" s="343" t="s">
        <v>3315</v>
      </c>
      <c r="J319" s="343" t="s">
        <v>3279</v>
      </c>
    </row>
    <row r="320" spans="2:10" x14ac:dyDescent="0.25">
      <c r="B320" s="201">
        <v>46108</v>
      </c>
      <c r="C320" s="257">
        <v>46113</v>
      </c>
      <c r="D320" s="247" t="s">
        <v>882</v>
      </c>
      <c r="E320" s="134" t="s">
        <v>584</v>
      </c>
      <c r="F320" s="89" t="s">
        <v>6</v>
      </c>
      <c r="G320" s="247" t="s">
        <v>3562</v>
      </c>
      <c r="H320" s="247" t="s">
        <v>3560</v>
      </c>
      <c r="I320" s="343" t="s">
        <v>3267</v>
      </c>
      <c r="J320" s="343" t="s">
        <v>3279</v>
      </c>
    </row>
    <row r="321" spans="2:10" x14ac:dyDescent="0.25">
      <c r="B321" s="278">
        <v>46108</v>
      </c>
      <c r="C321" s="257">
        <v>46143</v>
      </c>
      <c r="D321" s="247" t="s">
        <v>882</v>
      </c>
      <c r="E321" s="134" t="s">
        <v>584</v>
      </c>
      <c r="F321" s="89" t="s">
        <v>6</v>
      </c>
      <c r="G321" s="247" t="s">
        <v>3556</v>
      </c>
      <c r="H321" s="247" t="s">
        <v>3561</v>
      </c>
      <c r="I321" s="343" t="s">
        <v>3267</v>
      </c>
      <c r="J321" s="343" t="s">
        <v>3279</v>
      </c>
    </row>
    <row r="322" spans="2:10" x14ac:dyDescent="0.25">
      <c r="B322" s="250"/>
      <c r="C322" s="250"/>
      <c r="D322" s="247"/>
      <c r="E322" s="247"/>
      <c r="F322" s="247"/>
      <c r="G322" s="247"/>
      <c r="H322" s="247"/>
      <c r="I322" s="343"/>
      <c r="J322" s="343"/>
    </row>
    <row r="323" spans="2:10" x14ac:dyDescent="0.25">
      <c r="B323" s="250"/>
      <c r="C323" s="250"/>
      <c r="D323" s="247"/>
      <c r="E323" s="247"/>
      <c r="F323" s="247"/>
      <c r="G323" s="247"/>
      <c r="H323" s="247"/>
      <c r="I323" s="343"/>
      <c r="J323" s="343"/>
    </row>
    <row r="324" spans="2:10" x14ac:dyDescent="0.25">
      <c r="B324" s="250"/>
      <c r="C324" s="250"/>
      <c r="D324" s="247"/>
      <c r="E324" s="247"/>
      <c r="F324" s="247"/>
      <c r="G324" s="247"/>
      <c r="H324" s="247"/>
      <c r="I324" s="343"/>
      <c r="J324" s="343"/>
    </row>
    <row r="325" spans="2:10" x14ac:dyDescent="0.25">
      <c r="B325" s="250"/>
      <c r="C325" s="250"/>
      <c r="D325" s="247"/>
      <c r="E325" s="247"/>
      <c r="F325" s="247"/>
      <c r="G325" s="247"/>
      <c r="H325" s="247"/>
      <c r="I325" s="343"/>
      <c r="J325" s="343"/>
    </row>
    <row r="326" spans="2:10" x14ac:dyDescent="0.25">
      <c r="B326" s="250"/>
      <c r="C326" s="250"/>
      <c r="D326" s="247"/>
      <c r="E326" s="247"/>
      <c r="F326" s="247"/>
      <c r="G326" s="247"/>
      <c r="H326" s="247"/>
      <c r="I326" s="343"/>
      <c r="J326" s="343"/>
    </row>
    <row r="327" spans="2:10" x14ac:dyDescent="0.25">
      <c r="B327" s="250"/>
      <c r="C327" s="250"/>
      <c r="D327" s="247"/>
      <c r="E327" s="247"/>
      <c r="F327" s="247"/>
      <c r="G327" s="247"/>
      <c r="H327" s="247"/>
      <c r="I327" s="343"/>
      <c r="J327" s="343"/>
    </row>
    <row r="328" spans="2:10" x14ac:dyDescent="0.25">
      <c r="B328" s="250"/>
      <c r="C328" s="250"/>
      <c r="D328" s="247"/>
      <c r="E328" s="247"/>
      <c r="F328" s="247"/>
      <c r="G328" s="247"/>
      <c r="H328" s="247"/>
      <c r="I328" s="343"/>
      <c r="J328" s="343"/>
    </row>
    <row r="329" spans="2:10" x14ac:dyDescent="0.25">
      <c r="B329" s="250"/>
      <c r="C329" s="250"/>
      <c r="D329" s="247"/>
      <c r="E329" s="247"/>
      <c r="F329" s="247"/>
      <c r="G329" s="247"/>
      <c r="H329" s="247"/>
      <c r="I329" s="343"/>
      <c r="J329" s="343"/>
    </row>
    <row r="330" spans="2:10" x14ac:dyDescent="0.25">
      <c r="B330" s="250"/>
      <c r="C330" s="250"/>
      <c r="D330" s="247"/>
      <c r="E330" s="247"/>
      <c r="F330" s="247"/>
      <c r="G330" s="247"/>
      <c r="H330" s="247"/>
      <c r="I330" s="343"/>
      <c r="J330" s="343"/>
    </row>
    <row r="331" spans="2:10" x14ac:dyDescent="0.25">
      <c r="B331" s="250"/>
      <c r="C331" s="250"/>
      <c r="D331" s="247"/>
      <c r="E331" s="247"/>
      <c r="F331" s="247"/>
      <c r="G331" s="247"/>
      <c r="H331" s="247"/>
      <c r="I331" s="343"/>
      <c r="J331" s="343"/>
    </row>
    <row r="332" spans="2:10" x14ac:dyDescent="0.25">
      <c r="B332" s="250"/>
      <c r="C332" s="250"/>
      <c r="D332" s="247"/>
      <c r="E332" s="247"/>
      <c r="F332" s="247"/>
      <c r="G332" s="247"/>
      <c r="H332" s="247"/>
      <c r="I332" s="343"/>
      <c r="J332" s="343"/>
    </row>
    <row r="333" spans="2:10" x14ac:dyDescent="0.25">
      <c r="B333" s="250"/>
      <c r="C333" s="250"/>
      <c r="D333" s="247"/>
      <c r="E333" s="247"/>
      <c r="F333" s="247"/>
      <c r="G333" s="247"/>
      <c r="H333" s="247"/>
      <c r="I333" s="343"/>
      <c r="J333" s="343"/>
    </row>
    <row r="334" spans="2:10" x14ac:dyDescent="0.25">
      <c r="B334" s="250"/>
      <c r="C334" s="250"/>
      <c r="D334" s="247"/>
      <c r="E334" s="247"/>
      <c r="F334" s="247"/>
      <c r="G334" s="247"/>
      <c r="H334" s="247"/>
      <c r="I334" s="343"/>
      <c r="J334" s="343"/>
    </row>
    <row r="335" spans="2:10" x14ac:dyDescent="0.25">
      <c r="B335" s="250"/>
      <c r="C335" s="250"/>
      <c r="D335" s="247"/>
      <c r="E335" s="247"/>
      <c r="F335" s="247"/>
      <c r="G335" s="247"/>
      <c r="H335" s="247"/>
      <c r="I335" s="343"/>
      <c r="J335" s="343"/>
    </row>
    <row r="336" spans="2:10" x14ac:dyDescent="0.25">
      <c r="B336" s="250"/>
      <c r="C336" s="250"/>
      <c r="D336" s="247"/>
      <c r="E336" s="247"/>
      <c r="F336" s="247"/>
      <c r="G336" s="247"/>
      <c r="H336" s="247"/>
      <c r="I336" s="343"/>
      <c r="J336" s="343"/>
    </row>
    <row r="337" spans="2:10" x14ac:dyDescent="0.25">
      <c r="B337" s="250"/>
      <c r="C337" s="250"/>
      <c r="D337" s="247"/>
      <c r="E337" s="247"/>
      <c r="F337" s="247"/>
      <c r="G337" s="247"/>
      <c r="H337" s="247"/>
      <c r="I337" s="343"/>
      <c r="J337" s="343"/>
    </row>
    <row r="338" spans="2:10" x14ac:dyDescent="0.25">
      <c r="B338" s="250"/>
      <c r="C338" s="250"/>
      <c r="D338" s="247"/>
      <c r="E338" s="247"/>
      <c r="F338" s="247"/>
      <c r="G338" s="247"/>
      <c r="H338" s="247"/>
      <c r="I338" s="343"/>
      <c r="J338" s="343"/>
    </row>
    <row r="339" spans="2:10" x14ac:dyDescent="0.25">
      <c r="B339" s="250"/>
      <c r="C339" s="250"/>
      <c r="D339" s="247"/>
      <c r="E339" s="247"/>
      <c r="F339" s="247"/>
      <c r="G339" s="247"/>
      <c r="H339" s="247"/>
      <c r="I339" s="343"/>
      <c r="J339" s="343"/>
    </row>
    <row r="340" spans="2:10" x14ac:dyDescent="0.25">
      <c r="B340" s="250"/>
      <c r="C340" s="250"/>
      <c r="D340" s="247"/>
      <c r="E340" s="247"/>
      <c r="F340" s="247"/>
      <c r="G340" s="247"/>
      <c r="H340" s="247"/>
      <c r="I340" s="343"/>
      <c r="J340" s="343"/>
    </row>
    <row r="341" spans="2:10" x14ac:dyDescent="0.25">
      <c r="B341" s="250"/>
      <c r="C341" s="250"/>
      <c r="D341" s="247"/>
      <c r="E341" s="247"/>
      <c r="F341" s="247"/>
      <c r="G341" s="247"/>
      <c r="H341" s="247"/>
      <c r="I341" s="343"/>
      <c r="J341" s="343"/>
    </row>
    <row r="342" spans="2:10" x14ac:dyDescent="0.25">
      <c r="B342" s="250"/>
      <c r="C342" s="250"/>
      <c r="D342" s="247"/>
      <c r="E342" s="247"/>
      <c r="F342" s="247"/>
      <c r="G342" s="247"/>
      <c r="H342" s="247"/>
      <c r="I342" s="343"/>
      <c r="J342" s="343"/>
    </row>
    <row r="343" spans="2:10" x14ac:dyDescent="0.25">
      <c r="B343" s="250"/>
      <c r="C343" s="250"/>
      <c r="D343" s="247"/>
      <c r="E343" s="247"/>
      <c r="F343" s="247"/>
      <c r="G343" s="247"/>
      <c r="H343" s="247"/>
      <c r="I343" s="343"/>
      <c r="J343" s="343"/>
    </row>
    <row r="344" spans="2:10" x14ac:dyDescent="0.25">
      <c r="B344" s="250"/>
      <c r="C344" s="250"/>
      <c r="D344" s="247"/>
      <c r="E344" s="247"/>
      <c r="F344" s="247"/>
      <c r="G344" s="247"/>
      <c r="H344" s="247"/>
      <c r="I344" s="343"/>
      <c r="J344" s="343"/>
    </row>
    <row r="345" spans="2:10" x14ac:dyDescent="0.25">
      <c r="B345" s="250"/>
      <c r="C345" s="250"/>
      <c r="D345" s="247"/>
      <c r="E345" s="247"/>
      <c r="F345" s="247"/>
      <c r="G345" s="247"/>
      <c r="H345" s="247"/>
      <c r="I345" s="343"/>
      <c r="J345" s="343"/>
    </row>
    <row r="346" spans="2:10" x14ac:dyDescent="0.25">
      <c r="B346" s="250"/>
      <c r="C346" s="250"/>
      <c r="D346" s="247"/>
      <c r="E346" s="247"/>
      <c r="F346" s="247"/>
      <c r="G346" s="247"/>
      <c r="H346" s="247"/>
      <c r="I346" s="343"/>
      <c r="J346" s="343"/>
    </row>
    <row r="347" spans="2:10" x14ac:dyDescent="0.25">
      <c r="B347" s="250"/>
      <c r="C347" s="250"/>
      <c r="D347" s="247"/>
      <c r="E347" s="247"/>
      <c r="F347" s="247"/>
      <c r="G347" s="247"/>
      <c r="H347" s="247"/>
      <c r="I347" s="343"/>
      <c r="J347" s="343"/>
    </row>
    <row r="348" spans="2:10" x14ac:dyDescent="0.25">
      <c r="B348" s="250"/>
      <c r="C348" s="250"/>
      <c r="D348" s="247"/>
      <c r="E348" s="247"/>
      <c r="F348" s="247"/>
      <c r="G348" s="247"/>
      <c r="H348" s="247"/>
      <c r="I348" s="343"/>
      <c r="J348" s="343"/>
    </row>
    <row r="349" spans="2:10" x14ac:dyDescent="0.25">
      <c r="B349" s="250"/>
      <c r="C349" s="250"/>
      <c r="D349" s="247"/>
      <c r="E349" s="247"/>
      <c r="F349" s="247"/>
      <c r="G349" s="247"/>
      <c r="H349" s="247"/>
      <c r="I349" s="343"/>
      <c r="J349" s="343"/>
    </row>
    <row r="350" spans="2:10" x14ac:dyDescent="0.25">
      <c r="B350" s="250"/>
      <c r="C350" s="250"/>
      <c r="D350" s="247"/>
      <c r="E350" s="247"/>
      <c r="F350" s="247"/>
      <c r="G350" s="247"/>
      <c r="H350" s="247"/>
      <c r="I350" s="343"/>
      <c r="J350" s="343"/>
    </row>
    <row r="351" spans="2:10" x14ac:dyDescent="0.25">
      <c r="B351" s="250"/>
      <c r="C351" s="250"/>
      <c r="D351" s="247"/>
      <c r="E351" s="247"/>
      <c r="F351" s="247"/>
      <c r="G351" s="247"/>
      <c r="H351" s="247"/>
      <c r="I351" s="343"/>
      <c r="J351" s="343"/>
    </row>
    <row r="352" spans="2:10" x14ac:dyDescent="0.25">
      <c r="B352" s="250"/>
      <c r="C352" s="250"/>
      <c r="D352" s="247"/>
      <c r="E352" s="247"/>
      <c r="F352" s="247"/>
      <c r="G352" s="247"/>
      <c r="H352" s="247"/>
      <c r="I352" s="343"/>
      <c r="J352" s="343"/>
    </row>
    <row r="353" spans="2:10" x14ac:dyDescent="0.25">
      <c r="B353" s="250"/>
      <c r="C353" s="250"/>
      <c r="D353" s="247"/>
      <c r="E353" s="247"/>
      <c r="F353" s="247"/>
      <c r="G353" s="247"/>
      <c r="H353" s="247"/>
      <c r="I353" s="343"/>
      <c r="J353" s="343"/>
    </row>
    <row r="354" spans="2:10" x14ac:dyDescent="0.25">
      <c r="B354" s="250"/>
      <c r="C354" s="250"/>
      <c r="D354" s="247"/>
      <c r="E354" s="247"/>
      <c r="F354" s="247"/>
      <c r="G354" s="247"/>
      <c r="H354" s="247"/>
      <c r="I354" s="343"/>
      <c r="J354" s="343"/>
    </row>
    <row r="355" spans="2:10" x14ac:dyDescent="0.25">
      <c r="B355" s="250"/>
      <c r="C355" s="250"/>
      <c r="D355" s="247"/>
      <c r="E355" s="247"/>
      <c r="F355" s="247"/>
      <c r="G355" s="247"/>
      <c r="H355" s="247"/>
      <c r="I355" s="343"/>
      <c r="J355" s="343"/>
    </row>
    <row r="356" spans="2:10" x14ac:dyDescent="0.25">
      <c r="B356" s="250"/>
      <c r="C356" s="250"/>
      <c r="D356" s="247"/>
      <c r="E356" s="247"/>
      <c r="F356" s="247"/>
      <c r="G356" s="247"/>
      <c r="H356" s="247"/>
      <c r="I356" s="343"/>
      <c r="J356" s="343"/>
    </row>
    <row r="357" spans="2:10" x14ac:dyDescent="0.25">
      <c r="B357" s="250"/>
      <c r="C357" s="250"/>
      <c r="D357" s="247"/>
      <c r="E357" s="247"/>
      <c r="F357" s="247"/>
      <c r="G357" s="247"/>
      <c r="H357" s="247"/>
      <c r="I357" s="343"/>
      <c r="J357" s="343"/>
    </row>
    <row r="358" spans="2:10" x14ac:dyDescent="0.25">
      <c r="B358" s="250"/>
      <c r="C358" s="250"/>
      <c r="D358" s="247"/>
      <c r="E358" s="247"/>
      <c r="F358" s="247"/>
      <c r="G358" s="247"/>
      <c r="H358" s="247"/>
      <c r="I358" s="343"/>
      <c r="J358" s="343"/>
    </row>
    <row r="359" spans="2:10" x14ac:dyDescent="0.25">
      <c r="B359" s="250"/>
      <c r="C359" s="250"/>
      <c r="D359" s="247"/>
      <c r="E359" s="247"/>
      <c r="F359" s="247"/>
      <c r="G359" s="247"/>
      <c r="H359" s="247"/>
      <c r="I359" s="343"/>
      <c r="J359" s="343"/>
    </row>
    <row r="360" spans="2:10" x14ac:dyDescent="0.25">
      <c r="B360" s="250"/>
      <c r="C360" s="250"/>
      <c r="D360" s="247"/>
      <c r="E360" s="247"/>
      <c r="F360" s="247"/>
      <c r="G360" s="247"/>
      <c r="H360" s="247"/>
      <c r="I360" s="343"/>
      <c r="J360" s="343"/>
    </row>
    <row r="361" spans="2:10" x14ac:dyDescent="0.25">
      <c r="B361" s="250"/>
      <c r="C361" s="250"/>
      <c r="D361" s="247"/>
      <c r="E361" s="247"/>
      <c r="F361" s="247"/>
      <c r="G361" s="247"/>
      <c r="H361" s="247"/>
      <c r="I361" s="343"/>
      <c r="J361" s="343"/>
    </row>
    <row r="362" spans="2:10" x14ac:dyDescent="0.25">
      <c r="B362" s="250"/>
      <c r="C362" s="250"/>
      <c r="D362" s="247"/>
      <c r="E362" s="247"/>
      <c r="F362" s="247"/>
      <c r="G362" s="247"/>
      <c r="H362" s="247"/>
      <c r="I362" s="343"/>
      <c r="J362" s="343"/>
    </row>
    <row r="363" spans="2:10" x14ac:dyDescent="0.25">
      <c r="B363" s="250"/>
      <c r="C363" s="250"/>
      <c r="D363" s="247"/>
      <c r="E363" s="247"/>
      <c r="F363" s="247"/>
      <c r="G363" s="247"/>
      <c r="H363" s="247"/>
      <c r="I363" s="343"/>
      <c r="J363" s="343"/>
    </row>
    <row r="364" spans="2:10" x14ac:dyDescent="0.25">
      <c r="B364" s="250"/>
      <c r="C364" s="250"/>
      <c r="D364" s="247"/>
      <c r="E364" s="247"/>
      <c r="F364" s="247"/>
      <c r="G364" s="247"/>
      <c r="H364" s="247"/>
      <c r="I364" s="343"/>
      <c r="J364" s="343"/>
    </row>
    <row r="365" spans="2:10" x14ac:dyDescent="0.25">
      <c r="B365" s="250"/>
      <c r="C365" s="250"/>
      <c r="D365" s="247"/>
      <c r="E365" s="247"/>
      <c r="F365" s="247"/>
      <c r="G365" s="247"/>
      <c r="H365" s="247"/>
      <c r="I365" s="343"/>
      <c r="J365" s="343"/>
    </row>
    <row r="366" spans="2:10" x14ac:dyDescent="0.25">
      <c r="B366" s="250"/>
      <c r="C366" s="250"/>
      <c r="D366" s="247"/>
      <c r="E366" s="247"/>
      <c r="F366" s="247"/>
      <c r="G366" s="247"/>
      <c r="H366" s="247"/>
      <c r="I366" s="343"/>
      <c r="J366" s="343"/>
    </row>
    <row r="367" spans="2:10" x14ac:dyDescent="0.25">
      <c r="B367" s="250"/>
      <c r="C367" s="250"/>
      <c r="D367" s="247"/>
      <c r="E367" s="247"/>
      <c r="F367" s="247"/>
      <c r="G367" s="247"/>
      <c r="H367" s="247"/>
      <c r="I367" s="343"/>
      <c r="J367" s="343"/>
    </row>
    <row r="368" spans="2:10" x14ac:dyDescent="0.25">
      <c r="B368" s="250"/>
      <c r="C368" s="250"/>
      <c r="D368" s="247"/>
      <c r="E368" s="247"/>
      <c r="F368" s="247"/>
      <c r="G368" s="247"/>
      <c r="H368" s="247"/>
      <c r="I368" s="343"/>
      <c r="J368" s="343"/>
    </row>
    <row r="369" spans="2:10" x14ac:dyDescent="0.25">
      <c r="B369" s="250"/>
      <c r="C369" s="250"/>
      <c r="D369" s="247"/>
      <c r="E369" s="247"/>
      <c r="F369" s="247"/>
      <c r="G369" s="247"/>
      <c r="H369" s="247"/>
      <c r="I369" s="343"/>
      <c r="J369" s="343"/>
    </row>
    <row r="370" spans="2:10" x14ac:dyDescent="0.25">
      <c r="B370" s="250"/>
      <c r="C370" s="250"/>
      <c r="D370" s="247"/>
      <c r="E370" s="247"/>
      <c r="F370" s="247"/>
      <c r="G370" s="247"/>
      <c r="H370" s="247"/>
      <c r="I370" s="343"/>
      <c r="J370" s="343"/>
    </row>
    <row r="371" spans="2:10" x14ac:dyDescent="0.25">
      <c r="B371" s="250"/>
      <c r="C371" s="250"/>
      <c r="D371" s="247"/>
      <c r="E371" s="247"/>
      <c r="F371" s="247"/>
      <c r="G371" s="247"/>
      <c r="H371" s="247"/>
      <c r="I371" s="343"/>
      <c r="J371" s="343"/>
    </row>
    <row r="372" spans="2:10" x14ac:dyDescent="0.25">
      <c r="B372" s="250"/>
      <c r="C372" s="250"/>
      <c r="D372" s="247"/>
      <c r="E372" s="247"/>
      <c r="F372" s="247"/>
      <c r="G372" s="247"/>
      <c r="H372" s="247"/>
      <c r="I372" s="343"/>
      <c r="J372" s="343"/>
    </row>
    <row r="373" spans="2:10" x14ac:dyDescent="0.25">
      <c r="B373" s="250"/>
      <c r="C373" s="250"/>
      <c r="D373" s="247"/>
      <c r="E373" s="247"/>
      <c r="F373" s="247"/>
      <c r="G373" s="247"/>
      <c r="H373" s="247"/>
      <c r="I373" s="343"/>
      <c r="J373" s="343"/>
    </row>
    <row r="374" spans="2:10" x14ac:dyDescent="0.25">
      <c r="B374" s="250"/>
      <c r="C374" s="250"/>
      <c r="D374" s="247"/>
      <c r="E374" s="247"/>
      <c r="F374" s="247"/>
      <c r="G374" s="247"/>
      <c r="H374" s="247"/>
      <c r="I374" s="343"/>
      <c r="J374" s="343"/>
    </row>
    <row r="375" spans="2:10" x14ac:dyDescent="0.25">
      <c r="B375" s="250"/>
      <c r="C375" s="250"/>
      <c r="D375" s="247"/>
      <c r="E375" s="247"/>
      <c r="F375" s="247"/>
      <c r="G375" s="247"/>
      <c r="H375" s="247"/>
      <c r="I375" s="343"/>
      <c r="J375" s="343"/>
    </row>
    <row r="376" spans="2:10" x14ac:dyDescent="0.25">
      <c r="B376" s="250"/>
      <c r="C376" s="250"/>
      <c r="D376" s="247"/>
      <c r="E376" s="247"/>
      <c r="F376" s="247"/>
      <c r="G376" s="247"/>
      <c r="H376" s="247"/>
      <c r="I376" s="343"/>
      <c r="J376" s="343"/>
    </row>
    <row r="377" spans="2:10" x14ac:dyDescent="0.25">
      <c r="B377" s="250"/>
      <c r="C377" s="250"/>
      <c r="D377" s="247"/>
      <c r="E377" s="247"/>
      <c r="F377" s="247"/>
      <c r="G377" s="247"/>
      <c r="H377" s="247"/>
      <c r="I377" s="343"/>
      <c r="J377" s="343"/>
    </row>
    <row r="378" spans="2:10" x14ac:dyDescent="0.25">
      <c r="B378" s="250"/>
      <c r="C378" s="250"/>
      <c r="D378" s="247"/>
      <c r="E378" s="247"/>
      <c r="F378" s="247"/>
      <c r="G378" s="247"/>
      <c r="H378" s="247"/>
      <c r="I378" s="343"/>
      <c r="J378" s="343"/>
    </row>
    <row r="379" spans="2:10" x14ac:dyDescent="0.25">
      <c r="B379" s="250"/>
      <c r="C379" s="250"/>
      <c r="D379" s="247"/>
      <c r="E379" s="247"/>
      <c r="F379" s="247"/>
      <c r="G379" s="247"/>
      <c r="H379" s="247"/>
      <c r="I379" s="343"/>
      <c r="J379" s="343"/>
    </row>
    <row r="380" spans="2:10" x14ac:dyDescent="0.25">
      <c r="B380" s="250"/>
      <c r="C380" s="250"/>
      <c r="D380" s="247"/>
      <c r="E380" s="247"/>
      <c r="F380" s="247"/>
      <c r="G380" s="247"/>
      <c r="H380" s="247"/>
      <c r="I380" s="343"/>
      <c r="J380" s="343"/>
    </row>
    <row r="381" spans="2:10" x14ac:dyDescent="0.25">
      <c r="B381" s="250"/>
      <c r="C381" s="250"/>
      <c r="D381" s="247"/>
      <c r="E381" s="247"/>
      <c r="F381" s="247"/>
      <c r="G381" s="247"/>
      <c r="H381" s="247"/>
      <c r="I381" s="343"/>
      <c r="J381" s="343"/>
    </row>
    <row r="382" spans="2:10" x14ac:dyDescent="0.25">
      <c r="B382" s="250"/>
      <c r="C382" s="250"/>
      <c r="D382" s="247"/>
      <c r="E382" s="247"/>
      <c r="F382" s="247"/>
      <c r="G382" s="247"/>
      <c r="H382" s="247"/>
      <c r="I382" s="343"/>
      <c r="J382" s="343"/>
    </row>
    <row r="383" spans="2:10" x14ac:dyDescent="0.25">
      <c r="B383" s="250"/>
      <c r="C383" s="250"/>
      <c r="D383" s="247"/>
      <c r="E383" s="247"/>
      <c r="F383" s="247"/>
      <c r="G383" s="247"/>
      <c r="H383" s="247"/>
      <c r="I383" s="343"/>
      <c r="J383" s="343"/>
    </row>
    <row r="384" spans="2:10" x14ac:dyDescent="0.25">
      <c r="B384" s="250"/>
      <c r="C384" s="250"/>
      <c r="D384" s="247"/>
      <c r="E384" s="247"/>
      <c r="F384" s="247"/>
      <c r="G384" s="247"/>
      <c r="H384" s="247"/>
      <c r="I384" s="343"/>
      <c r="J384" s="343"/>
    </row>
    <row r="385" spans="2:10" x14ac:dyDescent="0.25">
      <c r="B385" s="250"/>
      <c r="C385" s="250"/>
      <c r="D385" s="247"/>
      <c r="E385" s="247"/>
      <c r="F385" s="247"/>
      <c r="G385" s="247"/>
      <c r="H385" s="247"/>
      <c r="I385" s="343"/>
      <c r="J385" s="343"/>
    </row>
    <row r="386" spans="2:10" x14ac:dyDescent="0.25">
      <c r="B386" s="250"/>
      <c r="C386" s="250"/>
      <c r="D386" s="247"/>
      <c r="E386" s="247"/>
      <c r="F386" s="247"/>
      <c r="G386" s="247"/>
      <c r="H386" s="247"/>
      <c r="I386" s="343"/>
      <c r="J386" s="343"/>
    </row>
    <row r="387" spans="2:10" x14ac:dyDescent="0.25">
      <c r="B387" s="250"/>
      <c r="C387" s="250"/>
      <c r="D387" s="247"/>
      <c r="E387" s="247"/>
      <c r="F387" s="247"/>
      <c r="G387" s="247"/>
      <c r="H387" s="247"/>
      <c r="I387" s="343"/>
      <c r="J387" s="343"/>
    </row>
    <row r="388" spans="2:10" x14ac:dyDescent="0.25">
      <c r="B388" s="250"/>
      <c r="C388" s="250"/>
      <c r="D388" s="247"/>
      <c r="E388" s="247"/>
      <c r="F388" s="247"/>
      <c r="G388" s="247"/>
      <c r="H388" s="247"/>
      <c r="I388" s="343"/>
      <c r="J388" s="343"/>
    </row>
    <row r="389" spans="2:10" x14ac:dyDescent="0.25">
      <c r="B389" s="250"/>
      <c r="C389" s="250"/>
      <c r="D389" s="247"/>
      <c r="E389" s="247"/>
      <c r="F389" s="247"/>
      <c r="G389" s="247"/>
      <c r="H389" s="247"/>
      <c r="I389" s="343"/>
      <c r="J389" s="343"/>
    </row>
    <row r="390" spans="2:10" x14ac:dyDescent="0.25">
      <c r="B390" s="250"/>
      <c r="C390" s="250"/>
      <c r="D390" s="247"/>
      <c r="E390" s="247"/>
      <c r="F390" s="247"/>
      <c r="G390" s="247"/>
      <c r="H390" s="247"/>
      <c r="I390" s="343"/>
      <c r="J390" s="343"/>
    </row>
    <row r="391" spans="2:10" x14ac:dyDescent="0.25">
      <c r="B391" s="250"/>
      <c r="C391" s="250"/>
      <c r="D391" s="247"/>
      <c r="E391" s="247"/>
      <c r="F391" s="247"/>
      <c r="G391" s="247"/>
      <c r="H391" s="247"/>
      <c r="I391" s="343"/>
      <c r="J391" s="343"/>
    </row>
    <row r="392" spans="2:10" x14ac:dyDescent="0.25">
      <c r="B392" s="250"/>
      <c r="C392" s="250"/>
      <c r="D392" s="247"/>
      <c r="E392" s="247"/>
      <c r="F392" s="247"/>
      <c r="G392" s="247"/>
      <c r="H392" s="247"/>
      <c r="I392" s="343"/>
      <c r="J392" s="343"/>
    </row>
    <row r="393" spans="2:10" x14ac:dyDescent="0.25">
      <c r="B393" s="250"/>
      <c r="C393" s="250"/>
      <c r="D393" s="247"/>
      <c r="E393" s="247"/>
      <c r="F393" s="247"/>
      <c r="G393" s="247"/>
      <c r="H393" s="247"/>
      <c r="I393" s="343"/>
      <c r="J393" s="343"/>
    </row>
    <row r="394" spans="2:10" x14ac:dyDescent="0.25">
      <c r="B394" s="250"/>
      <c r="C394" s="250"/>
      <c r="D394" s="247"/>
      <c r="E394" s="247"/>
      <c r="F394" s="247"/>
      <c r="G394" s="247"/>
      <c r="H394" s="247"/>
      <c r="I394" s="343"/>
      <c r="J394" s="343"/>
    </row>
    <row r="395" spans="2:10" x14ac:dyDescent="0.25">
      <c r="B395" s="250"/>
      <c r="C395" s="250"/>
      <c r="D395" s="247"/>
      <c r="E395" s="247"/>
      <c r="F395" s="247"/>
      <c r="G395" s="247"/>
      <c r="H395" s="247"/>
      <c r="I395" s="343"/>
      <c r="J395" s="343"/>
    </row>
    <row r="396" spans="2:10" x14ac:dyDescent="0.25">
      <c r="B396" s="250"/>
      <c r="C396" s="250"/>
      <c r="D396" s="247"/>
      <c r="E396" s="247"/>
      <c r="F396" s="247"/>
      <c r="G396" s="247"/>
      <c r="H396" s="247"/>
      <c r="I396" s="343"/>
      <c r="J396" s="343"/>
    </row>
    <row r="397" spans="2:10" x14ac:dyDescent="0.25">
      <c r="B397" s="250"/>
      <c r="C397" s="250"/>
      <c r="D397" s="247"/>
      <c r="E397" s="247"/>
      <c r="F397" s="247"/>
      <c r="G397" s="247"/>
      <c r="H397" s="247"/>
      <c r="I397" s="343"/>
      <c r="J397" s="343"/>
    </row>
    <row r="398" spans="2:10" x14ac:dyDescent="0.25">
      <c r="B398" s="250"/>
      <c r="C398" s="250"/>
      <c r="D398" s="247"/>
      <c r="E398" s="247"/>
      <c r="F398" s="247"/>
      <c r="G398" s="247"/>
      <c r="H398" s="247"/>
      <c r="I398" s="343"/>
      <c r="J398" s="343"/>
    </row>
    <row r="399" spans="2:10" x14ac:dyDescent="0.25">
      <c r="B399" s="250"/>
      <c r="C399" s="250"/>
      <c r="D399" s="247"/>
      <c r="E399" s="247"/>
      <c r="F399" s="247"/>
      <c r="G399" s="247"/>
      <c r="H399" s="247"/>
      <c r="I399" s="343"/>
      <c r="J399" s="343"/>
    </row>
    <row r="400" spans="2:10" x14ac:dyDescent="0.25">
      <c r="B400" s="250"/>
      <c r="C400" s="250"/>
      <c r="D400" s="247"/>
      <c r="E400" s="247"/>
      <c r="F400" s="247"/>
      <c r="G400" s="247"/>
      <c r="H400" s="247"/>
      <c r="I400" s="343"/>
      <c r="J400" s="343"/>
    </row>
    <row r="401" spans="2:10" x14ac:dyDescent="0.25">
      <c r="B401" s="250"/>
      <c r="C401" s="250"/>
      <c r="D401" s="247"/>
      <c r="E401" s="247"/>
      <c r="F401" s="247"/>
      <c r="G401" s="247"/>
      <c r="H401" s="247"/>
      <c r="I401" s="343"/>
      <c r="J401" s="343"/>
    </row>
    <row r="402" spans="2:10" x14ac:dyDescent="0.25">
      <c r="B402" s="250"/>
      <c r="C402" s="250"/>
      <c r="D402" s="247"/>
      <c r="E402" s="247"/>
      <c r="F402" s="247"/>
      <c r="G402" s="247"/>
      <c r="H402" s="247"/>
      <c r="I402" s="343"/>
      <c r="J402" s="343"/>
    </row>
    <row r="403" spans="2:10" x14ac:dyDescent="0.25">
      <c r="B403" s="250"/>
      <c r="C403" s="250"/>
      <c r="D403" s="247"/>
      <c r="E403" s="247"/>
      <c r="F403" s="247"/>
      <c r="G403" s="247"/>
      <c r="H403" s="247"/>
      <c r="I403" s="343"/>
      <c r="J403" s="343"/>
    </row>
    <row r="404" spans="2:10" x14ac:dyDescent="0.25">
      <c r="B404" s="250"/>
      <c r="C404" s="250"/>
      <c r="D404" s="247"/>
      <c r="E404" s="247"/>
      <c r="F404" s="247"/>
      <c r="G404" s="247"/>
      <c r="H404" s="247"/>
      <c r="I404" s="343"/>
      <c r="J404" s="343"/>
    </row>
    <row r="405" spans="2:10" x14ac:dyDescent="0.25">
      <c r="B405" s="250"/>
      <c r="C405" s="250"/>
      <c r="D405" s="247"/>
      <c r="E405" s="247"/>
      <c r="F405" s="247"/>
      <c r="G405" s="247"/>
      <c r="H405" s="247"/>
      <c r="I405" s="343"/>
      <c r="J405" s="343"/>
    </row>
    <row r="406" spans="2:10" x14ac:dyDescent="0.25">
      <c r="B406" s="250"/>
      <c r="C406" s="250"/>
      <c r="D406" s="247"/>
      <c r="E406" s="247"/>
      <c r="F406" s="247"/>
      <c r="G406" s="247"/>
      <c r="H406" s="247"/>
      <c r="I406" s="343"/>
      <c r="J406" s="343"/>
    </row>
    <row r="407" spans="2:10" x14ac:dyDescent="0.25">
      <c r="B407" s="250"/>
      <c r="C407" s="250"/>
      <c r="D407" s="247"/>
      <c r="E407" s="247"/>
      <c r="F407" s="247"/>
      <c r="G407" s="247"/>
      <c r="H407" s="247"/>
      <c r="I407" s="343"/>
      <c r="J407" s="343"/>
    </row>
    <row r="408" spans="2:10" x14ac:dyDescent="0.25">
      <c r="B408" s="250"/>
      <c r="C408" s="250"/>
      <c r="D408" s="247"/>
      <c r="E408" s="247"/>
      <c r="F408" s="247"/>
      <c r="G408" s="247"/>
      <c r="H408" s="247"/>
      <c r="I408" s="343"/>
      <c r="J408" s="343"/>
    </row>
    <row r="409" spans="2:10" x14ac:dyDescent="0.25">
      <c r="B409" s="250"/>
      <c r="C409" s="250"/>
      <c r="D409" s="247"/>
      <c r="E409" s="247"/>
      <c r="F409" s="247"/>
      <c r="G409" s="247"/>
      <c r="H409" s="247"/>
      <c r="I409" s="343"/>
      <c r="J409" s="343"/>
    </row>
    <row r="410" spans="2:10" x14ac:dyDescent="0.25">
      <c r="B410" s="250"/>
      <c r="C410" s="250"/>
      <c r="D410" s="247"/>
      <c r="E410" s="247"/>
      <c r="F410" s="247"/>
      <c r="G410" s="247"/>
      <c r="H410" s="247"/>
      <c r="I410" s="343"/>
      <c r="J410" s="343"/>
    </row>
    <row r="411" spans="2:10" x14ac:dyDescent="0.25">
      <c r="B411" s="250"/>
      <c r="C411" s="250"/>
      <c r="D411" s="247"/>
      <c r="E411" s="247"/>
      <c r="F411" s="247"/>
      <c r="G411" s="247"/>
      <c r="H411" s="247"/>
      <c r="I411" s="343"/>
      <c r="J411" s="343"/>
    </row>
    <row r="412" spans="2:10" x14ac:dyDescent="0.25">
      <c r="B412" s="250"/>
      <c r="C412" s="250"/>
      <c r="D412" s="247"/>
      <c r="E412" s="247"/>
      <c r="F412" s="247"/>
      <c r="G412" s="247"/>
      <c r="H412" s="247"/>
      <c r="I412" s="343"/>
      <c r="J412" s="343"/>
    </row>
    <row r="413" spans="2:10" x14ac:dyDescent="0.25">
      <c r="B413" s="250"/>
      <c r="C413" s="250"/>
      <c r="D413" s="247"/>
      <c r="E413" s="247"/>
      <c r="F413" s="247"/>
      <c r="G413" s="247"/>
      <c r="H413" s="247"/>
      <c r="I413" s="343"/>
      <c r="J413" s="343"/>
    </row>
    <row r="414" spans="2:10" x14ac:dyDescent="0.25">
      <c r="B414" s="250"/>
      <c r="C414" s="250"/>
      <c r="D414" s="247"/>
      <c r="E414" s="247"/>
      <c r="F414" s="247"/>
      <c r="G414" s="247"/>
      <c r="H414" s="247"/>
      <c r="I414" s="343"/>
      <c r="J414" s="343"/>
    </row>
    <row r="415" spans="2:10" x14ac:dyDescent="0.25">
      <c r="B415" s="250"/>
      <c r="C415" s="250"/>
      <c r="D415" s="247"/>
      <c r="E415" s="247"/>
      <c r="F415" s="247"/>
      <c r="G415" s="247"/>
      <c r="H415" s="247"/>
      <c r="I415" s="343"/>
      <c r="J415" s="343"/>
    </row>
    <row r="416" spans="2:10" x14ac:dyDescent="0.25">
      <c r="B416" s="250"/>
      <c r="C416" s="250"/>
      <c r="D416" s="247"/>
      <c r="E416" s="247"/>
      <c r="F416" s="247"/>
      <c r="G416" s="247"/>
      <c r="H416" s="247"/>
      <c r="I416" s="343"/>
      <c r="J416" s="343"/>
    </row>
    <row r="417" spans="2:10" x14ac:dyDescent="0.25">
      <c r="B417" s="250"/>
      <c r="C417" s="250"/>
      <c r="D417" s="247"/>
      <c r="E417" s="247"/>
      <c r="F417" s="247"/>
      <c r="G417" s="247"/>
      <c r="H417" s="247"/>
      <c r="I417" s="343"/>
      <c r="J417" s="343"/>
    </row>
    <row r="418" spans="2:10" x14ac:dyDescent="0.25">
      <c r="B418" s="250"/>
      <c r="C418" s="250"/>
      <c r="D418" s="247"/>
      <c r="E418" s="247"/>
      <c r="F418" s="247"/>
      <c r="G418" s="247"/>
      <c r="H418" s="247"/>
      <c r="I418" s="343"/>
      <c r="J418" s="343"/>
    </row>
    <row r="419" spans="2:10" x14ac:dyDescent="0.25">
      <c r="B419" s="250"/>
      <c r="C419" s="250"/>
      <c r="D419" s="247"/>
      <c r="E419" s="247"/>
      <c r="F419" s="247"/>
      <c r="G419" s="247"/>
      <c r="H419" s="247"/>
      <c r="I419" s="343"/>
      <c r="J419" s="343"/>
    </row>
    <row r="420" spans="2:10" x14ac:dyDescent="0.25">
      <c r="B420" s="250"/>
      <c r="C420" s="250"/>
      <c r="D420" s="247"/>
      <c r="E420" s="247"/>
      <c r="F420" s="247"/>
      <c r="G420" s="247"/>
      <c r="H420" s="247"/>
      <c r="I420" s="343"/>
      <c r="J420" s="343"/>
    </row>
    <row r="421" spans="2:10" x14ac:dyDescent="0.25">
      <c r="B421" s="250"/>
      <c r="C421" s="250"/>
      <c r="D421" s="247"/>
      <c r="E421" s="247"/>
      <c r="F421" s="247"/>
      <c r="G421" s="247"/>
      <c r="H421" s="247"/>
      <c r="I421" s="343"/>
      <c r="J421" s="343"/>
    </row>
    <row r="422" spans="2:10" x14ac:dyDescent="0.25">
      <c r="B422" s="250"/>
      <c r="C422" s="250"/>
      <c r="D422" s="247"/>
      <c r="E422" s="247"/>
      <c r="F422" s="247"/>
      <c r="G422" s="247"/>
      <c r="H422" s="247"/>
      <c r="I422" s="343"/>
      <c r="J422" s="343"/>
    </row>
    <row r="423" spans="2:10" x14ac:dyDescent="0.25">
      <c r="B423" s="250"/>
      <c r="C423" s="250"/>
      <c r="D423" s="247"/>
      <c r="E423" s="247"/>
      <c r="F423" s="247"/>
      <c r="G423" s="247"/>
      <c r="H423" s="247"/>
      <c r="I423" s="343"/>
      <c r="J423" s="343"/>
    </row>
    <row r="424" spans="2:10" x14ac:dyDescent="0.25">
      <c r="B424" s="250"/>
      <c r="C424" s="250"/>
      <c r="D424" s="247"/>
      <c r="E424" s="247"/>
      <c r="F424" s="247"/>
      <c r="G424" s="247"/>
      <c r="H424" s="247"/>
      <c r="I424" s="343"/>
      <c r="J424" s="343"/>
    </row>
    <row r="425" spans="2:10" x14ac:dyDescent="0.25">
      <c r="B425" s="250"/>
      <c r="C425" s="250"/>
      <c r="D425" s="247"/>
      <c r="E425" s="247"/>
      <c r="F425" s="247"/>
      <c r="G425" s="247"/>
      <c r="H425" s="247"/>
      <c r="I425" s="343"/>
      <c r="J425" s="343"/>
    </row>
    <row r="426" spans="2:10" x14ac:dyDescent="0.25">
      <c r="B426" s="250"/>
      <c r="C426" s="250"/>
      <c r="D426" s="247"/>
      <c r="E426" s="247"/>
      <c r="F426" s="247"/>
      <c r="G426" s="247"/>
      <c r="H426" s="247"/>
      <c r="I426" s="343"/>
      <c r="J426" s="343"/>
    </row>
    <row r="427" spans="2:10" x14ac:dyDescent="0.25">
      <c r="B427" s="250"/>
      <c r="C427" s="250"/>
      <c r="D427" s="247"/>
      <c r="E427" s="247"/>
      <c r="F427" s="247"/>
      <c r="G427" s="247"/>
      <c r="H427" s="247"/>
      <c r="I427" s="343"/>
      <c r="J427" s="343"/>
    </row>
    <row r="428" spans="2:10" x14ac:dyDescent="0.25">
      <c r="B428" s="250"/>
      <c r="C428" s="250"/>
      <c r="D428" s="247"/>
      <c r="E428" s="247"/>
      <c r="F428" s="247"/>
      <c r="G428" s="247"/>
      <c r="H428" s="247"/>
      <c r="I428" s="343"/>
      <c r="J428" s="343"/>
    </row>
    <row r="429" spans="2:10" x14ac:dyDescent="0.25">
      <c r="B429" s="250"/>
      <c r="C429" s="250"/>
      <c r="D429" s="247"/>
      <c r="E429" s="247"/>
      <c r="F429" s="247"/>
      <c r="G429" s="247"/>
      <c r="H429" s="247"/>
      <c r="I429" s="343"/>
      <c r="J429" s="343"/>
    </row>
    <row r="430" spans="2:10" x14ac:dyDescent="0.25">
      <c r="B430" s="250"/>
      <c r="C430" s="250"/>
      <c r="D430" s="247"/>
      <c r="E430" s="247"/>
      <c r="F430" s="247"/>
      <c r="G430" s="247"/>
      <c r="H430" s="247"/>
      <c r="I430" s="343"/>
      <c r="J430" s="343"/>
    </row>
    <row r="431" spans="2:10" x14ac:dyDescent="0.25">
      <c r="B431" s="250"/>
      <c r="C431" s="250"/>
      <c r="D431" s="247"/>
      <c r="E431" s="247"/>
      <c r="F431" s="247"/>
      <c r="G431" s="247"/>
      <c r="H431" s="247"/>
      <c r="I431" s="343"/>
      <c r="J431" s="343"/>
    </row>
    <row r="432" spans="2:10" x14ac:dyDescent="0.25">
      <c r="B432" s="250"/>
      <c r="C432" s="250"/>
      <c r="D432" s="247"/>
      <c r="E432" s="247"/>
      <c r="F432" s="247"/>
      <c r="G432" s="247"/>
      <c r="H432" s="247"/>
      <c r="I432" s="343"/>
      <c r="J432" s="343"/>
    </row>
    <row r="433" spans="2:10" x14ac:dyDescent="0.25">
      <c r="B433" s="250"/>
      <c r="C433" s="250"/>
      <c r="D433" s="247"/>
      <c r="E433" s="247"/>
      <c r="F433" s="247"/>
      <c r="G433" s="247"/>
      <c r="H433" s="247"/>
      <c r="I433" s="343"/>
      <c r="J433" s="343"/>
    </row>
    <row r="434" spans="2:10" x14ac:dyDescent="0.25">
      <c r="B434" s="250"/>
      <c r="C434" s="250"/>
      <c r="D434" s="247"/>
      <c r="E434" s="247"/>
      <c r="F434" s="247"/>
      <c r="G434" s="247"/>
      <c r="H434" s="247"/>
      <c r="I434" s="343"/>
      <c r="J434" s="343"/>
    </row>
    <row r="435" spans="2:10" x14ac:dyDescent="0.25">
      <c r="B435" s="250"/>
      <c r="C435" s="250"/>
      <c r="D435" s="247"/>
      <c r="E435" s="247"/>
      <c r="F435" s="247"/>
      <c r="G435" s="247"/>
      <c r="H435" s="247"/>
      <c r="I435" s="343"/>
      <c r="J435" s="343"/>
    </row>
    <row r="436" spans="2:10" x14ac:dyDescent="0.25">
      <c r="B436" s="250"/>
      <c r="C436" s="250"/>
      <c r="D436" s="247"/>
      <c r="E436" s="247"/>
      <c r="F436" s="247"/>
      <c r="G436" s="247"/>
      <c r="H436" s="247"/>
      <c r="I436" s="343"/>
      <c r="J436" s="343"/>
    </row>
    <row r="437" spans="2:10" x14ac:dyDescent="0.25">
      <c r="B437" s="250"/>
      <c r="C437" s="250"/>
      <c r="D437" s="247"/>
      <c r="E437" s="247"/>
      <c r="F437" s="247"/>
      <c r="G437" s="247"/>
      <c r="H437" s="247"/>
      <c r="I437" s="343"/>
      <c r="J437" s="343"/>
    </row>
    <row r="438" spans="2:10" x14ac:dyDescent="0.25">
      <c r="B438" s="250"/>
      <c r="C438" s="250"/>
      <c r="D438" s="247"/>
      <c r="E438" s="247"/>
      <c r="F438" s="247"/>
      <c r="G438" s="247"/>
      <c r="H438" s="247"/>
      <c r="I438" s="343"/>
      <c r="J438" s="343"/>
    </row>
    <row r="439" spans="2:10" x14ac:dyDescent="0.25">
      <c r="B439" s="250"/>
      <c r="C439" s="250"/>
      <c r="D439" s="247"/>
      <c r="E439" s="247"/>
      <c r="F439" s="247"/>
      <c r="G439" s="247"/>
      <c r="H439" s="247"/>
      <c r="I439" s="343"/>
      <c r="J439" s="343"/>
    </row>
    <row r="440" spans="2:10" x14ac:dyDescent="0.25">
      <c r="B440" s="250"/>
      <c r="C440" s="250"/>
      <c r="D440" s="247"/>
      <c r="E440" s="247"/>
      <c r="F440" s="247"/>
      <c r="G440" s="247"/>
      <c r="H440" s="247"/>
      <c r="I440" s="343"/>
      <c r="J440" s="343"/>
    </row>
    <row r="441" spans="2:10" x14ac:dyDescent="0.25">
      <c r="B441" s="250"/>
      <c r="C441" s="250"/>
      <c r="D441" s="247"/>
      <c r="E441" s="247"/>
      <c r="F441" s="247"/>
      <c r="G441" s="247"/>
      <c r="H441" s="247"/>
      <c r="I441" s="343"/>
      <c r="J441" s="343"/>
    </row>
    <row r="442" spans="2:10" x14ac:dyDescent="0.25">
      <c r="B442" s="250"/>
      <c r="C442" s="250"/>
      <c r="D442" s="247"/>
      <c r="E442" s="247"/>
      <c r="F442" s="247"/>
      <c r="G442" s="247"/>
      <c r="H442" s="247"/>
      <c r="I442" s="343"/>
      <c r="J442" s="343"/>
    </row>
    <row r="443" spans="2:10" x14ac:dyDescent="0.25">
      <c r="B443" s="250"/>
      <c r="C443" s="250"/>
      <c r="D443" s="247"/>
      <c r="E443" s="247"/>
      <c r="F443" s="247"/>
      <c r="G443" s="247"/>
      <c r="H443" s="247"/>
      <c r="I443" s="343"/>
      <c r="J443" s="343"/>
    </row>
    <row r="444" spans="2:10" x14ac:dyDescent="0.25">
      <c r="B444" s="250"/>
      <c r="C444" s="250"/>
      <c r="D444" s="247"/>
      <c r="E444" s="247"/>
      <c r="F444" s="247"/>
      <c r="G444" s="247"/>
      <c r="H444" s="247"/>
      <c r="I444" s="343"/>
      <c r="J444" s="343"/>
    </row>
    <row r="445" spans="2:10" x14ac:dyDescent="0.25">
      <c r="B445" s="250"/>
      <c r="C445" s="250"/>
      <c r="D445" s="247"/>
      <c r="E445" s="247"/>
      <c r="F445" s="247"/>
      <c r="G445" s="247"/>
      <c r="H445" s="247"/>
      <c r="I445" s="343"/>
      <c r="J445" s="343"/>
    </row>
    <row r="446" spans="2:10" x14ac:dyDescent="0.25">
      <c r="B446" s="250"/>
      <c r="C446" s="250"/>
      <c r="D446" s="247"/>
      <c r="E446" s="247"/>
      <c r="F446" s="247"/>
      <c r="G446" s="247"/>
      <c r="H446" s="247"/>
      <c r="I446" s="343"/>
      <c r="J446" s="343"/>
    </row>
    <row r="447" spans="2:10" x14ac:dyDescent="0.25">
      <c r="B447" s="250"/>
      <c r="C447" s="250"/>
      <c r="D447" s="247"/>
      <c r="E447" s="247"/>
      <c r="F447" s="247"/>
      <c r="G447" s="247"/>
      <c r="H447" s="247"/>
      <c r="I447" s="343"/>
      <c r="J447" s="343"/>
    </row>
    <row r="448" spans="2:10" x14ac:dyDescent="0.25">
      <c r="B448" s="250"/>
      <c r="C448" s="250"/>
      <c r="D448" s="247"/>
      <c r="E448" s="247"/>
      <c r="F448" s="247"/>
      <c r="G448" s="247"/>
      <c r="H448" s="247"/>
      <c r="I448" s="343"/>
      <c r="J448" s="343"/>
    </row>
    <row r="449" spans="2:10" x14ac:dyDescent="0.25">
      <c r="B449" s="250"/>
      <c r="C449" s="250"/>
      <c r="D449" s="247"/>
      <c r="E449" s="247"/>
      <c r="F449" s="247"/>
      <c r="G449" s="247"/>
      <c r="H449" s="247"/>
      <c r="I449" s="343"/>
      <c r="J449" s="343"/>
    </row>
    <row r="450" spans="2:10" x14ac:dyDescent="0.25">
      <c r="B450" s="250"/>
      <c r="C450" s="250"/>
      <c r="D450" s="247"/>
      <c r="E450" s="247"/>
      <c r="F450" s="247"/>
      <c r="G450" s="247"/>
      <c r="H450" s="247"/>
      <c r="I450" s="343"/>
      <c r="J450" s="343"/>
    </row>
    <row r="451" spans="2:10" x14ac:dyDescent="0.25">
      <c r="B451" s="250"/>
      <c r="C451" s="250"/>
      <c r="D451" s="247"/>
      <c r="E451" s="247"/>
      <c r="F451" s="247"/>
      <c r="G451" s="247"/>
      <c r="H451" s="247"/>
      <c r="I451" s="343"/>
      <c r="J451" s="343"/>
    </row>
  </sheetData>
  <autoFilter ref="B1:H1" xr:uid="{00000000-0001-0000-0000-000000000000}"/>
  <conditionalFormatting sqref="F2:F9989">
    <cfRule type="cellIs" dxfId="58" priority="4" operator="equal">
      <formula>"WARNING"</formula>
    </cfRule>
    <cfRule type="cellIs" dxfId="57" priority="5" operator="equal">
      <formula>"REQ"</formula>
    </cfRule>
    <cfRule type="cellIs" dxfId="56" priority="9" operator="equal">
      <formula>"INC"</formula>
    </cfRule>
  </conditionalFormatting>
  <conditionalFormatting sqref="F1">
    <cfRule type="cellIs" dxfId="55" priority="1" operator="equal">
      <formula>"WARNING"</formula>
    </cfRule>
    <cfRule type="cellIs" dxfId="54" priority="2" operator="equal">
      <formula>"REQ"</formula>
    </cfRule>
    <cfRule type="cellIs" dxfId="53" priority="3" operator="equal">
      <formula>"INC"</formula>
    </cfRule>
  </conditionalFormatting>
  <pageMargins left="0.3" right="0.3" top="0.3" bottom="0.3" header="0" footer="0"/>
  <pageSetup scale="53" fitToHeight="0"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B5CF-0707-4E2D-A88E-77D720BE4DA7}">
  <sheetPr codeName="Hoja6">
    <tabColor rgb="FFFF0000"/>
    <pageSetUpPr fitToPage="1"/>
  </sheetPr>
  <dimension ref="A1:O481"/>
  <sheetViews>
    <sheetView showGridLines="0" zoomScale="90" zoomScaleNormal="90" workbookViewId="0">
      <pane ySplit="1" topLeftCell="A348" activePane="bottomLeft" state="frozen"/>
      <selection pane="bottomLeft" activeCell="B1" sqref="B1:J1"/>
    </sheetView>
  </sheetViews>
  <sheetFormatPr baseColWidth="10" defaultColWidth="11" defaultRowHeight="15.75" x14ac:dyDescent="0.25"/>
  <cols>
    <col min="1" max="1" width="3.375" style="218" customWidth="1"/>
    <col min="2" max="2" width="10.5" style="230" customWidth="1"/>
    <col min="3" max="3" width="8.625" style="230" customWidth="1"/>
    <col min="4" max="4" width="16.125" style="219" customWidth="1"/>
    <col min="5" max="5" width="9.875" style="219" customWidth="1"/>
    <col min="6" max="6" width="15.125" style="89" bestFit="1" customWidth="1"/>
    <col min="7" max="7" width="61.75" style="219" customWidth="1"/>
    <col min="8" max="8" width="102.5" style="219" customWidth="1"/>
    <col min="9" max="9" width="20.375" style="230" customWidth="1"/>
    <col min="10" max="10" width="11.25" style="230" bestFit="1" customWidth="1"/>
    <col min="11" max="11" width="9.875" style="218" customWidth="1"/>
    <col min="12" max="15" width="11" style="218" customWidth="1"/>
    <col min="16" max="16" width="11" style="219" customWidth="1"/>
    <col min="17" max="16384" width="11" style="219"/>
  </cols>
  <sheetData>
    <row r="1" spans="2:11" ht="47.25" x14ac:dyDescent="0.25">
      <c r="B1" s="8" t="s">
        <v>16</v>
      </c>
      <c r="C1" s="8" t="s">
        <v>17</v>
      </c>
      <c r="D1" s="8" t="s">
        <v>18</v>
      </c>
      <c r="E1" s="8" t="s">
        <v>19</v>
      </c>
      <c r="F1" s="8" t="s">
        <v>20</v>
      </c>
      <c r="G1" s="8" t="s">
        <v>21</v>
      </c>
      <c r="H1" s="8" t="s">
        <v>22</v>
      </c>
      <c r="I1" s="280" t="s">
        <v>3266</v>
      </c>
      <c r="J1" s="280" t="s">
        <v>3269</v>
      </c>
      <c r="K1" s="218" t="s">
        <v>1695</v>
      </c>
    </row>
    <row r="2" spans="2:11" customFormat="1" x14ac:dyDescent="0.25">
      <c r="B2" s="209">
        <v>45747</v>
      </c>
      <c r="C2" s="208">
        <f t="shared" ref="C2" si="0">IF(B2&lt;&gt;"",B2,"")</f>
        <v>45747</v>
      </c>
      <c r="D2" s="5" t="s">
        <v>332</v>
      </c>
      <c r="E2" s="5" t="s">
        <v>1696</v>
      </c>
      <c r="F2" s="19" t="s">
        <v>6</v>
      </c>
      <c r="G2" s="5" t="s">
        <v>1697</v>
      </c>
      <c r="H2" s="5"/>
      <c r="I2" s="230"/>
      <c r="J2" s="230"/>
    </row>
    <row r="3" spans="2:11" customFormat="1" x14ac:dyDescent="0.25">
      <c r="B3" s="209">
        <v>45749</v>
      </c>
      <c r="C3" s="210">
        <v>45748</v>
      </c>
      <c r="D3" s="163" t="s">
        <v>332</v>
      </c>
      <c r="E3" s="163" t="s">
        <v>1696</v>
      </c>
      <c r="F3" s="89" t="s">
        <v>6</v>
      </c>
      <c r="G3" s="163" t="s">
        <v>1698</v>
      </c>
      <c r="H3" s="163" t="s">
        <v>362</v>
      </c>
      <c r="I3" s="281"/>
      <c r="J3" s="281"/>
      <c r="K3" s="54"/>
    </row>
    <row r="4" spans="2:11" customFormat="1" x14ac:dyDescent="0.25">
      <c r="B4" s="211">
        <v>45750</v>
      </c>
      <c r="C4" s="212">
        <v>45748</v>
      </c>
      <c r="D4" s="134" t="s">
        <v>332</v>
      </c>
      <c r="E4" s="134" t="s">
        <v>1696</v>
      </c>
      <c r="F4" s="89" t="s">
        <v>6</v>
      </c>
      <c r="G4" s="134" t="s">
        <v>1699</v>
      </c>
      <c r="H4" s="134" t="s">
        <v>362</v>
      </c>
      <c r="I4" s="281"/>
      <c r="J4" s="281"/>
      <c r="K4" s="54"/>
    </row>
    <row r="5" spans="2:11" customFormat="1" x14ac:dyDescent="0.25">
      <c r="B5" s="211">
        <v>45751</v>
      </c>
      <c r="C5" s="212">
        <v>45748</v>
      </c>
      <c r="D5" s="134" t="s">
        <v>1700</v>
      </c>
      <c r="E5" s="134" t="s">
        <v>1696</v>
      </c>
      <c r="F5" s="213" t="s">
        <v>4</v>
      </c>
      <c r="G5" s="134" t="s">
        <v>1701</v>
      </c>
      <c r="H5" s="134" t="s">
        <v>1702</v>
      </c>
      <c r="I5" s="281"/>
      <c r="J5" s="281"/>
      <c r="K5" s="54"/>
    </row>
    <row r="6" spans="2:11" customFormat="1" x14ac:dyDescent="0.25">
      <c r="B6" s="214">
        <v>45754</v>
      </c>
      <c r="C6" s="212">
        <v>45748</v>
      </c>
      <c r="D6" s="134" t="s">
        <v>1700</v>
      </c>
      <c r="E6" s="134" t="s">
        <v>1696</v>
      </c>
      <c r="F6" s="89" t="s">
        <v>6</v>
      </c>
      <c r="G6" s="134" t="s">
        <v>1703</v>
      </c>
      <c r="H6" s="134" t="s">
        <v>1704</v>
      </c>
      <c r="I6" s="281"/>
      <c r="J6" s="281"/>
      <c r="K6" s="215">
        <v>2</v>
      </c>
    </row>
    <row r="7" spans="2:11" customFormat="1" x14ac:dyDescent="0.25">
      <c r="B7" s="164">
        <v>45755</v>
      </c>
      <c r="C7" s="212">
        <v>45748</v>
      </c>
      <c r="D7" s="134" t="s">
        <v>1705</v>
      </c>
      <c r="E7" s="134" t="s">
        <v>1696</v>
      </c>
      <c r="F7" s="216" t="s">
        <v>4</v>
      </c>
      <c r="G7" s="134" t="s">
        <v>1706</v>
      </c>
      <c r="H7" s="134" t="s">
        <v>1707</v>
      </c>
      <c r="I7" s="281"/>
      <c r="J7" s="281"/>
      <c r="K7" s="54"/>
    </row>
    <row r="8" spans="2:11" customFormat="1" ht="63" x14ac:dyDescent="0.25">
      <c r="B8" s="164">
        <v>45755</v>
      </c>
      <c r="C8" s="212">
        <v>45748</v>
      </c>
      <c r="D8" s="134" t="s">
        <v>1708</v>
      </c>
      <c r="E8" s="134" t="s">
        <v>1696</v>
      </c>
      <c r="F8" s="216" t="s">
        <v>4</v>
      </c>
      <c r="G8" s="217" t="s">
        <v>1709</v>
      </c>
      <c r="H8" s="217" t="s">
        <v>1710</v>
      </c>
      <c r="I8" s="282"/>
      <c r="J8" s="282"/>
      <c r="K8" s="54"/>
    </row>
    <row r="9" spans="2:11" customFormat="1" x14ac:dyDescent="0.25">
      <c r="B9" s="164">
        <v>45755</v>
      </c>
      <c r="C9" s="212">
        <v>45748</v>
      </c>
      <c r="D9" s="134" t="s">
        <v>1711</v>
      </c>
      <c r="E9" s="134" t="s">
        <v>1696</v>
      </c>
      <c r="F9" s="89" t="s">
        <v>6</v>
      </c>
      <c r="G9" s="134" t="s">
        <v>1712</v>
      </c>
      <c r="H9" s="134" t="s">
        <v>1713</v>
      </c>
      <c r="I9" s="281"/>
      <c r="J9" s="281"/>
      <c r="K9" s="54"/>
    </row>
    <row r="10" spans="2:11" customFormat="1" x14ac:dyDescent="0.25">
      <c r="B10" s="164">
        <v>45757</v>
      </c>
      <c r="C10" s="212">
        <v>45748</v>
      </c>
      <c r="D10" s="134" t="s">
        <v>1711</v>
      </c>
      <c r="E10" s="134" t="s">
        <v>1696</v>
      </c>
      <c r="F10" s="89" t="s">
        <v>6</v>
      </c>
      <c r="G10" s="134" t="s">
        <v>1714</v>
      </c>
      <c r="H10" s="134" t="s">
        <v>1715</v>
      </c>
      <c r="I10" s="281"/>
      <c r="J10" s="281"/>
      <c r="K10" s="54"/>
    </row>
    <row r="11" spans="2:11" customFormat="1" x14ac:dyDescent="0.25">
      <c r="B11" s="164">
        <v>45758</v>
      </c>
      <c r="C11" s="212">
        <v>45748</v>
      </c>
      <c r="D11" s="134" t="s">
        <v>1711</v>
      </c>
      <c r="E11" s="134" t="s">
        <v>1696</v>
      </c>
      <c r="F11" s="89" t="s">
        <v>6</v>
      </c>
      <c r="G11" s="134" t="s">
        <v>1712</v>
      </c>
      <c r="H11" s="134" t="s">
        <v>1713</v>
      </c>
      <c r="I11" s="281"/>
      <c r="J11" s="281"/>
      <c r="K11" s="54"/>
    </row>
    <row r="12" spans="2:11" x14ac:dyDescent="0.25">
      <c r="B12" s="164">
        <v>45758</v>
      </c>
      <c r="C12" s="212">
        <v>45748</v>
      </c>
      <c r="D12" s="134" t="s">
        <v>1711</v>
      </c>
      <c r="E12" s="134" t="s">
        <v>1696</v>
      </c>
      <c r="F12" s="89" t="s">
        <v>6</v>
      </c>
      <c r="G12" s="134" t="s">
        <v>1714</v>
      </c>
      <c r="H12" s="134" t="s">
        <v>1715</v>
      </c>
      <c r="I12" s="281"/>
      <c r="J12" s="281"/>
      <c r="K12" s="54"/>
    </row>
    <row r="13" spans="2:11" x14ac:dyDescent="0.25">
      <c r="B13" s="164">
        <v>45762</v>
      </c>
      <c r="C13" s="212">
        <v>45748</v>
      </c>
      <c r="D13" s="134" t="s">
        <v>1705</v>
      </c>
      <c r="E13" s="134" t="s">
        <v>1696</v>
      </c>
      <c r="F13" s="216" t="s">
        <v>4</v>
      </c>
      <c r="G13" s="134" t="s">
        <v>1716</v>
      </c>
      <c r="H13" s="134" t="s">
        <v>1717</v>
      </c>
      <c r="I13" s="281"/>
      <c r="J13" s="281"/>
      <c r="K13" s="54"/>
    </row>
    <row r="14" spans="2:11" x14ac:dyDescent="0.25">
      <c r="B14" s="164">
        <v>45762</v>
      </c>
      <c r="C14" s="212">
        <v>45748</v>
      </c>
      <c r="D14" s="134" t="s">
        <v>1711</v>
      </c>
      <c r="E14" s="134" t="s">
        <v>1696</v>
      </c>
      <c r="F14" s="89" t="s">
        <v>6</v>
      </c>
      <c r="G14" s="134" t="s">
        <v>1718</v>
      </c>
      <c r="H14" s="134" t="s">
        <v>362</v>
      </c>
      <c r="I14" s="281"/>
      <c r="J14" s="281"/>
      <c r="K14" s="220" t="s">
        <v>362</v>
      </c>
    </row>
    <row r="15" spans="2:11" x14ac:dyDescent="0.25">
      <c r="B15" s="164">
        <v>45762</v>
      </c>
      <c r="C15" s="212">
        <v>45748</v>
      </c>
      <c r="D15" s="134" t="s">
        <v>1705</v>
      </c>
      <c r="E15" s="134" t="s">
        <v>1696</v>
      </c>
      <c r="F15" s="89" t="s">
        <v>6</v>
      </c>
      <c r="G15" s="134" t="s">
        <v>1719</v>
      </c>
      <c r="H15" s="134" t="s">
        <v>1720</v>
      </c>
      <c r="I15" s="281"/>
      <c r="J15" s="281"/>
      <c r="K15" s="220" t="s">
        <v>362</v>
      </c>
    </row>
    <row r="16" spans="2:11" x14ac:dyDescent="0.25">
      <c r="B16" s="164">
        <v>45762</v>
      </c>
      <c r="C16" s="212">
        <v>45748</v>
      </c>
      <c r="D16" s="134" t="s">
        <v>1711</v>
      </c>
      <c r="E16" s="134" t="s">
        <v>1696</v>
      </c>
      <c r="F16" s="89" t="s">
        <v>6</v>
      </c>
      <c r="G16" s="134" t="s">
        <v>1714</v>
      </c>
      <c r="H16" s="134" t="s">
        <v>1715</v>
      </c>
      <c r="I16" s="281"/>
      <c r="J16" s="281"/>
      <c r="K16" s="220" t="s">
        <v>362</v>
      </c>
    </row>
    <row r="17" spans="2:11" x14ac:dyDescent="0.25">
      <c r="B17" s="164">
        <v>45763</v>
      </c>
      <c r="C17" s="212">
        <v>45748</v>
      </c>
      <c r="D17" s="134" t="s">
        <v>1711</v>
      </c>
      <c r="E17" s="134" t="s">
        <v>1696</v>
      </c>
      <c r="F17" s="89" t="s">
        <v>6</v>
      </c>
      <c r="G17" s="134" t="s">
        <v>1721</v>
      </c>
      <c r="H17" s="134" t="s">
        <v>1722</v>
      </c>
      <c r="I17" s="281"/>
      <c r="J17" s="281"/>
      <c r="K17" s="220" t="s">
        <v>362</v>
      </c>
    </row>
    <row r="18" spans="2:11" x14ac:dyDescent="0.25">
      <c r="B18" s="164">
        <v>45768</v>
      </c>
      <c r="C18" s="212">
        <v>45748</v>
      </c>
      <c r="D18" s="134" t="s">
        <v>1705</v>
      </c>
      <c r="E18" s="134" t="s">
        <v>1696</v>
      </c>
      <c r="F18" s="216" t="s">
        <v>4</v>
      </c>
      <c r="G18" s="134" t="s">
        <v>1716</v>
      </c>
      <c r="H18" s="134" t="s">
        <v>1723</v>
      </c>
      <c r="I18" s="281"/>
      <c r="J18" s="281"/>
      <c r="K18" s="220" t="s">
        <v>362</v>
      </c>
    </row>
    <row r="19" spans="2:11" x14ac:dyDescent="0.25">
      <c r="B19" s="164">
        <v>45768</v>
      </c>
      <c r="C19" s="212">
        <v>45748</v>
      </c>
      <c r="D19" s="134" t="s">
        <v>1711</v>
      </c>
      <c r="E19" s="134" t="s">
        <v>1696</v>
      </c>
      <c r="F19" s="89" t="s">
        <v>6</v>
      </c>
      <c r="G19" s="134" t="s">
        <v>1714</v>
      </c>
      <c r="H19" s="134" t="s">
        <v>1715</v>
      </c>
      <c r="I19" s="281"/>
      <c r="J19" s="281"/>
      <c r="K19" s="220" t="s">
        <v>362</v>
      </c>
    </row>
    <row r="20" spans="2:11" x14ac:dyDescent="0.25">
      <c r="B20" s="164">
        <v>45768</v>
      </c>
      <c r="C20" s="212">
        <v>45748</v>
      </c>
      <c r="D20" s="134" t="s">
        <v>332</v>
      </c>
      <c r="E20" s="134" t="s">
        <v>1696</v>
      </c>
      <c r="F20" s="89" t="s">
        <v>6</v>
      </c>
      <c r="G20" s="134" t="s">
        <v>1724</v>
      </c>
      <c r="H20" s="134" t="s">
        <v>1725</v>
      </c>
      <c r="I20" s="281"/>
      <c r="J20" s="281"/>
      <c r="K20" s="220" t="s">
        <v>362</v>
      </c>
    </row>
    <row r="21" spans="2:11" x14ac:dyDescent="0.25">
      <c r="B21" s="164">
        <v>45768</v>
      </c>
      <c r="C21" s="212">
        <v>45748</v>
      </c>
      <c r="D21" s="134" t="s">
        <v>332</v>
      </c>
      <c r="E21" s="134" t="s">
        <v>1696</v>
      </c>
      <c r="F21" s="216" t="s">
        <v>4</v>
      </c>
      <c r="G21" s="134" t="s">
        <v>1726</v>
      </c>
      <c r="H21" s="134" t="s">
        <v>1727</v>
      </c>
      <c r="I21" s="281"/>
      <c r="J21" s="281"/>
      <c r="K21" s="220" t="s">
        <v>362</v>
      </c>
    </row>
    <row r="22" spans="2:11" x14ac:dyDescent="0.25">
      <c r="B22" s="164">
        <v>45768</v>
      </c>
      <c r="C22" s="212">
        <v>45748</v>
      </c>
      <c r="D22" s="134" t="s">
        <v>332</v>
      </c>
      <c r="E22" s="134" t="s">
        <v>1696</v>
      </c>
      <c r="F22" s="89" t="s">
        <v>6</v>
      </c>
      <c r="G22" s="134" t="s">
        <v>1728</v>
      </c>
      <c r="H22" s="134" t="s">
        <v>1729</v>
      </c>
      <c r="I22" s="281"/>
      <c r="J22" s="281"/>
      <c r="K22" s="220" t="s">
        <v>362</v>
      </c>
    </row>
    <row r="23" spans="2:11" x14ac:dyDescent="0.25">
      <c r="B23" s="164">
        <v>45768</v>
      </c>
      <c r="C23" s="212">
        <v>45748</v>
      </c>
      <c r="D23" s="134" t="s">
        <v>1711</v>
      </c>
      <c r="E23" s="134" t="s">
        <v>1696</v>
      </c>
      <c r="F23" s="89" t="s">
        <v>6</v>
      </c>
      <c r="G23" s="134" t="s">
        <v>1714</v>
      </c>
      <c r="H23" s="134" t="s">
        <v>1730</v>
      </c>
      <c r="I23" s="281"/>
      <c r="J23" s="281"/>
      <c r="K23" s="220" t="s">
        <v>362</v>
      </c>
    </row>
    <row r="24" spans="2:11" x14ac:dyDescent="0.25">
      <c r="B24" s="164">
        <v>45769</v>
      </c>
      <c r="C24" s="212">
        <v>45748</v>
      </c>
      <c r="D24" s="134" t="s">
        <v>332</v>
      </c>
      <c r="E24" s="134" t="s">
        <v>1696</v>
      </c>
      <c r="F24" s="89" t="s">
        <v>6</v>
      </c>
      <c r="G24" s="134" t="s">
        <v>1731</v>
      </c>
      <c r="H24" s="134" t="s">
        <v>1732</v>
      </c>
      <c r="I24" s="281"/>
      <c r="J24" s="281"/>
      <c r="K24" s="220" t="s">
        <v>362</v>
      </c>
    </row>
    <row r="25" spans="2:11" x14ac:dyDescent="0.25">
      <c r="B25" s="164">
        <v>45770</v>
      </c>
      <c r="C25" s="212">
        <v>45748</v>
      </c>
      <c r="D25" s="134" t="s">
        <v>1705</v>
      </c>
      <c r="E25" s="134" t="s">
        <v>1696</v>
      </c>
      <c r="F25" s="216" t="s">
        <v>4</v>
      </c>
      <c r="G25" s="134" t="s">
        <v>1716</v>
      </c>
      <c r="H25" s="134" t="s">
        <v>1733</v>
      </c>
      <c r="I25" s="281"/>
      <c r="J25" s="281"/>
      <c r="K25" s="220" t="s">
        <v>362</v>
      </c>
    </row>
    <row r="26" spans="2:11" x14ac:dyDescent="0.25">
      <c r="B26" s="164">
        <v>45771</v>
      </c>
      <c r="C26" s="212">
        <v>45748</v>
      </c>
      <c r="D26" s="134" t="s">
        <v>1705</v>
      </c>
      <c r="E26" s="134" t="s">
        <v>1696</v>
      </c>
      <c r="F26" s="216" t="s">
        <v>4</v>
      </c>
      <c r="G26" s="134" t="s">
        <v>1716</v>
      </c>
      <c r="H26" s="134" t="s">
        <v>1733</v>
      </c>
      <c r="I26" s="281"/>
      <c r="J26" s="281"/>
      <c r="K26" s="220" t="s">
        <v>362</v>
      </c>
    </row>
    <row r="27" spans="2:11" x14ac:dyDescent="0.25">
      <c r="B27" s="164">
        <v>45771</v>
      </c>
      <c r="C27" s="212">
        <v>45748</v>
      </c>
      <c r="D27" s="134" t="s">
        <v>1711</v>
      </c>
      <c r="E27" s="134" t="s">
        <v>1696</v>
      </c>
      <c r="F27" s="89" t="s">
        <v>6</v>
      </c>
      <c r="G27" s="134" t="s">
        <v>1714</v>
      </c>
      <c r="H27" s="134" t="s">
        <v>1730</v>
      </c>
      <c r="I27" s="281"/>
      <c r="J27" s="281"/>
      <c r="K27" s="220" t="s">
        <v>362</v>
      </c>
    </row>
    <row r="28" spans="2:11" x14ac:dyDescent="0.25">
      <c r="B28" s="164">
        <v>45771</v>
      </c>
      <c r="C28" s="212">
        <v>45748</v>
      </c>
      <c r="D28" s="134" t="s">
        <v>1711</v>
      </c>
      <c r="E28" s="134" t="s">
        <v>1696</v>
      </c>
      <c r="F28" s="89" t="s">
        <v>6</v>
      </c>
      <c r="G28" s="134" t="s">
        <v>1734</v>
      </c>
      <c r="H28" s="134" t="s">
        <v>1735</v>
      </c>
      <c r="I28" s="281"/>
      <c r="J28" s="281"/>
      <c r="K28" s="220" t="s">
        <v>362</v>
      </c>
    </row>
    <row r="29" spans="2:11" x14ac:dyDescent="0.25">
      <c r="B29" s="164">
        <v>45772</v>
      </c>
      <c r="C29" s="212">
        <v>45748</v>
      </c>
      <c r="D29" s="134" t="s">
        <v>1736</v>
      </c>
      <c r="E29" s="134" t="s">
        <v>1696</v>
      </c>
      <c r="F29" s="89" t="s">
        <v>6</v>
      </c>
      <c r="G29" s="134" t="s">
        <v>1737</v>
      </c>
      <c r="H29" s="134" t="s">
        <v>1738</v>
      </c>
      <c r="I29" s="281"/>
      <c r="J29" s="281"/>
      <c r="K29" s="220" t="s">
        <v>362</v>
      </c>
    </row>
    <row r="30" spans="2:11" x14ac:dyDescent="0.25">
      <c r="B30" s="164">
        <v>45772</v>
      </c>
      <c r="C30" s="212">
        <v>45748</v>
      </c>
      <c r="D30" s="134" t="s">
        <v>1711</v>
      </c>
      <c r="E30" s="134" t="s">
        <v>1696</v>
      </c>
      <c r="F30" s="89" t="s">
        <v>6</v>
      </c>
      <c r="G30" s="134" t="s">
        <v>1739</v>
      </c>
      <c r="H30" s="134" t="s">
        <v>1740</v>
      </c>
      <c r="I30" s="281"/>
      <c r="J30" s="281"/>
      <c r="K30" s="220" t="s">
        <v>362</v>
      </c>
    </row>
    <row r="31" spans="2:11" x14ac:dyDescent="0.25">
      <c r="B31" s="164">
        <v>45775</v>
      </c>
      <c r="C31" s="212">
        <v>45748</v>
      </c>
      <c r="D31" s="134" t="s">
        <v>1700</v>
      </c>
      <c r="E31" s="134" t="s">
        <v>1696</v>
      </c>
      <c r="F31" s="216" t="s">
        <v>4</v>
      </c>
      <c r="G31" s="134" t="s">
        <v>1741</v>
      </c>
      <c r="H31" s="134" t="s">
        <v>1742</v>
      </c>
      <c r="I31" s="281"/>
      <c r="J31" s="281"/>
      <c r="K31" s="220" t="s">
        <v>362</v>
      </c>
    </row>
    <row r="32" spans="2:11" x14ac:dyDescent="0.25">
      <c r="B32" s="164">
        <v>45776</v>
      </c>
      <c r="C32" s="212">
        <v>45748</v>
      </c>
      <c r="D32" s="134" t="s">
        <v>1705</v>
      </c>
      <c r="E32" s="134" t="s">
        <v>1696</v>
      </c>
      <c r="F32" s="216" t="s">
        <v>4</v>
      </c>
      <c r="G32" s="134" t="s">
        <v>1743</v>
      </c>
      <c r="H32" s="134" t="s">
        <v>1744</v>
      </c>
      <c r="I32" s="281"/>
      <c r="J32" s="281"/>
      <c r="K32" s="220" t="s">
        <v>362</v>
      </c>
    </row>
    <row r="33" spans="1:15" x14ac:dyDescent="0.25">
      <c r="B33" s="164">
        <v>45776</v>
      </c>
      <c r="C33" s="212">
        <v>45748</v>
      </c>
      <c r="D33" s="134" t="s">
        <v>1745</v>
      </c>
      <c r="E33" s="134" t="s">
        <v>1696</v>
      </c>
      <c r="F33" s="221" t="s">
        <v>4</v>
      </c>
      <c r="G33" s="134" t="s">
        <v>1746</v>
      </c>
      <c r="H33" s="134" t="s">
        <v>1747</v>
      </c>
      <c r="I33" s="281"/>
      <c r="J33" s="281"/>
      <c r="K33" s="220" t="s">
        <v>362</v>
      </c>
    </row>
    <row r="34" spans="1:15" x14ac:dyDescent="0.25">
      <c r="B34" s="164">
        <v>45777</v>
      </c>
      <c r="C34" s="212">
        <v>45748</v>
      </c>
      <c r="D34" s="134" t="s">
        <v>1745</v>
      </c>
      <c r="E34" s="134" t="s">
        <v>1696</v>
      </c>
      <c r="F34" s="216" t="s">
        <v>4</v>
      </c>
      <c r="G34" s="134" t="s">
        <v>1748</v>
      </c>
      <c r="H34" s="134" t="s">
        <v>1749</v>
      </c>
      <c r="I34" s="281"/>
      <c r="J34" s="281"/>
      <c r="K34" s="220" t="s">
        <v>1750</v>
      </c>
    </row>
    <row r="35" spans="1:15" x14ac:dyDescent="0.25">
      <c r="B35" s="164">
        <v>45777</v>
      </c>
      <c r="C35" s="212">
        <v>45748</v>
      </c>
      <c r="D35" s="134" t="s">
        <v>1751</v>
      </c>
      <c r="E35" s="134" t="s">
        <v>1696</v>
      </c>
      <c r="F35" s="89" t="s">
        <v>6</v>
      </c>
      <c r="G35" s="134" t="s">
        <v>1752</v>
      </c>
      <c r="H35" s="134" t="s">
        <v>1753</v>
      </c>
      <c r="I35" s="281"/>
      <c r="J35" s="281"/>
      <c r="K35" s="220" t="s">
        <v>362</v>
      </c>
    </row>
    <row r="36" spans="1:15" ht="94.5" x14ac:dyDescent="0.25">
      <c r="A36" s="220" t="s">
        <v>362</v>
      </c>
      <c r="B36" s="162">
        <v>45778</v>
      </c>
      <c r="C36" s="210">
        <v>45778</v>
      </c>
      <c r="D36" s="163" t="s">
        <v>1745</v>
      </c>
      <c r="E36" s="163" t="s">
        <v>1696</v>
      </c>
      <c r="F36" s="216" t="s">
        <v>4</v>
      </c>
      <c r="G36" s="163" t="s">
        <v>1754</v>
      </c>
      <c r="H36" s="222" t="s">
        <v>1755</v>
      </c>
      <c r="I36" s="282"/>
      <c r="J36" s="282"/>
      <c r="K36" s="220" t="s">
        <v>1750</v>
      </c>
      <c r="L36" s="220" t="s">
        <v>362</v>
      </c>
      <c r="M36" s="220" t="s">
        <v>362</v>
      </c>
      <c r="N36" s="220" t="s">
        <v>362</v>
      </c>
      <c r="O36" s="220" t="s">
        <v>362</v>
      </c>
    </row>
    <row r="37" spans="1:15" x14ac:dyDescent="0.25">
      <c r="A37" s="220" t="s">
        <v>362</v>
      </c>
      <c r="B37" s="164">
        <v>45782</v>
      </c>
      <c r="C37" s="212">
        <v>45778</v>
      </c>
      <c r="D37" s="134" t="s">
        <v>332</v>
      </c>
      <c r="E37" s="134" t="s">
        <v>1696</v>
      </c>
      <c r="F37" s="89" t="s">
        <v>6</v>
      </c>
      <c r="G37" s="134" t="s">
        <v>1756</v>
      </c>
      <c r="H37" s="134" t="s">
        <v>1757</v>
      </c>
      <c r="I37" s="281"/>
      <c r="J37" s="281"/>
      <c r="K37" s="220" t="s">
        <v>362</v>
      </c>
      <c r="L37" s="220" t="s">
        <v>362</v>
      </c>
      <c r="M37" s="220" t="s">
        <v>362</v>
      </c>
      <c r="N37" s="220" t="s">
        <v>362</v>
      </c>
      <c r="O37" s="220" t="s">
        <v>362</v>
      </c>
    </row>
    <row r="38" spans="1:15" x14ac:dyDescent="0.25">
      <c r="A38" s="220" t="s">
        <v>362</v>
      </c>
      <c r="B38" s="164">
        <v>45782</v>
      </c>
      <c r="C38" s="212">
        <v>45778</v>
      </c>
      <c r="D38" s="134" t="s">
        <v>332</v>
      </c>
      <c r="E38" s="134" t="s">
        <v>1696</v>
      </c>
      <c r="F38" s="216" t="s">
        <v>4</v>
      </c>
      <c r="G38" s="134" t="s">
        <v>1758</v>
      </c>
      <c r="H38" s="134" t="s">
        <v>1759</v>
      </c>
      <c r="I38" s="281"/>
      <c r="J38" s="281"/>
      <c r="K38" s="220" t="s">
        <v>362</v>
      </c>
      <c r="L38" s="220" t="s">
        <v>362</v>
      </c>
      <c r="M38" s="220" t="s">
        <v>362</v>
      </c>
      <c r="N38" s="220" t="s">
        <v>362</v>
      </c>
      <c r="O38" s="220" t="s">
        <v>362</v>
      </c>
    </row>
    <row r="39" spans="1:15" ht="31.5" x14ac:dyDescent="0.25">
      <c r="A39" s="220" t="s">
        <v>362</v>
      </c>
      <c r="B39" s="164">
        <v>45782</v>
      </c>
      <c r="C39" s="212">
        <v>45778</v>
      </c>
      <c r="D39" s="134" t="s">
        <v>1760</v>
      </c>
      <c r="E39" s="134" t="s">
        <v>1696</v>
      </c>
      <c r="F39" s="89" t="s">
        <v>6</v>
      </c>
      <c r="G39" s="217" t="s">
        <v>1761</v>
      </c>
      <c r="H39" s="134" t="s">
        <v>1757</v>
      </c>
      <c r="I39" s="281"/>
      <c r="J39" s="281"/>
      <c r="K39" s="220" t="s">
        <v>362</v>
      </c>
      <c r="L39" s="220" t="s">
        <v>362</v>
      </c>
      <c r="M39" s="220" t="s">
        <v>362</v>
      </c>
      <c r="N39" s="220" t="s">
        <v>362</v>
      </c>
      <c r="O39" s="220" t="s">
        <v>362</v>
      </c>
    </row>
    <row r="40" spans="1:15" x14ac:dyDescent="0.25">
      <c r="A40" s="220" t="s">
        <v>362</v>
      </c>
      <c r="B40" s="164">
        <v>45782</v>
      </c>
      <c r="C40" s="212">
        <v>45778</v>
      </c>
      <c r="D40" s="134" t="s">
        <v>1760</v>
      </c>
      <c r="E40" s="134" t="s">
        <v>1696</v>
      </c>
      <c r="F40" s="89" t="s">
        <v>6</v>
      </c>
      <c r="G40" s="134" t="s">
        <v>1762</v>
      </c>
      <c r="H40" s="134" t="s">
        <v>362</v>
      </c>
      <c r="I40" s="281"/>
      <c r="J40" s="281"/>
      <c r="K40" s="220" t="s">
        <v>362</v>
      </c>
      <c r="L40" s="220" t="s">
        <v>362</v>
      </c>
      <c r="M40" s="220" t="s">
        <v>362</v>
      </c>
      <c r="N40" s="220" t="s">
        <v>362</v>
      </c>
      <c r="O40" s="220" t="s">
        <v>362</v>
      </c>
    </row>
    <row r="41" spans="1:15" x14ac:dyDescent="0.25">
      <c r="A41" s="220" t="s">
        <v>362</v>
      </c>
      <c r="B41" s="164">
        <v>45782</v>
      </c>
      <c r="C41" s="212">
        <v>45778</v>
      </c>
      <c r="D41" s="134" t="s">
        <v>1760</v>
      </c>
      <c r="E41" s="134" t="s">
        <v>1696</v>
      </c>
      <c r="F41" s="89" t="s">
        <v>6</v>
      </c>
      <c r="G41" s="134" t="s">
        <v>1763</v>
      </c>
      <c r="H41" s="134" t="s">
        <v>362</v>
      </c>
      <c r="I41" s="281"/>
      <c r="J41" s="281"/>
      <c r="K41" s="220" t="s">
        <v>362</v>
      </c>
      <c r="L41" s="220" t="s">
        <v>362</v>
      </c>
      <c r="M41" s="220" t="s">
        <v>362</v>
      </c>
      <c r="N41" s="220" t="s">
        <v>362</v>
      </c>
      <c r="O41" s="220" t="s">
        <v>362</v>
      </c>
    </row>
    <row r="42" spans="1:15" x14ac:dyDescent="0.25">
      <c r="A42" s="220" t="s">
        <v>362</v>
      </c>
      <c r="B42" s="164">
        <v>45783</v>
      </c>
      <c r="C42" s="212">
        <v>45778</v>
      </c>
      <c r="D42" s="134" t="s">
        <v>1764</v>
      </c>
      <c r="E42" s="134" t="s">
        <v>1696</v>
      </c>
      <c r="F42" s="216" t="s">
        <v>4</v>
      </c>
      <c r="G42" s="134" t="s">
        <v>1765</v>
      </c>
      <c r="H42" s="134" t="s">
        <v>1766</v>
      </c>
      <c r="I42" s="281"/>
      <c r="J42" s="281"/>
      <c r="K42" s="220" t="s">
        <v>362</v>
      </c>
      <c r="L42" s="220" t="s">
        <v>362</v>
      </c>
      <c r="M42" s="220" t="s">
        <v>362</v>
      </c>
      <c r="N42" s="220" t="s">
        <v>362</v>
      </c>
      <c r="O42" s="220" t="s">
        <v>362</v>
      </c>
    </row>
    <row r="43" spans="1:15" x14ac:dyDescent="0.25">
      <c r="A43" s="220" t="s">
        <v>362</v>
      </c>
      <c r="B43" s="164">
        <v>45784</v>
      </c>
      <c r="C43" s="212">
        <v>45778</v>
      </c>
      <c r="D43" s="134" t="s">
        <v>1764</v>
      </c>
      <c r="E43" s="134" t="s">
        <v>1696</v>
      </c>
      <c r="F43" s="216" t="s">
        <v>4</v>
      </c>
      <c r="G43" s="134" t="s">
        <v>1765</v>
      </c>
      <c r="H43" s="134" t="s">
        <v>1767</v>
      </c>
      <c r="I43" s="281"/>
      <c r="J43" s="281"/>
      <c r="K43" s="220" t="s">
        <v>362</v>
      </c>
      <c r="L43" s="220" t="s">
        <v>362</v>
      </c>
      <c r="M43" s="220" t="s">
        <v>362</v>
      </c>
      <c r="N43" s="220" t="s">
        <v>362</v>
      </c>
      <c r="O43" s="220" t="s">
        <v>362</v>
      </c>
    </row>
    <row r="44" spans="1:15" x14ac:dyDescent="0.25">
      <c r="A44" s="220" t="s">
        <v>362</v>
      </c>
      <c r="B44" s="164">
        <v>45786</v>
      </c>
      <c r="C44" s="212">
        <v>45778</v>
      </c>
      <c r="D44" s="134" t="s">
        <v>614</v>
      </c>
      <c r="E44" s="134" t="s">
        <v>1696</v>
      </c>
      <c r="F44" s="216" t="s">
        <v>4</v>
      </c>
      <c r="G44" s="134" t="s">
        <v>1768</v>
      </c>
      <c r="H44" s="134" t="s">
        <v>1769</v>
      </c>
      <c r="I44" s="281"/>
      <c r="J44" s="281"/>
      <c r="K44" s="220" t="s">
        <v>362</v>
      </c>
      <c r="L44" s="220" t="s">
        <v>362</v>
      </c>
      <c r="M44" s="220" t="s">
        <v>362</v>
      </c>
      <c r="N44" s="220" t="s">
        <v>362</v>
      </c>
      <c r="O44" s="220" t="s">
        <v>362</v>
      </c>
    </row>
    <row r="45" spans="1:15" ht="63" x14ac:dyDescent="0.25">
      <c r="A45" s="220" t="s">
        <v>362</v>
      </c>
      <c r="B45" s="164">
        <v>45786</v>
      </c>
      <c r="C45" s="212">
        <v>45778</v>
      </c>
      <c r="D45" s="134" t="s">
        <v>614</v>
      </c>
      <c r="E45" s="134" t="s">
        <v>1696</v>
      </c>
      <c r="F45" s="216" t="s">
        <v>4</v>
      </c>
      <c r="G45" s="134" t="s">
        <v>1770</v>
      </c>
      <c r="H45" s="217" t="s">
        <v>1771</v>
      </c>
      <c r="I45" s="282"/>
      <c r="J45" s="282"/>
      <c r="K45" s="220" t="s">
        <v>1750</v>
      </c>
      <c r="L45" s="220" t="s">
        <v>362</v>
      </c>
      <c r="M45" s="220" t="s">
        <v>362</v>
      </c>
      <c r="N45" s="220" t="s">
        <v>362</v>
      </c>
      <c r="O45" s="220" t="s">
        <v>362</v>
      </c>
    </row>
    <row r="46" spans="1:15" x14ac:dyDescent="0.25">
      <c r="A46" s="220" t="s">
        <v>362</v>
      </c>
      <c r="B46" s="164">
        <v>45803</v>
      </c>
      <c r="C46" s="212">
        <v>45778</v>
      </c>
      <c r="D46" s="134" t="s">
        <v>1764</v>
      </c>
      <c r="E46" s="134" t="s">
        <v>1696</v>
      </c>
      <c r="F46" s="89" t="s">
        <v>6</v>
      </c>
      <c r="G46" s="134" t="s">
        <v>1772</v>
      </c>
      <c r="H46" s="134" t="s">
        <v>362</v>
      </c>
      <c r="I46" s="281"/>
      <c r="J46" s="281"/>
      <c r="K46" s="220" t="s">
        <v>362</v>
      </c>
      <c r="L46" s="220" t="s">
        <v>362</v>
      </c>
      <c r="M46" s="220" t="s">
        <v>362</v>
      </c>
      <c r="N46" s="220" t="s">
        <v>362</v>
      </c>
      <c r="O46" s="220" t="s">
        <v>362</v>
      </c>
    </row>
    <row r="47" spans="1:15" x14ac:dyDescent="0.25">
      <c r="A47" s="220" t="s">
        <v>362</v>
      </c>
      <c r="B47" s="164">
        <v>45804</v>
      </c>
      <c r="C47" s="212">
        <v>45778</v>
      </c>
      <c r="D47" s="134" t="s">
        <v>332</v>
      </c>
      <c r="E47" s="134" t="s">
        <v>1696</v>
      </c>
      <c r="F47" s="89" t="s">
        <v>6</v>
      </c>
      <c r="G47" s="134" t="s">
        <v>1773</v>
      </c>
      <c r="H47" s="134" t="s">
        <v>1774</v>
      </c>
      <c r="I47" s="281"/>
      <c r="J47" s="281"/>
      <c r="K47" s="220" t="s">
        <v>362</v>
      </c>
      <c r="L47" s="220" t="s">
        <v>362</v>
      </c>
      <c r="M47" s="220" t="s">
        <v>362</v>
      </c>
      <c r="N47" s="220" t="s">
        <v>362</v>
      </c>
      <c r="O47" s="220" t="s">
        <v>362</v>
      </c>
    </row>
    <row r="48" spans="1:15" x14ac:dyDescent="0.25">
      <c r="A48" s="220" t="s">
        <v>362</v>
      </c>
      <c r="B48" s="164">
        <v>45805</v>
      </c>
      <c r="C48" s="212">
        <v>45778</v>
      </c>
      <c r="D48" s="134" t="s">
        <v>1775</v>
      </c>
      <c r="E48" s="134" t="s">
        <v>1696</v>
      </c>
      <c r="F48" s="216" t="s">
        <v>4</v>
      </c>
      <c r="G48" s="134" t="s">
        <v>1776</v>
      </c>
      <c r="H48" s="134" t="s">
        <v>1777</v>
      </c>
      <c r="I48" s="281"/>
      <c r="J48" s="281"/>
      <c r="K48" s="220" t="s">
        <v>362</v>
      </c>
      <c r="L48" s="220" t="s">
        <v>362</v>
      </c>
      <c r="M48" s="220" t="s">
        <v>362</v>
      </c>
      <c r="N48" s="220" t="s">
        <v>362</v>
      </c>
      <c r="O48" s="220" t="s">
        <v>362</v>
      </c>
    </row>
    <row r="49" spans="1:15" x14ac:dyDescent="0.25">
      <c r="A49" s="220" t="s">
        <v>362</v>
      </c>
      <c r="B49" s="164">
        <v>45807</v>
      </c>
      <c r="C49" s="212">
        <v>45778</v>
      </c>
      <c r="D49" s="134" t="s">
        <v>406</v>
      </c>
      <c r="E49" s="134" t="s">
        <v>1696</v>
      </c>
      <c r="F49" s="216" t="s">
        <v>4</v>
      </c>
      <c r="G49" s="217" t="s">
        <v>1778</v>
      </c>
      <c r="H49" s="134" t="s">
        <v>1779</v>
      </c>
      <c r="I49" s="281"/>
      <c r="J49" s="281"/>
      <c r="K49" s="220" t="s">
        <v>362</v>
      </c>
      <c r="L49" s="220" t="s">
        <v>362</v>
      </c>
      <c r="M49" s="220" t="s">
        <v>362</v>
      </c>
      <c r="N49" s="220" t="s">
        <v>362</v>
      </c>
      <c r="O49" s="220" t="s">
        <v>362</v>
      </c>
    </row>
    <row r="50" spans="1:15" x14ac:dyDescent="0.25">
      <c r="A50" s="220" t="s">
        <v>362</v>
      </c>
      <c r="B50" s="164">
        <v>45807</v>
      </c>
      <c r="C50" s="212">
        <v>45778</v>
      </c>
      <c r="D50" s="134" t="s">
        <v>1780</v>
      </c>
      <c r="E50" s="134" t="s">
        <v>1696</v>
      </c>
      <c r="F50" s="89" t="s">
        <v>6</v>
      </c>
      <c r="G50" s="134" t="s">
        <v>1781</v>
      </c>
      <c r="H50" s="134" t="s">
        <v>1782</v>
      </c>
      <c r="I50" s="281"/>
      <c r="J50" s="281"/>
      <c r="K50" s="220" t="s">
        <v>362</v>
      </c>
      <c r="L50" s="220" t="s">
        <v>362</v>
      </c>
      <c r="M50" s="220" t="s">
        <v>362</v>
      </c>
      <c r="N50" s="220" t="s">
        <v>362</v>
      </c>
      <c r="O50" s="220" t="s">
        <v>362</v>
      </c>
    </row>
    <row r="51" spans="1:15" x14ac:dyDescent="0.25">
      <c r="A51" s="220" t="s">
        <v>362</v>
      </c>
      <c r="B51" s="164">
        <v>45807</v>
      </c>
      <c r="C51" s="212">
        <v>45778</v>
      </c>
      <c r="D51" s="134" t="s">
        <v>1764</v>
      </c>
      <c r="E51" s="134" t="s">
        <v>1696</v>
      </c>
      <c r="F51" s="89" t="s">
        <v>6</v>
      </c>
      <c r="G51" s="134" t="s">
        <v>1783</v>
      </c>
      <c r="H51" s="134" t="s">
        <v>1784</v>
      </c>
      <c r="I51" s="281"/>
      <c r="J51" s="281"/>
      <c r="K51" s="220" t="s">
        <v>362</v>
      </c>
      <c r="L51" s="220" t="s">
        <v>362</v>
      </c>
      <c r="M51" s="220" t="s">
        <v>362</v>
      </c>
      <c r="N51" s="220" t="s">
        <v>362</v>
      </c>
      <c r="O51" s="220" t="s">
        <v>362</v>
      </c>
    </row>
    <row r="52" spans="1:15" x14ac:dyDescent="0.25">
      <c r="A52" s="220" t="s">
        <v>362</v>
      </c>
      <c r="B52" s="164">
        <v>45807</v>
      </c>
      <c r="C52" s="212">
        <v>45778</v>
      </c>
      <c r="D52" s="134" t="s">
        <v>1780</v>
      </c>
      <c r="E52" s="134" t="s">
        <v>1696</v>
      </c>
      <c r="F52" s="216" t="s">
        <v>4</v>
      </c>
      <c r="G52" s="134" t="s">
        <v>1785</v>
      </c>
      <c r="H52" s="134" t="s">
        <v>1786</v>
      </c>
      <c r="I52" s="281"/>
      <c r="J52" s="281"/>
      <c r="K52" s="220" t="s">
        <v>362</v>
      </c>
      <c r="L52" s="220" t="s">
        <v>362</v>
      </c>
      <c r="M52" s="220" t="s">
        <v>362</v>
      </c>
      <c r="N52" s="220" t="s">
        <v>362</v>
      </c>
      <c r="O52" s="220" t="s">
        <v>362</v>
      </c>
    </row>
    <row r="53" spans="1:15" x14ac:dyDescent="0.25">
      <c r="A53" s="220" t="s">
        <v>362</v>
      </c>
      <c r="B53" s="162">
        <v>45810</v>
      </c>
      <c r="C53" s="210">
        <v>45809</v>
      </c>
      <c r="D53" s="163" t="s">
        <v>332</v>
      </c>
      <c r="E53" s="163" t="s">
        <v>1696</v>
      </c>
      <c r="F53" s="89" t="s">
        <v>6</v>
      </c>
      <c r="G53" s="222" t="s">
        <v>1787</v>
      </c>
      <c r="H53" s="222" t="s">
        <v>362</v>
      </c>
      <c r="I53" s="282"/>
      <c r="J53" s="282"/>
      <c r="K53" s="220" t="s">
        <v>362</v>
      </c>
      <c r="L53" s="220" t="s">
        <v>362</v>
      </c>
      <c r="M53" s="220" t="s">
        <v>362</v>
      </c>
      <c r="N53" s="220" t="s">
        <v>362</v>
      </c>
      <c r="O53" s="220" t="s">
        <v>362</v>
      </c>
    </row>
    <row r="54" spans="1:15" ht="31.5" x14ac:dyDescent="0.25">
      <c r="A54" s="220" t="s">
        <v>362</v>
      </c>
      <c r="B54" s="164">
        <v>45813</v>
      </c>
      <c r="C54" s="212">
        <v>45809</v>
      </c>
      <c r="D54" s="134" t="s">
        <v>1760</v>
      </c>
      <c r="E54" s="134" t="s">
        <v>1696</v>
      </c>
      <c r="F54" s="216" t="s">
        <v>4</v>
      </c>
      <c r="G54" s="217" t="s">
        <v>1788</v>
      </c>
      <c r="H54" s="217" t="s">
        <v>1789</v>
      </c>
      <c r="I54" s="282"/>
      <c r="J54" s="282"/>
      <c r="K54" s="220" t="s">
        <v>362</v>
      </c>
      <c r="L54" s="220" t="s">
        <v>362</v>
      </c>
      <c r="M54" s="220" t="s">
        <v>362</v>
      </c>
      <c r="N54" s="220" t="s">
        <v>362</v>
      </c>
      <c r="O54" s="220" t="s">
        <v>362</v>
      </c>
    </row>
    <row r="55" spans="1:15" ht="31.5" x14ac:dyDescent="0.25">
      <c r="A55" s="220" t="s">
        <v>362</v>
      </c>
      <c r="B55" s="164">
        <v>45817</v>
      </c>
      <c r="C55" s="212">
        <v>45809</v>
      </c>
      <c r="D55" s="134" t="s">
        <v>1790</v>
      </c>
      <c r="E55" s="134" t="s">
        <v>1696</v>
      </c>
      <c r="F55" s="216" t="s">
        <v>4</v>
      </c>
      <c r="G55" s="217" t="s">
        <v>1791</v>
      </c>
      <c r="H55" s="217" t="s">
        <v>1792</v>
      </c>
      <c r="I55" s="282"/>
      <c r="J55" s="282"/>
      <c r="K55" s="220" t="s">
        <v>362</v>
      </c>
      <c r="L55" s="220" t="s">
        <v>362</v>
      </c>
      <c r="M55" s="220" t="s">
        <v>362</v>
      </c>
      <c r="N55" s="220" t="s">
        <v>362</v>
      </c>
      <c r="O55" s="220" t="s">
        <v>362</v>
      </c>
    </row>
    <row r="56" spans="1:15" x14ac:dyDescent="0.25">
      <c r="A56" s="220" t="s">
        <v>362</v>
      </c>
      <c r="B56" s="164">
        <v>45818</v>
      </c>
      <c r="C56" s="212">
        <v>45809</v>
      </c>
      <c r="D56" s="134" t="s">
        <v>332</v>
      </c>
      <c r="E56" s="134" t="s">
        <v>1696</v>
      </c>
      <c r="F56" s="89" t="s">
        <v>6</v>
      </c>
      <c r="G56" s="217" t="s">
        <v>1793</v>
      </c>
      <c r="H56" s="217" t="s">
        <v>1782</v>
      </c>
      <c r="I56" s="282"/>
      <c r="J56" s="282"/>
      <c r="K56" s="220" t="s">
        <v>362</v>
      </c>
      <c r="L56" s="220" t="s">
        <v>362</v>
      </c>
      <c r="M56" s="220" t="s">
        <v>362</v>
      </c>
      <c r="N56" s="220" t="s">
        <v>362</v>
      </c>
      <c r="O56" s="220" t="s">
        <v>362</v>
      </c>
    </row>
    <row r="57" spans="1:15" x14ac:dyDescent="0.25">
      <c r="A57" s="220" t="s">
        <v>362</v>
      </c>
      <c r="B57" s="165" t="s">
        <v>1794</v>
      </c>
      <c r="C57" s="217" t="s">
        <v>1794</v>
      </c>
      <c r="D57" s="134" t="s">
        <v>362</v>
      </c>
      <c r="E57" s="134" t="s">
        <v>362</v>
      </c>
      <c r="F57" s="134" t="s">
        <v>362</v>
      </c>
      <c r="G57" s="217" t="s">
        <v>362</v>
      </c>
      <c r="H57" s="217" t="s">
        <v>362</v>
      </c>
      <c r="I57" s="282"/>
      <c r="J57" s="282"/>
      <c r="K57" s="220" t="s">
        <v>362</v>
      </c>
      <c r="L57" s="220" t="s">
        <v>362</v>
      </c>
      <c r="M57" s="220" t="s">
        <v>362</v>
      </c>
      <c r="N57" s="220" t="s">
        <v>362</v>
      </c>
      <c r="O57" s="220" t="s">
        <v>362</v>
      </c>
    </row>
    <row r="58" spans="1:15" x14ac:dyDescent="0.25">
      <c r="A58" s="220" t="s">
        <v>362</v>
      </c>
      <c r="B58" s="165" t="s">
        <v>1794</v>
      </c>
      <c r="C58" s="217" t="s">
        <v>1794</v>
      </c>
      <c r="D58" s="134" t="s">
        <v>362</v>
      </c>
      <c r="E58" s="134" t="s">
        <v>362</v>
      </c>
      <c r="F58" s="134" t="s">
        <v>362</v>
      </c>
      <c r="G58" s="217" t="s">
        <v>362</v>
      </c>
      <c r="H58" s="217" t="s">
        <v>362</v>
      </c>
      <c r="I58" s="282"/>
      <c r="J58" s="282"/>
      <c r="K58" s="220" t="s">
        <v>362</v>
      </c>
      <c r="L58" s="220" t="s">
        <v>362</v>
      </c>
      <c r="M58" s="220" t="s">
        <v>362</v>
      </c>
      <c r="N58" s="220" t="s">
        <v>362</v>
      </c>
      <c r="O58" s="220" t="s">
        <v>362</v>
      </c>
    </row>
    <row r="59" spans="1:15" x14ac:dyDescent="0.25">
      <c r="A59" s="220" t="s">
        <v>362</v>
      </c>
      <c r="B59" s="165" t="s">
        <v>1794</v>
      </c>
      <c r="C59" s="217" t="s">
        <v>1794</v>
      </c>
      <c r="D59" s="134" t="s">
        <v>362</v>
      </c>
      <c r="E59" s="134" t="s">
        <v>362</v>
      </c>
      <c r="F59" s="134" t="s">
        <v>362</v>
      </c>
      <c r="G59" s="217" t="s">
        <v>362</v>
      </c>
      <c r="H59" s="217" t="s">
        <v>362</v>
      </c>
      <c r="I59" s="282"/>
      <c r="J59" s="282"/>
      <c r="K59" s="220" t="s">
        <v>362</v>
      </c>
      <c r="L59" s="220" t="s">
        <v>362</v>
      </c>
      <c r="M59" s="220" t="s">
        <v>362</v>
      </c>
      <c r="N59" s="220" t="s">
        <v>362</v>
      </c>
      <c r="O59" s="220" t="s">
        <v>362</v>
      </c>
    </row>
    <row r="60" spans="1:15" x14ac:dyDescent="0.25">
      <c r="A60" s="220" t="s">
        <v>362</v>
      </c>
      <c r="B60" s="164">
        <v>45826</v>
      </c>
      <c r="C60" s="212">
        <v>45809</v>
      </c>
      <c r="D60" s="134" t="s">
        <v>332</v>
      </c>
      <c r="E60" s="134" t="s">
        <v>1696</v>
      </c>
      <c r="F60" s="89" t="s">
        <v>6</v>
      </c>
      <c r="G60" s="217" t="s">
        <v>1795</v>
      </c>
      <c r="H60" s="217" t="s">
        <v>1796</v>
      </c>
      <c r="I60" s="282"/>
      <c r="J60" s="282"/>
      <c r="K60" s="220" t="s">
        <v>362</v>
      </c>
      <c r="L60" s="220" t="s">
        <v>362</v>
      </c>
      <c r="M60" s="220" t="s">
        <v>362</v>
      </c>
      <c r="N60" s="220" t="s">
        <v>362</v>
      </c>
      <c r="O60" s="220" t="s">
        <v>362</v>
      </c>
    </row>
    <row r="61" spans="1:15" x14ac:dyDescent="0.25">
      <c r="A61" s="220" t="s">
        <v>362</v>
      </c>
      <c r="B61" s="164">
        <v>45831</v>
      </c>
      <c r="C61" s="212">
        <v>45809</v>
      </c>
      <c r="D61" s="134" t="s">
        <v>1797</v>
      </c>
      <c r="E61" s="134" t="s">
        <v>1696</v>
      </c>
      <c r="F61" s="216" t="s">
        <v>4</v>
      </c>
      <c r="G61" s="217" t="s">
        <v>1798</v>
      </c>
      <c r="H61" s="217" t="s">
        <v>1799</v>
      </c>
      <c r="I61" s="282"/>
      <c r="J61" s="282"/>
      <c r="K61" s="220" t="s">
        <v>362</v>
      </c>
      <c r="L61" s="220" t="s">
        <v>362</v>
      </c>
      <c r="M61" s="220" t="s">
        <v>362</v>
      </c>
      <c r="N61" s="220" t="s">
        <v>362</v>
      </c>
      <c r="O61" s="220" t="s">
        <v>362</v>
      </c>
    </row>
    <row r="62" spans="1:15" x14ac:dyDescent="0.25">
      <c r="A62" s="220" t="s">
        <v>362</v>
      </c>
      <c r="B62" s="164">
        <v>45832</v>
      </c>
      <c r="C62" s="212">
        <v>45809</v>
      </c>
      <c r="D62" s="134" t="s">
        <v>332</v>
      </c>
      <c r="E62" s="134" t="s">
        <v>1696</v>
      </c>
      <c r="F62" s="89" t="s">
        <v>6</v>
      </c>
      <c r="G62" s="217" t="s">
        <v>1714</v>
      </c>
      <c r="H62" s="217" t="s">
        <v>1715</v>
      </c>
      <c r="I62" s="282"/>
      <c r="J62" s="282"/>
      <c r="K62" s="220" t="s">
        <v>362</v>
      </c>
      <c r="L62" s="220" t="s">
        <v>362</v>
      </c>
      <c r="M62" s="220" t="s">
        <v>362</v>
      </c>
      <c r="N62" s="220" t="s">
        <v>362</v>
      </c>
      <c r="O62" s="220" t="s">
        <v>362</v>
      </c>
    </row>
    <row r="63" spans="1:15" x14ac:dyDescent="0.25">
      <c r="A63" s="220" t="s">
        <v>362</v>
      </c>
      <c r="B63" s="164">
        <v>45832</v>
      </c>
      <c r="C63" s="212">
        <v>45809</v>
      </c>
      <c r="D63" s="134" t="s">
        <v>1760</v>
      </c>
      <c r="E63" s="134" t="s">
        <v>1696</v>
      </c>
      <c r="F63" s="216" t="s">
        <v>4</v>
      </c>
      <c r="G63" s="217" t="s">
        <v>1800</v>
      </c>
      <c r="H63" s="217" t="s">
        <v>1799</v>
      </c>
      <c r="I63" s="282"/>
      <c r="J63" s="282"/>
      <c r="K63" s="220" t="s">
        <v>362</v>
      </c>
      <c r="L63" s="220" t="s">
        <v>362</v>
      </c>
      <c r="M63" s="220" t="s">
        <v>362</v>
      </c>
      <c r="N63" s="220" t="s">
        <v>362</v>
      </c>
      <c r="O63" s="220" t="s">
        <v>362</v>
      </c>
    </row>
    <row r="64" spans="1:15" x14ac:dyDescent="0.25">
      <c r="A64" s="220" t="s">
        <v>362</v>
      </c>
      <c r="B64" s="164">
        <v>45832</v>
      </c>
      <c r="C64" s="212">
        <v>45809</v>
      </c>
      <c r="D64" s="134" t="s">
        <v>1801</v>
      </c>
      <c r="E64" s="134" t="s">
        <v>1696</v>
      </c>
      <c r="F64" s="216" t="s">
        <v>4</v>
      </c>
      <c r="G64" s="217" t="s">
        <v>1802</v>
      </c>
      <c r="H64" s="217" t="s">
        <v>1803</v>
      </c>
      <c r="I64" s="282"/>
      <c r="J64" s="282"/>
      <c r="K64" s="220" t="s">
        <v>362</v>
      </c>
      <c r="L64" s="220" t="s">
        <v>362</v>
      </c>
      <c r="M64" s="220" t="s">
        <v>362</v>
      </c>
      <c r="N64" s="220" t="s">
        <v>362</v>
      </c>
      <c r="O64" s="220" t="s">
        <v>362</v>
      </c>
    </row>
    <row r="65" spans="1:15" x14ac:dyDescent="0.25">
      <c r="A65" s="220" t="s">
        <v>362</v>
      </c>
      <c r="B65" s="164">
        <v>45833</v>
      </c>
      <c r="C65" s="212">
        <v>45809</v>
      </c>
      <c r="D65" s="134" t="s">
        <v>893</v>
      </c>
      <c r="E65" s="134" t="s">
        <v>1696</v>
      </c>
      <c r="F65" s="216" t="s">
        <v>4</v>
      </c>
      <c r="G65" s="217" t="s">
        <v>1804</v>
      </c>
      <c r="H65" s="217" t="s">
        <v>1805</v>
      </c>
      <c r="I65" s="282"/>
      <c r="J65" s="282"/>
      <c r="K65" s="220" t="s">
        <v>362</v>
      </c>
      <c r="L65" s="220" t="s">
        <v>362</v>
      </c>
      <c r="M65" s="220" t="s">
        <v>362</v>
      </c>
      <c r="N65" s="220" t="s">
        <v>362</v>
      </c>
      <c r="O65" s="220" t="s">
        <v>362</v>
      </c>
    </row>
    <row r="66" spans="1:15" x14ac:dyDescent="0.25">
      <c r="A66" s="220" t="s">
        <v>362</v>
      </c>
      <c r="B66" s="164">
        <v>45834</v>
      </c>
      <c r="C66" s="212">
        <v>45809</v>
      </c>
      <c r="D66" s="134" t="s">
        <v>893</v>
      </c>
      <c r="E66" s="134" t="s">
        <v>1696</v>
      </c>
      <c r="F66" s="89" t="s">
        <v>6</v>
      </c>
      <c r="G66" s="217" t="s">
        <v>1714</v>
      </c>
      <c r="H66" s="217" t="s">
        <v>1806</v>
      </c>
      <c r="I66" s="282"/>
      <c r="J66" s="282"/>
      <c r="K66" s="220" t="s">
        <v>362</v>
      </c>
      <c r="L66" s="220" t="s">
        <v>362</v>
      </c>
      <c r="M66" s="220" t="s">
        <v>362</v>
      </c>
      <c r="N66" s="220" t="s">
        <v>362</v>
      </c>
      <c r="O66" s="220" t="s">
        <v>362</v>
      </c>
    </row>
    <row r="67" spans="1:15" x14ac:dyDescent="0.25">
      <c r="A67" s="220" t="s">
        <v>362</v>
      </c>
      <c r="B67" s="164">
        <v>45835</v>
      </c>
      <c r="C67" s="212">
        <v>45809</v>
      </c>
      <c r="D67" s="134" t="s">
        <v>893</v>
      </c>
      <c r="E67" s="134" t="s">
        <v>1696</v>
      </c>
      <c r="F67" s="89" t="s">
        <v>6</v>
      </c>
      <c r="G67" s="217" t="s">
        <v>1714</v>
      </c>
      <c r="H67" s="217" t="s">
        <v>1806</v>
      </c>
      <c r="I67" s="282"/>
      <c r="J67" s="282"/>
      <c r="K67" s="220" t="s">
        <v>362</v>
      </c>
      <c r="L67" s="220" t="s">
        <v>362</v>
      </c>
      <c r="M67" s="220" t="s">
        <v>362</v>
      </c>
      <c r="N67" s="220" t="s">
        <v>362</v>
      </c>
      <c r="O67" s="220" t="s">
        <v>362</v>
      </c>
    </row>
    <row r="68" spans="1:15" x14ac:dyDescent="0.25">
      <c r="A68" s="220" t="s">
        <v>362</v>
      </c>
      <c r="B68" s="162">
        <v>45839</v>
      </c>
      <c r="C68" s="210">
        <v>45839</v>
      </c>
      <c r="D68" s="163" t="s">
        <v>893</v>
      </c>
      <c r="E68" s="163" t="s">
        <v>1696</v>
      </c>
      <c r="F68" s="89" t="s">
        <v>6</v>
      </c>
      <c r="G68" s="163" t="s">
        <v>1714</v>
      </c>
      <c r="H68" s="163" t="s">
        <v>1806</v>
      </c>
      <c r="I68" s="281"/>
      <c r="J68" s="281"/>
      <c r="K68" s="223" t="s">
        <v>362</v>
      </c>
      <c r="L68" s="220" t="s">
        <v>362</v>
      </c>
      <c r="M68" s="220" t="s">
        <v>362</v>
      </c>
      <c r="N68" s="220" t="s">
        <v>362</v>
      </c>
      <c r="O68" s="220" t="s">
        <v>362</v>
      </c>
    </row>
    <row r="69" spans="1:15" x14ac:dyDescent="0.25">
      <c r="A69" s="220" t="s">
        <v>362</v>
      </c>
      <c r="B69" s="164">
        <v>45840</v>
      </c>
      <c r="C69" s="212">
        <v>45839</v>
      </c>
      <c r="D69" s="134" t="s">
        <v>406</v>
      </c>
      <c r="E69" s="134" t="s">
        <v>1696</v>
      </c>
      <c r="F69" s="216" t="s">
        <v>4</v>
      </c>
      <c r="G69" s="134" t="s">
        <v>1807</v>
      </c>
      <c r="H69" s="134" t="s">
        <v>1808</v>
      </c>
      <c r="I69" s="281"/>
      <c r="J69" s="281"/>
      <c r="K69" s="223" t="s">
        <v>362</v>
      </c>
      <c r="L69" s="220" t="s">
        <v>362</v>
      </c>
      <c r="M69" s="220" t="s">
        <v>362</v>
      </c>
      <c r="N69" s="220" t="s">
        <v>362</v>
      </c>
      <c r="O69" s="220" t="s">
        <v>362</v>
      </c>
    </row>
    <row r="70" spans="1:15" x14ac:dyDescent="0.25">
      <c r="A70" s="220" t="s">
        <v>362</v>
      </c>
      <c r="B70" s="164">
        <v>45840</v>
      </c>
      <c r="C70" s="212">
        <v>45839</v>
      </c>
      <c r="D70" s="134" t="s">
        <v>1708</v>
      </c>
      <c r="E70" s="134" t="s">
        <v>1696</v>
      </c>
      <c r="F70" s="216" t="s">
        <v>4</v>
      </c>
      <c r="G70" s="134" t="s">
        <v>1809</v>
      </c>
      <c r="H70" s="134" t="s">
        <v>1810</v>
      </c>
      <c r="I70" s="281"/>
      <c r="J70" s="281"/>
      <c r="K70" s="223" t="s">
        <v>362</v>
      </c>
      <c r="L70" s="220" t="s">
        <v>362</v>
      </c>
      <c r="M70" s="220" t="s">
        <v>362</v>
      </c>
      <c r="N70" s="220" t="s">
        <v>362</v>
      </c>
      <c r="O70" s="220" t="s">
        <v>362</v>
      </c>
    </row>
    <row r="71" spans="1:15" x14ac:dyDescent="0.25">
      <c r="A71" s="220" t="s">
        <v>362</v>
      </c>
      <c r="B71" s="164">
        <v>45841</v>
      </c>
      <c r="C71" s="212">
        <v>45839</v>
      </c>
      <c r="D71" s="134" t="s">
        <v>1811</v>
      </c>
      <c r="E71" s="134" t="s">
        <v>1696</v>
      </c>
      <c r="F71" s="89" t="s">
        <v>6</v>
      </c>
      <c r="G71" s="134" t="s">
        <v>1812</v>
      </c>
      <c r="H71" s="134" t="s">
        <v>1813</v>
      </c>
      <c r="I71" s="281"/>
      <c r="J71" s="281"/>
      <c r="K71" s="223" t="s">
        <v>362</v>
      </c>
      <c r="L71" s="220" t="s">
        <v>362</v>
      </c>
      <c r="M71" s="220" t="s">
        <v>362</v>
      </c>
      <c r="N71" s="220" t="s">
        <v>362</v>
      </c>
      <c r="O71" s="220" t="s">
        <v>362</v>
      </c>
    </row>
    <row r="72" spans="1:15" x14ac:dyDescent="0.25">
      <c r="A72" s="220" t="s">
        <v>362</v>
      </c>
      <c r="B72" s="164">
        <v>45842</v>
      </c>
      <c r="C72" s="212">
        <v>45839</v>
      </c>
      <c r="D72" s="134" t="s">
        <v>1696</v>
      </c>
      <c r="E72" s="134" t="s">
        <v>1696</v>
      </c>
      <c r="F72" s="216" t="s">
        <v>4</v>
      </c>
      <c r="G72" s="134" t="s">
        <v>1814</v>
      </c>
      <c r="H72" s="134" t="s">
        <v>1815</v>
      </c>
      <c r="I72" s="281"/>
      <c r="J72" s="281"/>
      <c r="K72" s="223" t="s">
        <v>362</v>
      </c>
      <c r="L72" s="220" t="s">
        <v>362</v>
      </c>
      <c r="M72" s="220" t="s">
        <v>362</v>
      </c>
      <c r="N72" s="220" t="s">
        <v>362</v>
      </c>
      <c r="O72" s="220" t="s">
        <v>362</v>
      </c>
    </row>
    <row r="73" spans="1:15" ht="31.5" x14ac:dyDescent="0.25">
      <c r="A73" s="220" t="s">
        <v>362</v>
      </c>
      <c r="B73" s="224">
        <v>45843</v>
      </c>
      <c r="C73" s="212">
        <v>45839</v>
      </c>
      <c r="D73" s="134" t="s">
        <v>1816</v>
      </c>
      <c r="E73" s="134" t="s">
        <v>1696</v>
      </c>
      <c r="F73" s="216" t="s">
        <v>4</v>
      </c>
      <c r="G73" s="134" t="s">
        <v>1817</v>
      </c>
      <c r="H73" s="134" t="s">
        <v>1818</v>
      </c>
      <c r="I73" s="281"/>
      <c r="J73" s="281"/>
      <c r="K73" s="225" t="s">
        <v>1819</v>
      </c>
      <c r="L73" s="220" t="s">
        <v>362</v>
      </c>
      <c r="M73" s="220" t="s">
        <v>362</v>
      </c>
      <c r="N73" s="220" t="s">
        <v>362</v>
      </c>
      <c r="O73" s="220" t="s">
        <v>362</v>
      </c>
    </row>
    <row r="74" spans="1:15" x14ac:dyDescent="0.25">
      <c r="A74" s="220" t="s">
        <v>362</v>
      </c>
      <c r="B74" s="164">
        <v>45845</v>
      </c>
      <c r="C74" s="212">
        <v>45839</v>
      </c>
      <c r="D74" s="134" t="s">
        <v>1820</v>
      </c>
      <c r="E74" s="134" t="s">
        <v>1696</v>
      </c>
      <c r="F74" s="216" t="s">
        <v>4</v>
      </c>
      <c r="G74" s="134" t="s">
        <v>1821</v>
      </c>
      <c r="H74" s="134" t="s">
        <v>1822</v>
      </c>
      <c r="I74" s="281"/>
      <c r="J74" s="281"/>
      <c r="K74" s="223" t="s">
        <v>362</v>
      </c>
      <c r="L74" s="220" t="s">
        <v>362</v>
      </c>
      <c r="M74" s="220" t="s">
        <v>362</v>
      </c>
      <c r="N74" s="220" t="s">
        <v>362</v>
      </c>
      <c r="O74" s="220" t="s">
        <v>362</v>
      </c>
    </row>
    <row r="75" spans="1:15" x14ac:dyDescent="0.25">
      <c r="A75" s="220" t="s">
        <v>362</v>
      </c>
      <c r="B75" s="164">
        <v>45848</v>
      </c>
      <c r="C75" s="212">
        <v>45839</v>
      </c>
      <c r="D75" s="134" t="s">
        <v>1816</v>
      </c>
      <c r="E75" s="134" t="s">
        <v>1696</v>
      </c>
      <c r="F75" s="89" t="s">
        <v>6</v>
      </c>
      <c r="G75" s="134" t="s">
        <v>1823</v>
      </c>
      <c r="H75" s="134" t="s">
        <v>362</v>
      </c>
      <c r="I75" s="281"/>
      <c r="J75" s="281"/>
      <c r="K75" s="223" t="s">
        <v>362</v>
      </c>
      <c r="L75" s="220" t="s">
        <v>362</v>
      </c>
      <c r="M75" s="220" t="s">
        <v>362</v>
      </c>
      <c r="N75" s="220" t="s">
        <v>362</v>
      </c>
      <c r="O75" s="220" t="s">
        <v>362</v>
      </c>
    </row>
    <row r="76" spans="1:15" x14ac:dyDescent="0.25">
      <c r="A76" s="220" t="s">
        <v>362</v>
      </c>
      <c r="B76" s="164">
        <v>45853</v>
      </c>
      <c r="C76" s="212">
        <v>45839</v>
      </c>
      <c r="D76" s="134" t="s">
        <v>893</v>
      </c>
      <c r="E76" s="134" t="s">
        <v>1696</v>
      </c>
      <c r="F76" s="89" t="s">
        <v>6</v>
      </c>
      <c r="G76" s="134" t="s">
        <v>1714</v>
      </c>
      <c r="H76" s="134" t="s">
        <v>1715</v>
      </c>
      <c r="I76" s="281"/>
      <c r="J76" s="281"/>
      <c r="K76" s="223" t="s">
        <v>362</v>
      </c>
      <c r="L76" s="220" t="s">
        <v>362</v>
      </c>
      <c r="M76" s="220" t="s">
        <v>362</v>
      </c>
      <c r="N76" s="220" t="s">
        <v>362</v>
      </c>
      <c r="O76" s="220" t="s">
        <v>362</v>
      </c>
    </row>
    <row r="77" spans="1:15" x14ac:dyDescent="0.25">
      <c r="A77" s="220" t="s">
        <v>362</v>
      </c>
      <c r="B77" s="164">
        <v>45855</v>
      </c>
      <c r="C77" s="212">
        <v>45839</v>
      </c>
      <c r="D77" s="134" t="s">
        <v>893</v>
      </c>
      <c r="E77" s="134" t="s">
        <v>1696</v>
      </c>
      <c r="F77" s="89" t="s">
        <v>6</v>
      </c>
      <c r="G77" s="134" t="s">
        <v>1795</v>
      </c>
      <c r="H77" s="134" t="s">
        <v>1824</v>
      </c>
      <c r="I77" s="281"/>
      <c r="J77" s="281"/>
      <c r="K77" s="223" t="s">
        <v>362</v>
      </c>
      <c r="L77" s="220" t="s">
        <v>362</v>
      </c>
      <c r="M77" s="220" t="s">
        <v>362</v>
      </c>
      <c r="N77" s="220" t="s">
        <v>362</v>
      </c>
      <c r="O77" s="220" t="s">
        <v>362</v>
      </c>
    </row>
    <row r="78" spans="1:15" x14ac:dyDescent="0.25">
      <c r="A78" s="220" t="s">
        <v>362</v>
      </c>
      <c r="B78" s="164">
        <v>45856</v>
      </c>
      <c r="C78" s="212">
        <v>45839</v>
      </c>
      <c r="D78" s="134" t="s">
        <v>893</v>
      </c>
      <c r="E78" s="134" t="s">
        <v>1696</v>
      </c>
      <c r="F78" s="89" t="s">
        <v>6</v>
      </c>
      <c r="G78" s="134" t="s">
        <v>1714</v>
      </c>
      <c r="H78" s="134" t="s">
        <v>1825</v>
      </c>
      <c r="I78" s="281"/>
      <c r="J78" s="281"/>
      <c r="K78" s="223" t="s">
        <v>362</v>
      </c>
      <c r="L78" s="220" t="s">
        <v>362</v>
      </c>
      <c r="M78" s="220" t="s">
        <v>362</v>
      </c>
      <c r="N78" s="220" t="s">
        <v>362</v>
      </c>
      <c r="O78" s="220" t="s">
        <v>362</v>
      </c>
    </row>
    <row r="79" spans="1:15" x14ac:dyDescent="0.25">
      <c r="A79" s="220" t="s">
        <v>362</v>
      </c>
      <c r="B79" s="164">
        <v>45856</v>
      </c>
      <c r="C79" s="212">
        <v>45839</v>
      </c>
      <c r="D79" s="134" t="s">
        <v>1816</v>
      </c>
      <c r="E79" s="134" t="s">
        <v>1696</v>
      </c>
      <c r="F79" s="216" t="s">
        <v>4</v>
      </c>
      <c r="G79" s="134" t="s">
        <v>1826</v>
      </c>
      <c r="H79" s="134" t="s">
        <v>1827</v>
      </c>
      <c r="I79" s="281"/>
      <c r="J79" s="281"/>
      <c r="K79" s="223" t="s">
        <v>362</v>
      </c>
      <c r="L79" s="220" t="s">
        <v>362</v>
      </c>
      <c r="M79" s="220" t="s">
        <v>362</v>
      </c>
      <c r="N79" s="220" t="s">
        <v>362</v>
      </c>
      <c r="O79" s="220" t="s">
        <v>362</v>
      </c>
    </row>
    <row r="80" spans="1:15" x14ac:dyDescent="0.25">
      <c r="A80" s="220" t="s">
        <v>362</v>
      </c>
      <c r="B80" s="164">
        <v>45859</v>
      </c>
      <c r="C80" s="212">
        <v>45839</v>
      </c>
      <c r="D80" s="134" t="s">
        <v>1828</v>
      </c>
      <c r="E80" s="134" t="s">
        <v>1696</v>
      </c>
      <c r="F80" s="216" t="s">
        <v>4</v>
      </c>
      <c r="G80" s="134" t="s">
        <v>1829</v>
      </c>
      <c r="H80" s="134" t="s">
        <v>1830</v>
      </c>
      <c r="I80" s="281"/>
      <c r="J80" s="281"/>
      <c r="K80" s="223" t="s">
        <v>362</v>
      </c>
      <c r="L80" s="220" t="s">
        <v>362</v>
      </c>
      <c r="M80" s="220" t="s">
        <v>362</v>
      </c>
      <c r="N80" s="220" t="s">
        <v>362</v>
      </c>
      <c r="O80" s="220" t="s">
        <v>362</v>
      </c>
    </row>
    <row r="81" spans="1:15" x14ac:dyDescent="0.25">
      <c r="A81" s="220" t="s">
        <v>362</v>
      </c>
      <c r="B81" s="164">
        <v>45859</v>
      </c>
      <c r="C81" s="212">
        <v>45839</v>
      </c>
      <c r="D81" s="134" t="s">
        <v>1831</v>
      </c>
      <c r="E81" s="134" t="s">
        <v>1696</v>
      </c>
      <c r="F81" s="216" t="s">
        <v>4</v>
      </c>
      <c r="G81" s="134" t="s">
        <v>1832</v>
      </c>
      <c r="H81" s="134" t="s">
        <v>1833</v>
      </c>
      <c r="I81" s="281"/>
      <c r="J81" s="281"/>
      <c r="K81" s="223" t="s">
        <v>362</v>
      </c>
      <c r="L81" s="220" t="s">
        <v>362</v>
      </c>
      <c r="M81" s="220" t="s">
        <v>362</v>
      </c>
      <c r="N81" s="220" t="s">
        <v>362</v>
      </c>
      <c r="O81" s="220" t="s">
        <v>362</v>
      </c>
    </row>
    <row r="82" spans="1:15" x14ac:dyDescent="0.25">
      <c r="A82" s="220" t="s">
        <v>362</v>
      </c>
      <c r="B82" s="164">
        <v>45860</v>
      </c>
      <c r="C82" s="212">
        <v>45839</v>
      </c>
      <c r="D82" s="134" t="s">
        <v>1696</v>
      </c>
      <c r="E82" s="134" t="s">
        <v>1696</v>
      </c>
      <c r="F82" s="89" t="s">
        <v>6</v>
      </c>
      <c r="G82" s="134" t="s">
        <v>1834</v>
      </c>
      <c r="H82" s="134" t="s">
        <v>1835</v>
      </c>
      <c r="I82" s="281"/>
      <c r="J82" s="281"/>
      <c r="K82" s="223" t="s">
        <v>362</v>
      </c>
      <c r="L82" s="220" t="s">
        <v>362</v>
      </c>
      <c r="M82" s="220" t="s">
        <v>362</v>
      </c>
      <c r="N82" s="220" t="s">
        <v>362</v>
      </c>
      <c r="O82" s="220" t="s">
        <v>362</v>
      </c>
    </row>
    <row r="83" spans="1:15" x14ac:dyDescent="0.25">
      <c r="A83" s="220" t="s">
        <v>362</v>
      </c>
      <c r="B83" s="164">
        <v>45861</v>
      </c>
      <c r="C83" s="212">
        <v>45839</v>
      </c>
      <c r="D83" s="134" t="s">
        <v>1696</v>
      </c>
      <c r="E83" s="134" t="s">
        <v>1696</v>
      </c>
      <c r="F83" s="89" t="s">
        <v>6</v>
      </c>
      <c r="G83" s="134" t="s">
        <v>1834</v>
      </c>
      <c r="H83" s="134" t="s">
        <v>1835</v>
      </c>
      <c r="I83" s="281"/>
      <c r="J83" s="281"/>
      <c r="K83" s="223" t="s">
        <v>362</v>
      </c>
      <c r="L83" s="220" t="s">
        <v>362</v>
      </c>
      <c r="M83" s="220" t="s">
        <v>362</v>
      </c>
      <c r="N83" s="220" t="s">
        <v>362</v>
      </c>
      <c r="O83" s="220" t="s">
        <v>362</v>
      </c>
    </row>
    <row r="84" spans="1:15" x14ac:dyDescent="0.25">
      <c r="A84" s="220" t="s">
        <v>362</v>
      </c>
      <c r="B84" s="164">
        <v>45861</v>
      </c>
      <c r="C84" s="212">
        <v>45839</v>
      </c>
      <c r="D84" s="134" t="s">
        <v>893</v>
      </c>
      <c r="E84" s="134" t="s">
        <v>1696</v>
      </c>
      <c r="F84" s="89" t="s">
        <v>6</v>
      </c>
      <c r="G84" s="134" t="s">
        <v>1714</v>
      </c>
      <c r="H84" s="134" t="s">
        <v>1806</v>
      </c>
      <c r="I84" s="281"/>
      <c r="J84" s="281"/>
      <c r="K84" s="223" t="s">
        <v>362</v>
      </c>
      <c r="L84" s="220" t="s">
        <v>362</v>
      </c>
      <c r="M84" s="220" t="s">
        <v>362</v>
      </c>
      <c r="N84" s="220" t="s">
        <v>362</v>
      </c>
      <c r="O84" s="220" t="s">
        <v>362</v>
      </c>
    </row>
    <row r="85" spans="1:15" x14ac:dyDescent="0.25">
      <c r="A85" s="220" t="s">
        <v>362</v>
      </c>
      <c r="B85" s="164">
        <v>45861</v>
      </c>
      <c r="C85" s="212">
        <v>45839</v>
      </c>
      <c r="D85" s="134" t="s">
        <v>893</v>
      </c>
      <c r="E85" s="134" t="s">
        <v>1696</v>
      </c>
      <c r="F85" s="216" t="s">
        <v>4</v>
      </c>
      <c r="G85" s="134" t="s">
        <v>1836</v>
      </c>
      <c r="H85" s="134" t="s">
        <v>1837</v>
      </c>
      <c r="I85" s="281"/>
      <c r="J85" s="281"/>
      <c r="K85" s="223" t="s">
        <v>362</v>
      </c>
      <c r="L85" s="220" t="s">
        <v>362</v>
      </c>
      <c r="M85" s="220" t="s">
        <v>362</v>
      </c>
      <c r="N85" s="220" t="s">
        <v>362</v>
      </c>
      <c r="O85" s="220" t="s">
        <v>362</v>
      </c>
    </row>
    <row r="86" spans="1:15" x14ac:dyDescent="0.25">
      <c r="A86" s="220" t="s">
        <v>362</v>
      </c>
      <c r="B86" s="164">
        <v>45862</v>
      </c>
      <c r="C86" s="212">
        <v>45839</v>
      </c>
      <c r="D86" s="134" t="s">
        <v>1696</v>
      </c>
      <c r="E86" s="134" t="s">
        <v>1696</v>
      </c>
      <c r="F86" s="89" t="s">
        <v>6</v>
      </c>
      <c r="G86" s="134" t="s">
        <v>1834</v>
      </c>
      <c r="H86" s="134" t="s">
        <v>1835</v>
      </c>
      <c r="I86" s="281"/>
      <c r="J86" s="281"/>
      <c r="K86" s="223" t="s">
        <v>362</v>
      </c>
      <c r="L86" s="220" t="s">
        <v>362</v>
      </c>
      <c r="M86" s="220" t="s">
        <v>362</v>
      </c>
      <c r="N86" s="220" t="s">
        <v>362</v>
      </c>
      <c r="O86" s="220" t="s">
        <v>362</v>
      </c>
    </row>
    <row r="87" spans="1:15" x14ac:dyDescent="0.25">
      <c r="A87" s="220" t="s">
        <v>362</v>
      </c>
      <c r="B87" s="164">
        <v>45863</v>
      </c>
      <c r="C87" s="212">
        <v>45839</v>
      </c>
      <c r="D87" s="134" t="s">
        <v>406</v>
      </c>
      <c r="E87" s="134" t="s">
        <v>1696</v>
      </c>
      <c r="F87" s="216" t="s">
        <v>4</v>
      </c>
      <c r="G87" s="134" t="s">
        <v>1838</v>
      </c>
      <c r="H87" s="134" t="s">
        <v>1839</v>
      </c>
      <c r="I87" s="281"/>
      <c r="J87" s="281"/>
      <c r="K87" s="223" t="s">
        <v>362</v>
      </c>
      <c r="L87" s="220" t="s">
        <v>362</v>
      </c>
      <c r="M87" s="220" t="s">
        <v>362</v>
      </c>
      <c r="N87" s="220" t="s">
        <v>362</v>
      </c>
      <c r="O87" s="220" t="s">
        <v>362</v>
      </c>
    </row>
    <row r="88" spans="1:15" x14ac:dyDescent="0.25">
      <c r="A88" s="220" t="s">
        <v>362</v>
      </c>
      <c r="B88" s="164">
        <v>45863</v>
      </c>
      <c r="C88" s="212">
        <v>45839</v>
      </c>
      <c r="D88" s="134" t="s">
        <v>893</v>
      </c>
      <c r="E88" s="134" t="s">
        <v>1696</v>
      </c>
      <c r="F88" s="89" t="s">
        <v>6</v>
      </c>
      <c r="G88" s="134" t="s">
        <v>1714</v>
      </c>
      <c r="H88" s="134" t="s">
        <v>1806</v>
      </c>
      <c r="I88" s="281"/>
      <c r="J88" s="281"/>
      <c r="K88" s="223" t="s">
        <v>362</v>
      </c>
      <c r="L88" s="220" t="s">
        <v>362</v>
      </c>
      <c r="M88" s="220" t="s">
        <v>362</v>
      </c>
      <c r="N88" s="220" t="s">
        <v>362</v>
      </c>
      <c r="O88" s="220" t="s">
        <v>362</v>
      </c>
    </row>
    <row r="89" spans="1:15" x14ac:dyDescent="0.25">
      <c r="A89" s="220" t="s">
        <v>362</v>
      </c>
      <c r="B89" s="164">
        <v>45866</v>
      </c>
      <c r="C89" s="212">
        <v>45839</v>
      </c>
      <c r="D89" s="134" t="s">
        <v>1708</v>
      </c>
      <c r="E89" s="134" t="s">
        <v>1696</v>
      </c>
      <c r="F89" s="89" t="s">
        <v>6</v>
      </c>
      <c r="G89" s="134" t="s">
        <v>1840</v>
      </c>
      <c r="H89" s="134" t="s">
        <v>362</v>
      </c>
      <c r="I89" s="281"/>
      <c r="J89" s="281"/>
      <c r="K89" s="223" t="s">
        <v>362</v>
      </c>
      <c r="L89" s="220" t="s">
        <v>362</v>
      </c>
      <c r="M89" s="220" t="s">
        <v>362</v>
      </c>
      <c r="N89" s="220" t="s">
        <v>362</v>
      </c>
      <c r="O89" s="220" t="s">
        <v>362</v>
      </c>
    </row>
    <row r="90" spans="1:15" x14ac:dyDescent="0.25">
      <c r="A90" s="220" t="s">
        <v>362</v>
      </c>
      <c r="B90" s="164">
        <v>45867</v>
      </c>
      <c r="C90" s="212">
        <v>45839</v>
      </c>
      <c r="D90" s="134" t="s">
        <v>1780</v>
      </c>
      <c r="E90" s="134" t="s">
        <v>1696</v>
      </c>
      <c r="F90" s="216" t="s">
        <v>4</v>
      </c>
      <c r="G90" s="134" t="s">
        <v>1841</v>
      </c>
      <c r="H90" s="134" t="s">
        <v>1842</v>
      </c>
      <c r="I90" s="281"/>
      <c r="J90" s="281"/>
      <c r="K90" s="223" t="s">
        <v>362</v>
      </c>
      <c r="L90" s="220" t="s">
        <v>362</v>
      </c>
      <c r="M90" s="220" t="s">
        <v>362</v>
      </c>
      <c r="N90" s="220" t="s">
        <v>362</v>
      </c>
      <c r="O90" s="220" t="s">
        <v>362</v>
      </c>
    </row>
    <row r="91" spans="1:15" x14ac:dyDescent="0.25">
      <c r="A91" s="220" t="s">
        <v>362</v>
      </c>
      <c r="B91" s="164">
        <v>45868</v>
      </c>
      <c r="C91" s="212">
        <v>45839</v>
      </c>
      <c r="D91" s="134" t="s">
        <v>1780</v>
      </c>
      <c r="E91" s="134" t="s">
        <v>1696</v>
      </c>
      <c r="F91" s="216" t="s">
        <v>4</v>
      </c>
      <c r="G91" s="134" t="s">
        <v>1843</v>
      </c>
      <c r="H91" s="134" t="s">
        <v>1844</v>
      </c>
      <c r="I91" s="281"/>
      <c r="J91" s="281"/>
      <c r="K91" s="223" t="s">
        <v>362</v>
      </c>
      <c r="L91" s="220" t="s">
        <v>362</v>
      </c>
      <c r="M91" s="220" t="s">
        <v>362</v>
      </c>
      <c r="N91" s="220" t="s">
        <v>362</v>
      </c>
      <c r="O91" s="220" t="s">
        <v>362</v>
      </c>
    </row>
    <row r="92" spans="1:15" x14ac:dyDescent="0.25">
      <c r="A92" s="220" t="s">
        <v>362</v>
      </c>
      <c r="B92" s="164">
        <v>45868</v>
      </c>
      <c r="C92" s="212">
        <v>45839</v>
      </c>
      <c r="D92" s="134" t="s">
        <v>1811</v>
      </c>
      <c r="E92" s="134" t="s">
        <v>1696</v>
      </c>
      <c r="F92" s="216" t="s">
        <v>4</v>
      </c>
      <c r="G92" s="134" t="s">
        <v>1845</v>
      </c>
      <c r="H92" s="134" t="s">
        <v>1846</v>
      </c>
      <c r="I92" s="281"/>
      <c r="J92" s="281"/>
      <c r="K92" s="223" t="s">
        <v>362</v>
      </c>
      <c r="L92" s="220" t="s">
        <v>362</v>
      </c>
      <c r="M92" s="220" t="s">
        <v>362</v>
      </c>
      <c r="N92" s="220" t="s">
        <v>362</v>
      </c>
      <c r="O92" s="220" t="s">
        <v>362</v>
      </c>
    </row>
    <row r="93" spans="1:15" x14ac:dyDescent="0.25">
      <c r="A93" s="220" t="s">
        <v>362</v>
      </c>
      <c r="B93" s="164">
        <v>45870</v>
      </c>
      <c r="C93" s="212">
        <v>45870</v>
      </c>
      <c r="D93" s="134" t="s">
        <v>1811</v>
      </c>
      <c r="E93" s="134" t="s">
        <v>1696</v>
      </c>
      <c r="F93" s="216" t="s">
        <v>4</v>
      </c>
      <c r="G93" s="134" t="s">
        <v>1847</v>
      </c>
      <c r="H93" s="134" t="s">
        <v>362</v>
      </c>
      <c r="I93" s="281"/>
      <c r="J93" s="281"/>
      <c r="K93" s="223" t="s">
        <v>362</v>
      </c>
      <c r="L93" s="220" t="s">
        <v>362</v>
      </c>
      <c r="M93" s="220" t="s">
        <v>362</v>
      </c>
      <c r="N93" s="220" t="s">
        <v>362</v>
      </c>
      <c r="O93" s="220" t="s">
        <v>362</v>
      </c>
    </row>
    <row r="94" spans="1:15" x14ac:dyDescent="0.25">
      <c r="A94" s="220" t="s">
        <v>362</v>
      </c>
      <c r="B94" s="164">
        <v>45870</v>
      </c>
      <c r="C94" s="212">
        <v>45870</v>
      </c>
      <c r="D94" s="134" t="s">
        <v>611</v>
      </c>
      <c r="E94" s="134" t="s">
        <v>1696</v>
      </c>
      <c r="F94" s="89" t="s">
        <v>6</v>
      </c>
      <c r="G94" s="134" t="s">
        <v>1848</v>
      </c>
      <c r="H94" s="134" t="s">
        <v>1849</v>
      </c>
      <c r="I94" s="281"/>
      <c r="J94" s="281"/>
      <c r="K94" s="223" t="s">
        <v>362</v>
      </c>
      <c r="L94" s="220" t="s">
        <v>362</v>
      </c>
      <c r="M94" s="220" t="s">
        <v>362</v>
      </c>
      <c r="N94" s="220" t="s">
        <v>362</v>
      </c>
      <c r="O94" s="220" t="s">
        <v>362</v>
      </c>
    </row>
    <row r="95" spans="1:15" x14ac:dyDescent="0.25">
      <c r="A95" s="220" t="s">
        <v>362</v>
      </c>
      <c r="B95" s="164">
        <v>45870</v>
      </c>
      <c r="C95" s="212">
        <v>45870</v>
      </c>
      <c r="D95" s="134" t="s">
        <v>893</v>
      </c>
      <c r="E95" s="134" t="s">
        <v>1696</v>
      </c>
      <c r="F95" s="89" t="s">
        <v>6</v>
      </c>
      <c r="G95" s="134" t="s">
        <v>1714</v>
      </c>
      <c r="H95" s="134" t="s">
        <v>362</v>
      </c>
      <c r="I95" s="281"/>
      <c r="J95" s="281"/>
      <c r="K95" s="223" t="s">
        <v>362</v>
      </c>
      <c r="L95" s="220" t="s">
        <v>362</v>
      </c>
      <c r="M95" s="220" t="s">
        <v>362</v>
      </c>
      <c r="N95" s="220" t="s">
        <v>362</v>
      </c>
      <c r="O95" s="220" t="s">
        <v>362</v>
      </c>
    </row>
    <row r="96" spans="1:15" x14ac:dyDescent="0.25">
      <c r="A96" s="220" t="s">
        <v>362</v>
      </c>
      <c r="B96" s="162">
        <v>45870</v>
      </c>
      <c r="C96" s="210">
        <v>45870</v>
      </c>
      <c r="D96" s="163" t="s">
        <v>1811</v>
      </c>
      <c r="E96" s="163" t="s">
        <v>1696</v>
      </c>
      <c r="F96" s="216" t="s">
        <v>4</v>
      </c>
      <c r="G96" s="163" t="s">
        <v>1847</v>
      </c>
      <c r="H96" s="163" t="s">
        <v>362</v>
      </c>
      <c r="I96" s="281"/>
      <c r="J96" s="281"/>
      <c r="K96" s="220" t="s">
        <v>362</v>
      </c>
      <c r="L96" s="220" t="s">
        <v>362</v>
      </c>
      <c r="M96" s="220" t="s">
        <v>362</v>
      </c>
      <c r="N96" s="220" t="s">
        <v>362</v>
      </c>
      <c r="O96" s="220" t="s">
        <v>362</v>
      </c>
    </row>
    <row r="97" spans="1:15" x14ac:dyDescent="0.25">
      <c r="A97" s="220" t="s">
        <v>362</v>
      </c>
      <c r="B97" s="164">
        <v>45870</v>
      </c>
      <c r="C97" s="212">
        <v>45870</v>
      </c>
      <c r="D97" s="134" t="s">
        <v>611</v>
      </c>
      <c r="E97" s="134" t="s">
        <v>1696</v>
      </c>
      <c r="F97" s="89" t="s">
        <v>6</v>
      </c>
      <c r="G97" s="134" t="s">
        <v>1848</v>
      </c>
      <c r="H97" s="134" t="s">
        <v>1849</v>
      </c>
      <c r="I97" s="281"/>
      <c r="J97" s="281"/>
      <c r="K97" s="220" t="s">
        <v>362</v>
      </c>
      <c r="L97" s="220" t="s">
        <v>362</v>
      </c>
      <c r="M97" s="220" t="s">
        <v>362</v>
      </c>
      <c r="N97" s="220" t="s">
        <v>362</v>
      </c>
      <c r="O97" s="220" t="s">
        <v>362</v>
      </c>
    </row>
    <row r="98" spans="1:15" x14ac:dyDescent="0.25">
      <c r="A98" s="220" t="s">
        <v>362</v>
      </c>
      <c r="B98" s="164">
        <v>45870</v>
      </c>
      <c r="C98" s="212">
        <v>45870</v>
      </c>
      <c r="D98" s="134" t="s">
        <v>893</v>
      </c>
      <c r="E98" s="134" t="s">
        <v>1696</v>
      </c>
      <c r="F98" s="89" t="s">
        <v>6</v>
      </c>
      <c r="G98" s="134" t="s">
        <v>1714</v>
      </c>
      <c r="H98" s="134" t="s">
        <v>362</v>
      </c>
      <c r="I98" s="281"/>
      <c r="J98" s="281"/>
      <c r="K98" s="220" t="s">
        <v>362</v>
      </c>
      <c r="L98" s="220" t="s">
        <v>362</v>
      </c>
      <c r="M98" s="220" t="s">
        <v>362</v>
      </c>
      <c r="N98" s="220" t="s">
        <v>362</v>
      </c>
      <c r="O98" s="220" t="s">
        <v>362</v>
      </c>
    </row>
    <row r="99" spans="1:15" x14ac:dyDescent="0.25">
      <c r="A99" s="220" t="s">
        <v>362</v>
      </c>
      <c r="B99" s="164">
        <v>45873</v>
      </c>
      <c r="C99" s="212">
        <v>45870</v>
      </c>
      <c r="D99" s="134" t="s">
        <v>1828</v>
      </c>
      <c r="E99" s="134" t="s">
        <v>1696</v>
      </c>
      <c r="F99" s="216" t="s">
        <v>4</v>
      </c>
      <c r="G99" s="134" t="s">
        <v>1850</v>
      </c>
      <c r="H99" s="134" t="s">
        <v>1851</v>
      </c>
      <c r="I99" s="281"/>
      <c r="J99" s="281"/>
      <c r="K99" s="220" t="s">
        <v>362</v>
      </c>
      <c r="L99" s="220" t="s">
        <v>362</v>
      </c>
      <c r="M99" s="220" t="s">
        <v>362</v>
      </c>
      <c r="N99" s="220" t="s">
        <v>362</v>
      </c>
      <c r="O99" s="220" t="s">
        <v>362</v>
      </c>
    </row>
    <row r="100" spans="1:15" x14ac:dyDescent="0.25">
      <c r="A100" s="220" t="s">
        <v>362</v>
      </c>
      <c r="B100" s="165" t="s">
        <v>362</v>
      </c>
      <c r="C100" s="217" t="s">
        <v>362</v>
      </c>
      <c r="D100" s="134" t="s">
        <v>1852</v>
      </c>
      <c r="E100" s="134" t="s">
        <v>362</v>
      </c>
      <c r="F100" s="134" t="s">
        <v>362</v>
      </c>
      <c r="G100" s="134" t="s">
        <v>1853</v>
      </c>
      <c r="H100" s="134" t="s">
        <v>362</v>
      </c>
      <c r="I100" s="281"/>
      <c r="J100" s="281"/>
      <c r="K100" s="220" t="s">
        <v>362</v>
      </c>
      <c r="L100" s="220" t="s">
        <v>362</v>
      </c>
      <c r="M100" s="220" t="s">
        <v>362</v>
      </c>
      <c r="N100" s="220" t="s">
        <v>362</v>
      </c>
      <c r="O100" s="220" t="s">
        <v>362</v>
      </c>
    </row>
    <row r="101" spans="1:15" x14ac:dyDescent="0.25">
      <c r="A101" s="220" t="s">
        <v>362</v>
      </c>
      <c r="B101" s="164">
        <v>45880</v>
      </c>
      <c r="C101" s="212">
        <v>45870</v>
      </c>
      <c r="D101" s="134" t="s">
        <v>893</v>
      </c>
      <c r="E101" s="134" t="s">
        <v>1696</v>
      </c>
      <c r="F101" s="216" t="s">
        <v>4</v>
      </c>
      <c r="G101" s="134" t="s">
        <v>1854</v>
      </c>
      <c r="H101" s="134" t="s">
        <v>1855</v>
      </c>
      <c r="I101" s="281"/>
      <c r="J101" s="281"/>
      <c r="K101" s="220" t="s">
        <v>362</v>
      </c>
      <c r="L101" s="220" t="s">
        <v>362</v>
      </c>
      <c r="M101" s="220" t="s">
        <v>362</v>
      </c>
      <c r="N101" s="220" t="s">
        <v>362</v>
      </c>
      <c r="O101" s="220" t="s">
        <v>362</v>
      </c>
    </row>
    <row r="102" spans="1:15" x14ac:dyDescent="0.25">
      <c r="A102" s="220" t="s">
        <v>362</v>
      </c>
      <c r="B102" s="164">
        <v>45881</v>
      </c>
      <c r="C102" s="212">
        <v>45870</v>
      </c>
      <c r="D102" s="134" t="s">
        <v>893</v>
      </c>
      <c r="E102" s="134" t="s">
        <v>1696</v>
      </c>
      <c r="F102" s="216" t="s">
        <v>4</v>
      </c>
      <c r="G102" s="134" t="s">
        <v>1854</v>
      </c>
      <c r="H102" s="134" t="s">
        <v>1856</v>
      </c>
      <c r="I102" s="281"/>
      <c r="J102" s="281"/>
      <c r="K102" s="220" t="s">
        <v>362</v>
      </c>
      <c r="L102" s="220" t="s">
        <v>362</v>
      </c>
      <c r="M102" s="220" t="s">
        <v>362</v>
      </c>
      <c r="N102" s="220" t="s">
        <v>362</v>
      </c>
      <c r="O102" s="220" t="s">
        <v>362</v>
      </c>
    </row>
    <row r="103" spans="1:15" x14ac:dyDescent="0.25">
      <c r="A103" s="220" t="s">
        <v>362</v>
      </c>
      <c r="B103" s="165" t="s">
        <v>362</v>
      </c>
      <c r="C103" s="217" t="s">
        <v>362</v>
      </c>
      <c r="D103" s="134" t="s">
        <v>1794</v>
      </c>
      <c r="E103" s="134" t="s">
        <v>362</v>
      </c>
      <c r="F103" s="134" t="s">
        <v>362</v>
      </c>
      <c r="G103" s="134" t="s">
        <v>362</v>
      </c>
      <c r="H103" s="134" t="s">
        <v>362</v>
      </c>
      <c r="I103" s="281"/>
      <c r="J103" s="281"/>
      <c r="K103" s="220" t="s">
        <v>362</v>
      </c>
      <c r="L103" s="220" t="s">
        <v>362</v>
      </c>
      <c r="M103" s="220" t="s">
        <v>362</v>
      </c>
      <c r="N103" s="220" t="s">
        <v>362</v>
      </c>
      <c r="O103" s="220" t="s">
        <v>362</v>
      </c>
    </row>
    <row r="104" spans="1:15" x14ac:dyDescent="0.25">
      <c r="A104" s="220" t="s">
        <v>362</v>
      </c>
      <c r="B104" s="165" t="s">
        <v>362</v>
      </c>
      <c r="C104" s="217" t="s">
        <v>362</v>
      </c>
      <c r="D104" s="134" t="s">
        <v>1794</v>
      </c>
      <c r="E104" s="134" t="s">
        <v>362</v>
      </c>
      <c r="F104" s="134" t="s">
        <v>362</v>
      </c>
      <c r="G104" s="134" t="s">
        <v>362</v>
      </c>
      <c r="H104" s="134" t="s">
        <v>362</v>
      </c>
      <c r="I104" s="281"/>
      <c r="J104" s="281"/>
      <c r="K104" s="220" t="s">
        <v>362</v>
      </c>
      <c r="L104" s="220" t="s">
        <v>362</v>
      </c>
      <c r="M104" s="220" t="s">
        <v>362</v>
      </c>
      <c r="N104" s="220" t="s">
        <v>362</v>
      </c>
      <c r="O104" s="220" t="s">
        <v>362</v>
      </c>
    </row>
    <row r="105" spans="1:15" x14ac:dyDescent="0.25">
      <c r="A105" s="220" t="s">
        <v>362</v>
      </c>
      <c r="B105" s="162">
        <v>45901</v>
      </c>
      <c r="C105" s="210">
        <v>45901</v>
      </c>
      <c r="D105" s="163" t="s">
        <v>1736</v>
      </c>
      <c r="E105" s="163" t="s">
        <v>1696</v>
      </c>
      <c r="F105" s="89" t="s">
        <v>6</v>
      </c>
      <c r="G105" s="163" t="s">
        <v>1857</v>
      </c>
      <c r="H105" s="163" t="s">
        <v>1858</v>
      </c>
      <c r="I105" s="281"/>
      <c r="J105" s="281"/>
      <c r="K105" s="220" t="s">
        <v>362</v>
      </c>
      <c r="L105" s="220" t="s">
        <v>362</v>
      </c>
      <c r="M105" s="220" t="s">
        <v>362</v>
      </c>
      <c r="N105" s="220" t="s">
        <v>362</v>
      </c>
      <c r="O105" s="220" t="s">
        <v>362</v>
      </c>
    </row>
    <row r="106" spans="1:15" x14ac:dyDescent="0.25">
      <c r="A106" s="220" t="s">
        <v>362</v>
      </c>
      <c r="B106" s="164">
        <v>45902</v>
      </c>
      <c r="C106" s="212">
        <v>45901</v>
      </c>
      <c r="D106" s="134" t="s">
        <v>1736</v>
      </c>
      <c r="E106" s="134" t="s">
        <v>1696</v>
      </c>
      <c r="F106" s="89" t="s">
        <v>6</v>
      </c>
      <c r="G106" s="134" t="s">
        <v>1857</v>
      </c>
      <c r="H106" s="134" t="s">
        <v>1858</v>
      </c>
      <c r="I106" s="281"/>
      <c r="J106" s="281"/>
      <c r="K106" s="220" t="s">
        <v>362</v>
      </c>
      <c r="L106" s="220" t="s">
        <v>362</v>
      </c>
      <c r="M106" s="220" t="s">
        <v>362</v>
      </c>
      <c r="N106" s="220" t="s">
        <v>362</v>
      </c>
      <c r="O106" s="220" t="s">
        <v>362</v>
      </c>
    </row>
    <row r="107" spans="1:15" x14ac:dyDescent="0.25">
      <c r="A107" s="220" t="s">
        <v>362</v>
      </c>
      <c r="B107" s="164">
        <v>45903</v>
      </c>
      <c r="C107" s="212">
        <v>45901</v>
      </c>
      <c r="D107" s="134" t="s">
        <v>1736</v>
      </c>
      <c r="E107" s="134" t="s">
        <v>1696</v>
      </c>
      <c r="F107" s="89" t="s">
        <v>6</v>
      </c>
      <c r="G107" s="134" t="s">
        <v>1857</v>
      </c>
      <c r="H107" s="134" t="s">
        <v>1858</v>
      </c>
      <c r="I107" s="281"/>
      <c r="J107" s="281"/>
      <c r="K107" s="220" t="s">
        <v>362</v>
      </c>
      <c r="L107" s="220" t="s">
        <v>362</v>
      </c>
      <c r="M107" s="220" t="s">
        <v>362</v>
      </c>
      <c r="N107" s="220" t="s">
        <v>362</v>
      </c>
      <c r="O107" s="220" t="s">
        <v>362</v>
      </c>
    </row>
    <row r="108" spans="1:15" x14ac:dyDescent="0.25">
      <c r="A108" s="220" t="s">
        <v>362</v>
      </c>
      <c r="B108" s="164">
        <v>45904</v>
      </c>
      <c r="C108" s="212">
        <v>45901</v>
      </c>
      <c r="D108" s="134" t="s">
        <v>1736</v>
      </c>
      <c r="E108" s="134" t="s">
        <v>1696</v>
      </c>
      <c r="F108" s="89" t="s">
        <v>6</v>
      </c>
      <c r="G108" s="134" t="s">
        <v>1857</v>
      </c>
      <c r="H108" s="134" t="s">
        <v>1858</v>
      </c>
      <c r="I108" s="281"/>
      <c r="J108" s="281"/>
      <c r="K108" s="220" t="s">
        <v>362</v>
      </c>
      <c r="L108" s="220" t="s">
        <v>362</v>
      </c>
      <c r="M108" s="220" t="s">
        <v>362</v>
      </c>
      <c r="N108" s="220" t="s">
        <v>362</v>
      </c>
      <c r="O108" s="220" t="s">
        <v>362</v>
      </c>
    </row>
    <row r="109" spans="1:15" x14ac:dyDescent="0.25">
      <c r="A109" s="220" t="s">
        <v>362</v>
      </c>
      <c r="B109" s="164">
        <v>45905</v>
      </c>
      <c r="C109" s="212">
        <v>45901</v>
      </c>
      <c r="D109" s="134" t="s">
        <v>1736</v>
      </c>
      <c r="E109" s="134" t="s">
        <v>1696</v>
      </c>
      <c r="F109" s="89" t="s">
        <v>6</v>
      </c>
      <c r="G109" s="134" t="s">
        <v>1857</v>
      </c>
      <c r="H109" s="134" t="s">
        <v>1858</v>
      </c>
      <c r="I109" s="281"/>
      <c r="J109" s="281"/>
      <c r="K109" s="220" t="s">
        <v>362</v>
      </c>
      <c r="L109" s="220" t="s">
        <v>362</v>
      </c>
      <c r="M109" s="220" t="s">
        <v>362</v>
      </c>
      <c r="N109" s="220" t="s">
        <v>362</v>
      </c>
      <c r="O109" s="220" t="s">
        <v>362</v>
      </c>
    </row>
    <row r="110" spans="1:15" x14ac:dyDescent="0.25">
      <c r="A110" s="220" t="s">
        <v>362</v>
      </c>
      <c r="B110" s="164">
        <v>45908</v>
      </c>
      <c r="C110" s="212">
        <v>45901</v>
      </c>
      <c r="D110" s="134" t="s">
        <v>1736</v>
      </c>
      <c r="E110" s="134" t="s">
        <v>1696</v>
      </c>
      <c r="F110" s="89" t="s">
        <v>6</v>
      </c>
      <c r="G110" s="134" t="s">
        <v>1857</v>
      </c>
      <c r="H110" s="134" t="s">
        <v>1859</v>
      </c>
      <c r="I110" s="281"/>
      <c r="J110" s="281"/>
      <c r="K110" s="220" t="s">
        <v>362</v>
      </c>
      <c r="L110" s="220" t="s">
        <v>362</v>
      </c>
      <c r="M110" s="220" t="s">
        <v>362</v>
      </c>
      <c r="N110" s="220" t="s">
        <v>362</v>
      </c>
      <c r="O110" s="220" t="s">
        <v>362</v>
      </c>
    </row>
    <row r="111" spans="1:15" x14ac:dyDescent="0.25">
      <c r="A111" s="220" t="s">
        <v>362</v>
      </c>
      <c r="B111" s="164">
        <v>45909</v>
      </c>
      <c r="C111" s="212">
        <v>45901</v>
      </c>
      <c r="D111" s="134" t="s">
        <v>1736</v>
      </c>
      <c r="E111" s="134" t="s">
        <v>1696</v>
      </c>
      <c r="F111" s="89" t="s">
        <v>6</v>
      </c>
      <c r="G111" s="134" t="s">
        <v>1857</v>
      </c>
      <c r="H111" s="134" t="s">
        <v>1859</v>
      </c>
      <c r="I111" s="281"/>
      <c r="J111" s="281"/>
      <c r="K111" s="220" t="s">
        <v>362</v>
      </c>
      <c r="L111" s="220" t="s">
        <v>362</v>
      </c>
      <c r="M111" s="220" t="s">
        <v>362</v>
      </c>
      <c r="N111" s="220" t="s">
        <v>362</v>
      </c>
      <c r="O111" s="220" t="s">
        <v>362</v>
      </c>
    </row>
    <row r="112" spans="1:15" x14ac:dyDescent="0.25">
      <c r="A112" s="220" t="s">
        <v>362</v>
      </c>
      <c r="B112" s="164">
        <v>45910</v>
      </c>
      <c r="C112" s="212">
        <v>45901</v>
      </c>
      <c r="D112" s="134" t="s">
        <v>1736</v>
      </c>
      <c r="E112" s="134" t="s">
        <v>1696</v>
      </c>
      <c r="F112" s="89" t="s">
        <v>6</v>
      </c>
      <c r="G112" s="134" t="s">
        <v>1857</v>
      </c>
      <c r="H112" s="134" t="s">
        <v>1859</v>
      </c>
      <c r="I112" s="281"/>
      <c r="J112" s="281"/>
      <c r="K112" s="220" t="s">
        <v>362</v>
      </c>
      <c r="L112" s="220" t="s">
        <v>362</v>
      </c>
      <c r="M112" s="220" t="s">
        <v>362</v>
      </c>
      <c r="N112" s="220" t="s">
        <v>362</v>
      </c>
      <c r="O112" s="220" t="s">
        <v>362</v>
      </c>
    </row>
    <row r="113" spans="1:15" x14ac:dyDescent="0.25">
      <c r="A113" s="220" t="s">
        <v>362</v>
      </c>
      <c r="B113" s="164">
        <v>45911</v>
      </c>
      <c r="C113" s="212">
        <v>45901</v>
      </c>
      <c r="D113" s="134" t="s">
        <v>1736</v>
      </c>
      <c r="E113" s="134" t="s">
        <v>1696</v>
      </c>
      <c r="F113" s="89" t="s">
        <v>6</v>
      </c>
      <c r="G113" s="134" t="s">
        <v>1857</v>
      </c>
      <c r="H113" s="134" t="s">
        <v>1860</v>
      </c>
      <c r="I113" s="281"/>
      <c r="J113" s="281"/>
      <c r="K113" s="220" t="s">
        <v>362</v>
      </c>
      <c r="L113" s="220" t="s">
        <v>362</v>
      </c>
      <c r="M113" s="220" t="s">
        <v>362</v>
      </c>
      <c r="N113" s="220" t="s">
        <v>362</v>
      </c>
      <c r="O113" s="220" t="s">
        <v>362</v>
      </c>
    </row>
    <row r="114" spans="1:15" x14ac:dyDescent="0.25">
      <c r="A114" s="220" t="s">
        <v>362</v>
      </c>
      <c r="B114" s="164">
        <v>45911</v>
      </c>
      <c r="C114" s="212">
        <v>45901</v>
      </c>
      <c r="D114" s="134" t="s">
        <v>1736</v>
      </c>
      <c r="E114" s="134" t="s">
        <v>1696</v>
      </c>
      <c r="F114" s="89" t="s">
        <v>6</v>
      </c>
      <c r="G114" s="134" t="s">
        <v>1861</v>
      </c>
      <c r="H114" s="134" t="s">
        <v>1862</v>
      </c>
      <c r="I114" s="281"/>
      <c r="J114" s="281"/>
      <c r="K114" s="220" t="s">
        <v>362</v>
      </c>
      <c r="L114" s="220" t="s">
        <v>362</v>
      </c>
      <c r="M114" s="220" t="s">
        <v>362</v>
      </c>
      <c r="N114" s="220" t="s">
        <v>362</v>
      </c>
      <c r="O114" s="220" t="s">
        <v>362</v>
      </c>
    </row>
    <row r="115" spans="1:15" x14ac:dyDescent="0.25">
      <c r="A115" s="220" t="s">
        <v>362</v>
      </c>
      <c r="B115" s="164">
        <v>45915</v>
      </c>
      <c r="C115" s="212">
        <v>45901</v>
      </c>
      <c r="D115" s="134" t="s">
        <v>1863</v>
      </c>
      <c r="E115" s="134" t="s">
        <v>1696</v>
      </c>
      <c r="F115" s="216" t="s">
        <v>4</v>
      </c>
      <c r="G115" s="134" t="s">
        <v>1864</v>
      </c>
      <c r="H115" s="134" t="s">
        <v>1865</v>
      </c>
      <c r="I115" s="281"/>
      <c r="J115" s="281"/>
      <c r="K115" s="220" t="s">
        <v>362</v>
      </c>
      <c r="L115" s="220" t="s">
        <v>362</v>
      </c>
      <c r="M115" s="220" t="s">
        <v>362</v>
      </c>
      <c r="N115" s="220" t="s">
        <v>362</v>
      </c>
      <c r="O115" s="220" t="s">
        <v>362</v>
      </c>
    </row>
    <row r="116" spans="1:15" x14ac:dyDescent="0.25">
      <c r="A116" s="220" t="s">
        <v>362</v>
      </c>
      <c r="B116" s="164">
        <v>45915</v>
      </c>
      <c r="C116" s="212">
        <v>45901</v>
      </c>
      <c r="D116" s="134" t="s">
        <v>1866</v>
      </c>
      <c r="E116" s="134" t="s">
        <v>1696</v>
      </c>
      <c r="F116" s="216" t="s">
        <v>4</v>
      </c>
      <c r="G116" s="134" t="s">
        <v>1867</v>
      </c>
      <c r="H116" s="134" t="s">
        <v>1868</v>
      </c>
      <c r="I116" s="281"/>
      <c r="J116" s="281"/>
      <c r="K116" s="220" t="s">
        <v>362</v>
      </c>
      <c r="L116" s="220" t="s">
        <v>362</v>
      </c>
      <c r="M116" s="220" t="s">
        <v>362</v>
      </c>
      <c r="N116" s="220" t="s">
        <v>362</v>
      </c>
      <c r="O116" s="220" t="s">
        <v>362</v>
      </c>
    </row>
    <row r="117" spans="1:15" x14ac:dyDescent="0.25">
      <c r="A117" s="220" t="s">
        <v>362</v>
      </c>
      <c r="B117" s="164">
        <v>45915</v>
      </c>
      <c r="C117" s="212">
        <v>45901</v>
      </c>
      <c r="D117" s="134" t="s">
        <v>1863</v>
      </c>
      <c r="E117" s="134" t="s">
        <v>1696</v>
      </c>
      <c r="F117" s="89" t="s">
        <v>6</v>
      </c>
      <c r="G117" s="134" t="s">
        <v>1869</v>
      </c>
      <c r="H117" s="134" t="s">
        <v>362</v>
      </c>
      <c r="I117" s="281"/>
      <c r="J117" s="281"/>
      <c r="K117" s="220" t="s">
        <v>362</v>
      </c>
      <c r="L117" s="220" t="s">
        <v>362</v>
      </c>
      <c r="M117" s="220" t="s">
        <v>362</v>
      </c>
      <c r="N117" s="220" t="s">
        <v>362</v>
      </c>
      <c r="O117" s="220" t="s">
        <v>362</v>
      </c>
    </row>
    <row r="118" spans="1:15" x14ac:dyDescent="0.25">
      <c r="A118" s="220" t="s">
        <v>362</v>
      </c>
      <c r="B118" s="164">
        <v>45924</v>
      </c>
      <c r="C118" s="212">
        <v>45901</v>
      </c>
      <c r="D118" s="134" t="s">
        <v>1870</v>
      </c>
      <c r="E118" s="134" t="s">
        <v>1696</v>
      </c>
      <c r="F118" s="216" t="s">
        <v>4</v>
      </c>
      <c r="G118" s="134" t="s">
        <v>1871</v>
      </c>
      <c r="H118" s="134" t="s">
        <v>1872</v>
      </c>
      <c r="I118" s="281"/>
      <c r="J118" s="281"/>
      <c r="K118" s="220" t="s">
        <v>362</v>
      </c>
      <c r="L118" s="220" t="s">
        <v>362</v>
      </c>
      <c r="M118" s="220" t="s">
        <v>362</v>
      </c>
      <c r="N118" s="220" t="s">
        <v>362</v>
      </c>
      <c r="O118" s="220" t="s">
        <v>362</v>
      </c>
    </row>
    <row r="119" spans="1:15" x14ac:dyDescent="0.25">
      <c r="A119" s="220" t="s">
        <v>362</v>
      </c>
      <c r="B119" s="164">
        <v>45923</v>
      </c>
      <c r="C119" s="212">
        <v>45901</v>
      </c>
      <c r="D119" s="134" t="s">
        <v>893</v>
      </c>
      <c r="E119" s="134" t="s">
        <v>1696</v>
      </c>
      <c r="F119" s="89" t="s">
        <v>6</v>
      </c>
      <c r="G119" s="134" t="s">
        <v>1873</v>
      </c>
      <c r="H119" s="134" t="s">
        <v>1874</v>
      </c>
      <c r="I119" s="281"/>
      <c r="J119" s="281"/>
      <c r="K119" s="220" t="s">
        <v>362</v>
      </c>
      <c r="L119" s="220" t="s">
        <v>362</v>
      </c>
      <c r="M119" s="220" t="s">
        <v>362</v>
      </c>
      <c r="N119" s="220" t="s">
        <v>362</v>
      </c>
      <c r="O119" s="220" t="s">
        <v>362</v>
      </c>
    </row>
    <row r="120" spans="1:15" x14ac:dyDescent="0.25">
      <c r="A120" s="220" t="s">
        <v>362</v>
      </c>
      <c r="B120" s="164">
        <v>45924</v>
      </c>
      <c r="C120" s="212">
        <v>45901</v>
      </c>
      <c r="D120" s="134" t="s">
        <v>1870</v>
      </c>
      <c r="E120" s="134" t="s">
        <v>1696</v>
      </c>
      <c r="F120" s="89" t="s">
        <v>6</v>
      </c>
      <c r="G120" s="134" t="s">
        <v>1875</v>
      </c>
      <c r="H120" s="134" t="s">
        <v>362</v>
      </c>
      <c r="I120" s="281"/>
      <c r="J120" s="281"/>
      <c r="K120" s="220" t="s">
        <v>362</v>
      </c>
      <c r="L120" s="220" t="s">
        <v>362</v>
      </c>
      <c r="M120" s="220" t="s">
        <v>362</v>
      </c>
      <c r="N120" s="220" t="s">
        <v>362</v>
      </c>
      <c r="O120" s="220" t="s">
        <v>362</v>
      </c>
    </row>
    <row r="121" spans="1:15" x14ac:dyDescent="0.25">
      <c r="A121" s="220" t="s">
        <v>362</v>
      </c>
      <c r="B121" s="164">
        <v>45924</v>
      </c>
      <c r="C121" s="212">
        <v>45901</v>
      </c>
      <c r="D121" s="134" t="s">
        <v>1870</v>
      </c>
      <c r="E121" s="134" t="s">
        <v>1696</v>
      </c>
      <c r="F121" s="216" t="s">
        <v>4</v>
      </c>
      <c r="G121" s="134" t="s">
        <v>1876</v>
      </c>
      <c r="H121" s="134" t="s">
        <v>1877</v>
      </c>
      <c r="I121" s="281"/>
      <c r="J121" s="281"/>
      <c r="K121" s="220" t="s">
        <v>362</v>
      </c>
      <c r="L121" s="220" t="s">
        <v>362</v>
      </c>
      <c r="M121" s="220" t="s">
        <v>362</v>
      </c>
      <c r="N121" s="220" t="s">
        <v>362</v>
      </c>
      <c r="O121" s="220" t="s">
        <v>362</v>
      </c>
    </row>
    <row r="122" spans="1:15" x14ac:dyDescent="0.25">
      <c r="A122" s="220" t="s">
        <v>362</v>
      </c>
      <c r="B122" s="164">
        <v>45925</v>
      </c>
      <c r="C122" s="212">
        <v>45901</v>
      </c>
      <c r="D122" s="134" t="s">
        <v>1870</v>
      </c>
      <c r="E122" s="134" t="s">
        <v>1696</v>
      </c>
      <c r="F122" s="216" t="s">
        <v>4</v>
      </c>
      <c r="G122" s="134" t="s">
        <v>1878</v>
      </c>
      <c r="H122" s="134" t="s">
        <v>1879</v>
      </c>
      <c r="I122" s="281"/>
      <c r="J122" s="281"/>
      <c r="K122" s="220" t="s">
        <v>1880</v>
      </c>
      <c r="L122" s="220" t="s">
        <v>362</v>
      </c>
      <c r="M122" s="220" t="s">
        <v>362</v>
      </c>
      <c r="N122" s="220" t="s">
        <v>362</v>
      </c>
      <c r="O122" s="220" t="s">
        <v>362</v>
      </c>
    </row>
    <row r="123" spans="1:15" x14ac:dyDescent="0.25">
      <c r="A123" s="220" t="s">
        <v>362</v>
      </c>
      <c r="B123" s="164">
        <v>45926</v>
      </c>
      <c r="C123" s="212">
        <v>45901</v>
      </c>
      <c r="D123" s="134" t="s">
        <v>893</v>
      </c>
      <c r="E123" s="134" t="s">
        <v>1696</v>
      </c>
      <c r="F123" s="216" t="s">
        <v>4</v>
      </c>
      <c r="G123" s="134" t="s">
        <v>1881</v>
      </c>
      <c r="H123" s="134" t="s">
        <v>1882</v>
      </c>
      <c r="I123" s="281"/>
      <c r="J123" s="281"/>
      <c r="K123" s="220" t="s">
        <v>362</v>
      </c>
      <c r="L123" s="220" t="s">
        <v>362</v>
      </c>
      <c r="M123" s="220" t="s">
        <v>362</v>
      </c>
      <c r="N123" s="220" t="s">
        <v>362</v>
      </c>
      <c r="O123" s="220" t="s">
        <v>362</v>
      </c>
    </row>
    <row r="124" spans="1:15" x14ac:dyDescent="0.25">
      <c r="A124" s="220" t="s">
        <v>362</v>
      </c>
      <c r="B124" s="164">
        <v>45929</v>
      </c>
      <c r="C124" s="212">
        <v>45901</v>
      </c>
      <c r="D124" s="134" t="s">
        <v>1790</v>
      </c>
      <c r="E124" s="134" t="s">
        <v>1696</v>
      </c>
      <c r="F124" s="216" t="s">
        <v>4</v>
      </c>
      <c r="G124" s="134" t="s">
        <v>1883</v>
      </c>
      <c r="H124" s="134" t="s">
        <v>1884</v>
      </c>
      <c r="I124" s="281"/>
      <c r="J124" s="281"/>
      <c r="K124" s="220" t="s">
        <v>362</v>
      </c>
      <c r="L124" s="220" t="s">
        <v>362</v>
      </c>
      <c r="M124" s="220" t="s">
        <v>362</v>
      </c>
      <c r="N124" s="220" t="s">
        <v>362</v>
      </c>
      <c r="O124" s="220" t="s">
        <v>362</v>
      </c>
    </row>
    <row r="125" spans="1:15" x14ac:dyDescent="0.25">
      <c r="A125" s="220" t="s">
        <v>362</v>
      </c>
      <c r="B125" s="164">
        <v>45929</v>
      </c>
      <c r="C125" s="212">
        <v>45901</v>
      </c>
      <c r="D125" s="134" t="s">
        <v>1870</v>
      </c>
      <c r="E125" s="134" t="s">
        <v>1696</v>
      </c>
      <c r="F125" s="89" t="s">
        <v>6</v>
      </c>
      <c r="G125" s="134" t="s">
        <v>1885</v>
      </c>
      <c r="H125" s="226" t="s">
        <v>144</v>
      </c>
      <c r="I125" s="283"/>
      <c r="J125" s="283"/>
      <c r="K125" s="220" t="s">
        <v>362</v>
      </c>
      <c r="L125" s="220" t="s">
        <v>362</v>
      </c>
      <c r="M125" s="220" t="s">
        <v>362</v>
      </c>
      <c r="N125" s="220" t="s">
        <v>362</v>
      </c>
      <c r="O125" s="220" t="s">
        <v>362</v>
      </c>
    </row>
    <row r="126" spans="1:15" x14ac:dyDescent="0.25">
      <c r="A126" s="220" t="s">
        <v>362</v>
      </c>
      <c r="B126" s="162">
        <v>45931</v>
      </c>
      <c r="C126" s="210">
        <v>45931</v>
      </c>
      <c r="D126" s="163" t="s">
        <v>1870</v>
      </c>
      <c r="E126" s="163" t="s">
        <v>1696</v>
      </c>
      <c r="F126" s="216" t="s">
        <v>4</v>
      </c>
      <c r="G126" s="163" t="s">
        <v>1886</v>
      </c>
      <c r="H126" s="163" t="s">
        <v>1887</v>
      </c>
      <c r="I126" s="281"/>
      <c r="J126" s="281"/>
      <c r="K126" s="220" t="s">
        <v>362</v>
      </c>
      <c r="L126" s="220" t="s">
        <v>362</v>
      </c>
      <c r="M126" s="220" t="s">
        <v>362</v>
      </c>
      <c r="N126" s="220" t="s">
        <v>362</v>
      </c>
      <c r="O126" s="220" t="s">
        <v>362</v>
      </c>
    </row>
    <row r="127" spans="1:15" x14ac:dyDescent="0.25">
      <c r="A127" s="220" t="s">
        <v>362</v>
      </c>
      <c r="B127" s="164">
        <v>45932</v>
      </c>
      <c r="C127" s="212">
        <v>45931</v>
      </c>
      <c r="D127" s="134" t="s">
        <v>1870</v>
      </c>
      <c r="E127" s="134" t="s">
        <v>1696</v>
      </c>
      <c r="F127" s="89" t="s">
        <v>6</v>
      </c>
      <c r="G127" s="134" t="s">
        <v>1888</v>
      </c>
      <c r="H127" s="134" t="s">
        <v>1889</v>
      </c>
      <c r="I127" s="281"/>
      <c r="J127" s="281"/>
      <c r="K127" s="220" t="s">
        <v>362</v>
      </c>
      <c r="L127" s="220" t="s">
        <v>362</v>
      </c>
      <c r="M127" s="220" t="s">
        <v>362</v>
      </c>
      <c r="N127" s="220" t="s">
        <v>362</v>
      </c>
      <c r="O127" s="220" t="s">
        <v>362</v>
      </c>
    </row>
    <row r="128" spans="1:15" x14ac:dyDescent="0.25">
      <c r="A128" s="220" t="s">
        <v>362</v>
      </c>
      <c r="B128" s="164">
        <v>45932</v>
      </c>
      <c r="C128" s="212">
        <v>45931</v>
      </c>
      <c r="D128" s="134" t="s">
        <v>406</v>
      </c>
      <c r="E128" s="134" t="s">
        <v>1696</v>
      </c>
      <c r="F128" s="89" t="s">
        <v>6</v>
      </c>
      <c r="G128" s="134" t="s">
        <v>1890</v>
      </c>
      <c r="H128" s="134" t="s">
        <v>362</v>
      </c>
      <c r="I128" s="281"/>
      <c r="J128" s="281"/>
      <c r="K128" s="220" t="s">
        <v>362</v>
      </c>
      <c r="L128" s="220" t="s">
        <v>362</v>
      </c>
      <c r="M128" s="220" t="s">
        <v>362</v>
      </c>
      <c r="N128" s="220" t="s">
        <v>362</v>
      </c>
      <c r="O128" s="220" t="s">
        <v>362</v>
      </c>
    </row>
    <row r="129" spans="1:15" x14ac:dyDescent="0.25">
      <c r="A129" s="220" t="s">
        <v>362</v>
      </c>
      <c r="B129" s="164">
        <v>45932</v>
      </c>
      <c r="C129" s="212">
        <v>45931</v>
      </c>
      <c r="D129" s="134" t="s">
        <v>893</v>
      </c>
      <c r="E129" s="134" t="s">
        <v>1696</v>
      </c>
      <c r="F129" s="216" t="s">
        <v>4</v>
      </c>
      <c r="G129" s="134" t="s">
        <v>1891</v>
      </c>
      <c r="H129" s="134" t="s">
        <v>1892</v>
      </c>
      <c r="I129" s="281"/>
      <c r="J129" s="281"/>
      <c r="K129" s="220" t="s">
        <v>362</v>
      </c>
      <c r="L129" s="220" t="s">
        <v>362</v>
      </c>
      <c r="M129" s="220" t="s">
        <v>362</v>
      </c>
      <c r="N129" s="220" t="s">
        <v>362</v>
      </c>
      <c r="O129" s="220" t="s">
        <v>362</v>
      </c>
    </row>
    <row r="130" spans="1:15" x14ac:dyDescent="0.25">
      <c r="A130" s="220" t="s">
        <v>362</v>
      </c>
      <c r="B130" s="164">
        <v>45932</v>
      </c>
      <c r="C130" s="212">
        <v>45931</v>
      </c>
      <c r="D130" s="134" t="s">
        <v>1893</v>
      </c>
      <c r="E130" s="134" t="s">
        <v>1696</v>
      </c>
      <c r="F130" s="89" t="s">
        <v>6</v>
      </c>
      <c r="G130" s="134" t="s">
        <v>1894</v>
      </c>
      <c r="H130" s="134" t="s">
        <v>362</v>
      </c>
      <c r="I130" s="281"/>
      <c r="J130" s="281"/>
      <c r="K130" s="220" t="s">
        <v>362</v>
      </c>
      <c r="L130" s="220" t="s">
        <v>362</v>
      </c>
      <c r="M130" s="220" t="s">
        <v>362</v>
      </c>
      <c r="N130" s="220" t="s">
        <v>362</v>
      </c>
      <c r="O130" s="220" t="s">
        <v>362</v>
      </c>
    </row>
    <row r="131" spans="1:15" x14ac:dyDescent="0.25">
      <c r="A131" s="220" t="s">
        <v>362</v>
      </c>
      <c r="B131" s="164">
        <v>45933</v>
      </c>
      <c r="C131" s="212">
        <v>45931</v>
      </c>
      <c r="D131" s="134" t="s">
        <v>406</v>
      </c>
      <c r="E131" s="134" t="s">
        <v>1696</v>
      </c>
      <c r="F131" s="89" t="s">
        <v>6</v>
      </c>
      <c r="G131" s="134" t="s">
        <v>1895</v>
      </c>
      <c r="H131" s="134" t="s">
        <v>362</v>
      </c>
      <c r="I131" s="281"/>
      <c r="J131" s="281"/>
      <c r="K131" s="220" t="s">
        <v>362</v>
      </c>
      <c r="L131" s="220" t="s">
        <v>362</v>
      </c>
      <c r="M131" s="220" t="s">
        <v>362</v>
      </c>
      <c r="N131" s="220" t="s">
        <v>362</v>
      </c>
      <c r="O131" s="220" t="s">
        <v>362</v>
      </c>
    </row>
    <row r="132" spans="1:15" x14ac:dyDescent="0.25">
      <c r="A132" s="220" t="s">
        <v>362</v>
      </c>
      <c r="B132" s="164">
        <v>45933</v>
      </c>
      <c r="C132" s="212">
        <v>45931</v>
      </c>
      <c r="D132" s="134" t="s">
        <v>406</v>
      </c>
      <c r="E132" s="134" t="s">
        <v>1696</v>
      </c>
      <c r="F132" s="89" t="s">
        <v>6</v>
      </c>
      <c r="G132" s="134" t="s">
        <v>1896</v>
      </c>
      <c r="H132" s="134" t="s">
        <v>362</v>
      </c>
      <c r="I132" s="281"/>
      <c r="J132" s="281"/>
      <c r="K132" s="220" t="s">
        <v>362</v>
      </c>
      <c r="L132" s="220" t="s">
        <v>362</v>
      </c>
      <c r="M132" s="220" t="s">
        <v>362</v>
      </c>
      <c r="N132" s="220" t="s">
        <v>362</v>
      </c>
      <c r="O132" s="220" t="s">
        <v>362</v>
      </c>
    </row>
    <row r="133" spans="1:15" x14ac:dyDescent="0.25">
      <c r="A133" s="220" t="s">
        <v>362</v>
      </c>
      <c r="B133" s="164">
        <v>45936</v>
      </c>
      <c r="C133" s="212">
        <v>45931</v>
      </c>
      <c r="D133" s="134" t="s">
        <v>406</v>
      </c>
      <c r="E133" s="134" t="s">
        <v>1696</v>
      </c>
      <c r="F133" s="89" t="s">
        <v>6</v>
      </c>
      <c r="G133" s="134" t="s">
        <v>1895</v>
      </c>
      <c r="H133" s="134" t="s">
        <v>362</v>
      </c>
      <c r="I133" s="281"/>
      <c r="J133" s="281"/>
      <c r="K133" s="220" t="s">
        <v>362</v>
      </c>
      <c r="L133" s="220" t="s">
        <v>362</v>
      </c>
      <c r="M133" s="220" t="s">
        <v>362</v>
      </c>
      <c r="N133" s="220" t="s">
        <v>362</v>
      </c>
      <c r="O133" s="220" t="s">
        <v>362</v>
      </c>
    </row>
    <row r="134" spans="1:15" x14ac:dyDescent="0.25">
      <c r="A134" s="220" t="s">
        <v>362</v>
      </c>
      <c r="B134" s="164">
        <v>45936</v>
      </c>
      <c r="C134" s="212">
        <v>45931</v>
      </c>
      <c r="D134" s="134" t="s">
        <v>406</v>
      </c>
      <c r="E134" s="134" t="s">
        <v>1696</v>
      </c>
      <c r="F134" s="89" t="s">
        <v>6</v>
      </c>
      <c r="G134" s="134" t="s">
        <v>1896</v>
      </c>
      <c r="H134" s="134" t="s">
        <v>362</v>
      </c>
      <c r="I134" s="281"/>
      <c r="J134" s="281"/>
      <c r="K134" s="220" t="s">
        <v>362</v>
      </c>
      <c r="L134" s="220" t="s">
        <v>362</v>
      </c>
      <c r="M134" s="220" t="s">
        <v>362</v>
      </c>
      <c r="N134" s="220" t="s">
        <v>362</v>
      </c>
      <c r="O134" s="220" t="s">
        <v>362</v>
      </c>
    </row>
    <row r="135" spans="1:15" x14ac:dyDescent="0.25">
      <c r="A135" s="220" t="s">
        <v>362</v>
      </c>
      <c r="B135" s="164">
        <v>45937</v>
      </c>
      <c r="C135" s="212">
        <v>45931</v>
      </c>
      <c r="D135" s="134" t="s">
        <v>1870</v>
      </c>
      <c r="E135" s="134" t="s">
        <v>1696</v>
      </c>
      <c r="F135" s="89" t="s">
        <v>6</v>
      </c>
      <c r="G135" s="134" t="s">
        <v>1897</v>
      </c>
      <c r="H135" s="134" t="s">
        <v>1757</v>
      </c>
      <c r="I135" s="281"/>
      <c r="J135" s="281"/>
      <c r="K135" s="220" t="s">
        <v>362</v>
      </c>
      <c r="L135" s="220" t="s">
        <v>362</v>
      </c>
      <c r="M135" s="220" t="s">
        <v>362</v>
      </c>
      <c r="N135" s="220" t="s">
        <v>362</v>
      </c>
      <c r="O135" s="220" t="s">
        <v>362</v>
      </c>
    </row>
    <row r="136" spans="1:15" x14ac:dyDescent="0.25">
      <c r="A136" s="220" t="s">
        <v>362</v>
      </c>
      <c r="B136" s="164">
        <v>45937</v>
      </c>
      <c r="C136" s="212">
        <v>45931</v>
      </c>
      <c r="D136" s="134" t="s">
        <v>406</v>
      </c>
      <c r="E136" s="134" t="s">
        <v>1696</v>
      </c>
      <c r="F136" s="89" t="s">
        <v>6</v>
      </c>
      <c r="G136" s="134" t="s">
        <v>1895</v>
      </c>
      <c r="H136" s="134" t="s">
        <v>362</v>
      </c>
      <c r="I136" s="281"/>
      <c r="J136" s="281"/>
      <c r="K136" s="220" t="s">
        <v>362</v>
      </c>
      <c r="L136" s="220" t="s">
        <v>362</v>
      </c>
      <c r="M136" s="220" t="s">
        <v>362</v>
      </c>
      <c r="N136" s="220" t="s">
        <v>362</v>
      </c>
      <c r="O136" s="220" t="s">
        <v>362</v>
      </c>
    </row>
    <row r="137" spans="1:15" x14ac:dyDescent="0.25">
      <c r="A137" s="220" t="s">
        <v>362</v>
      </c>
      <c r="B137" s="164">
        <v>45937</v>
      </c>
      <c r="C137" s="212">
        <v>45931</v>
      </c>
      <c r="D137" s="134" t="s">
        <v>406</v>
      </c>
      <c r="E137" s="134" t="s">
        <v>1696</v>
      </c>
      <c r="F137" s="89" t="s">
        <v>6</v>
      </c>
      <c r="G137" s="134" t="s">
        <v>1896</v>
      </c>
      <c r="H137" s="134" t="s">
        <v>362</v>
      </c>
      <c r="I137" s="281"/>
      <c r="J137" s="281"/>
      <c r="K137" s="220" t="s">
        <v>362</v>
      </c>
      <c r="L137" s="220" t="s">
        <v>362</v>
      </c>
      <c r="M137" s="220" t="s">
        <v>362</v>
      </c>
      <c r="N137" s="220" t="s">
        <v>362</v>
      </c>
      <c r="O137" s="220" t="s">
        <v>362</v>
      </c>
    </row>
    <row r="138" spans="1:15" x14ac:dyDescent="0.25">
      <c r="A138" s="220" t="s">
        <v>362</v>
      </c>
      <c r="B138" s="164">
        <v>45937</v>
      </c>
      <c r="C138" s="212">
        <v>45931</v>
      </c>
      <c r="D138" s="134" t="s">
        <v>406</v>
      </c>
      <c r="E138" s="134" t="s">
        <v>1696</v>
      </c>
      <c r="F138" s="89" t="s">
        <v>6</v>
      </c>
      <c r="G138" s="134" t="s">
        <v>1898</v>
      </c>
      <c r="H138" s="134" t="s">
        <v>362</v>
      </c>
      <c r="I138" s="281"/>
      <c r="J138" s="281"/>
      <c r="K138" s="220" t="s">
        <v>362</v>
      </c>
      <c r="L138" s="220" t="s">
        <v>362</v>
      </c>
      <c r="M138" s="220" t="s">
        <v>362</v>
      </c>
      <c r="N138" s="220" t="s">
        <v>362</v>
      </c>
      <c r="O138" s="220" t="s">
        <v>362</v>
      </c>
    </row>
    <row r="139" spans="1:15" x14ac:dyDescent="0.25">
      <c r="A139" s="220" t="s">
        <v>362</v>
      </c>
      <c r="B139" s="164">
        <v>45938</v>
      </c>
      <c r="C139" s="212">
        <v>45931</v>
      </c>
      <c r="D139" s="134" t="s">
        <v>406</v>
      </c>
      <c r="E139" s="134" t="s">
        <v>1696</v>
      </c>
      <c r="F139" s="89" t="s">
        <v>6</v>
      </c>
      <c r="G139" s="134" t="s">
        <v>1896</v>
      </c>
      <c r="H139" s="134" t="s">
        <v>362</v>
      </c>
      <c r="I139" s="281"/>
      <c r="J139" s="281"/>
      <c r="K139" s="220" t="s">
        <v>362</v>
      </c>
      <c r="L139" s="220" t="s">
        <v>362</v>
      </c>
      <c r="M139" s="220" t="s">
        <v>362</v>
      </c>
      <c r="N139" s="220" t="s">
        <v>362</v>
      </c>
      <c r="O139" s="220" t="s">
        <v>362</v>
      </c>
    </row>
    <row r="140" spans="1:15" x14ac:dyDescent="0.25">
      <c r="A140" s="220" t="s">
        <v>362</v>
      </c>
      <c r="B140" s="164">
        <v>45938</v>
      </c>
      <c r="C140" s="212">
        <v>45931</v>
      </c>
      <c r="D140" s="134" t="s">
        <v>406</v>
      </c>
      <c r="E140" s="134" t="s">
        <v>1696</v>
      </c>
      <c r="F140" s="89" t="s">
        <v>6</v>
      </c>
      <c r="G140" s="134" t="s">
        <v>1898</v>
      </c>
      <c r="H140" s="134" t="s">
        <v>362</v>
      </c>
      <c r="I140" s="281"/>
      <c r="J140" s="281"/>
      <c r="K140" s="220" t="s">
        <v>362</v>
      </c>
      <c r="L140" s="220" t="s">
        <v>362</v>
      </c>
      <c r="M140" s="220" t="s">
        <v>362</v>
      </c>
      <c r="N140" s="220" t="s">
        <v>362</v>
      </c>
      <c r="O140" s="220" t="s">
        <v>362</v>
      </c>
    </row>
    <row r="141" spans="1:15" x14ac:dyDescent="0.25">
      <c r="A141" s="220" t="s">
        <v>362</v>
      </c>
      <c r="B141" s="164">
        <v>45939</v>
      </c>
      <c r="C141" s="212">
        <v>45931</v>
      </c>
      <c r="D141" s="134" t="s">
        <v>406</v>
      </c>
      <c r="E141" s="134" t="s">
        <v>1696</v>
      </c>
      <c r="F141" s="89" t="s">
        <v>6</v>
      </c>
      <c r="G141" s="134" t="s">
        <v>1898</v>
      </c>
      <c r="H141" s="134" t="s">
        <v>362</v>
      </c>
      <c r="I141" s="281"/>
      <c r="J141" s="281"/>
      <c r="K141" s="220" t="s">
        <v>362</v>
      </c>
      <c r="L141" s="220" t="s">
        <v>362</v>
      </c>
      <c r="M141" s="220" t="s">
        <v>362</v>
      </c>
      <c r="N141" s="220" t="s">
        <v>362</v>
      </c>
      <c r="O141" s="220" t="s">
        <v>362</v>
      </c>
    </row>
    <row r="142" spans="1:15" x14ac:dyDescent="0.25">
      <c r="A142" s="220" t="s">
        <v>362</v>
      </c>
      <c r="B142" s="164">
        <v>45940</v>
      </c>
      <c r="C142" s="212">
        <v>45931</v>
      </c>
      <c r="D142" s="134" t="s">
        <v>406</v>
      </c>
      <c r="E142" s="134" t="s">
        <v>1696</v>
      </c>
      <c r="F142" s="89" t="s">
        <v>6</v>
      </c>
      <c r="G142" s="134" t="s">
        <v>1898</v>
      </c>
      <c r="H142" s="134" t="s">
        <v>362</v>
      </c>
      <c r="I142" s="281"/>
      <c r="J142" s="281"/>
      <c r="K142" s="220" t="s">
        <v>362</v>
      </c>
      <c r="L142" s="220" t="s">
        <v>362</v>
      </c>
      <c r="M142" s="220" t="s">
        <v>362</v>
      </c>
      <c r="N142" s="220" t="s">
        <v>362</v>
      </c>
      <c r="O142" s="220" t="s">
        <v>362</v>
      </c>
    </row>
    <row r="143" spans="1:15" x14ac:dyDescent="0.25">
      <c r="A143" s="220" t="s">
        <v>362</v>
      </c>
      <c r="B143" s="162">
        <v>45940</v>
      </c>
      <c r="C143" s="210">
        <v>45931</v>
      </c>
      <c r="D143" s="163" t="s">
        <v>1866</v>
      </c>
      <c r="E143" s="163" t="s">
        <v>1696</v>
      </c>
      <c r="F143" s="216" t="s">
        <v>4</v>
      </c>
      <c r="G143" s="163" t="s">
        <v>1899</v>
      </c>
      <c r="H143" s="163" t="s">
        <v>1900</v>
      </c>
      <c r="I143" s="281"/>
      <c r="J143" s="281"/>
      <c r="K143" s="220" t="s">
        <v>362</v>
      </c>
      <c r="L143" s="220" t="s">
        <v>362</v>
      </c>
      <c r="M143" s="220" t="s">
        <v>362</v>
      </c>
      <c r="N143" s="220" t="s">
        <v>362</v>
      </c>
      <c r="O143" s="220" t="s">
        <v>362</v>
      </c>
    </row>
    <row r="144" spans="1:15" x14ac:dyDescent="0.25">
      <c r="A144" s="220" t="s">
        <v>362</v>
      </c>
      <c r="B144" s="164">
        <v>45943</v>
      </c>
      <c r="C144" s="212">
        <v>45931</v>
      </c>
      <c r="D144" s="134" t="s">
        <v>1870</v>
      </c>
      <c r="E144" s="134" t="s">
        <v>1696</v>
      </c>
      <c r="F144" s="216" t="s">
        <v>4</v>
      </c>
      <c r="G144" s="134" t="s">
        <v>1901</v>
      </c>
      <c r="H144" s="134" t="s">
        <v>1902</v>
      </c>
      <c r="I144" s="281"/>
      <c r="J144" s="281"/>
      <c r="K144" s="220" t="s">
        <v>362</v>
      </c>
      <c r="L144" s="220" t="s">
        <v>362</v>
      </c>
      <c r="M144" s="220" t="s">
        <v>362</v>
      </c>
      <c r="N144" s="220" t="s">
        <v>362</v>
      </c>
      <c r="O144" s="220" t="s">
        <v>362</v>
      </c>
    </row>
    <row r="145" spans="1:15" x14ac:dyDescent="0.25">
      <c r="A145" s="220" t="s">
        <v>362</v>
      </c>
      <c r="B145" s="164">
        <v>45943</v>
      </c>
      <c r="C145" s="212">
        <v>45931</v>
      </c>
      <c r="D145" s="134" t="s">
        <v>406</v>
      </c>
      <c r="E145" s="134" t="s">
        <v>1696</v>
      </c>
      <c r="F145" s="89" t="s">
        <v>6</v>
      </c>
      <c r="G145" s="134" t="s">
        <v>1898</v>
      </c>
      <c r="H145" s="134" t="s">
        <v>362</v>
      </c>
      <c r="I145" s="281"/>
      <c r="J145" s="281"/>
      <c r="K145" s="220" t="s">
        <v>362</v>
      </c>
      <c r="L145" s="220" t="s">
        <v>362</v>
      </c>
      <c r="M145" s="220" t="s">
        <v>362</v>
      </c>
      <c r="N145" s="220" t="s">
        <v>362</v>
      </c>
      <c r="O145" s="220" t="s">
        <v>362</v>
      </c>
    </row>
    <row r="146" spans="1:15" x14ac:dyDescent="0.25">
      <c r="A146" s="220" t="s">
        <v>362</v>
      </c>
      <c r="B146" s="164">
        <v>45944</v>
      </c>
      <c r="C146" s="212">
        <v>45931</v>
      </c>
      <c r="D146" s="134" t="s">
        <v>1870</v>
      </c>
      <c r="E146" s="134" t="s">
        <v>1696</v>
      </c>
      <c r="F146" s="89" t="s">
        <v>6</v>
      </c>
      <c r="G146" s="134" t="s">
        <v>1903</v>
      </c>
      <c r="H146" s="134" t="s">
        <v>362</v>
      </c>
      <c r="I146" s="281"/>
      <c r="J146" s="281"/>
      <c r="K146" s="220" t="s">
        <v>362</v>
      </c>
      <c r="L146" s="220" t="s">
        <v>362</v>
      </c>
      <c r="M146" s="220" t="s">
        <v>362</v>
      </c>
      <c r="N146" s="220" t="s">
        <v>362</v>
      </c>
      <c r="O146" s="220" t="s">
        <v>362</v>
      </c>
    </row>
    <row r="147" spans="1:15" x14ac:dyDescent="0.25">
      <c r="A147" s="220" t="s">
        <v>362</v>
      </c>
      <c r="B147" s="164">
        <v>45944</v>
      </c>
      <c r="C147" s="212">
        <v>45931</v>
      </c>
      <c r="D147" s="134" t="s">
        <v>614</v>
      </c>
      <c r="E147" s="134" t="s">
        <v>1696</v>
      </c>
      <c r="F147" s="89" t="s">
        <v>6</v>
      </c>
      <c r="G147" s="134" t="s">
        <v>1895</v>
      </c>
      <c r="H147" s="134" t="s">
        <v>362</v>
      </c>
      <c r="I147" s="281"/>
      <c r="J147" s="281"/>
      <c r="K147" s="220" t="s">
        <v>362</v>
      </c>
      <c r="L147" s="220" t="s">
        <v>362</v>
      </c>
      <c r="M147" s="220" t="s">
        <v>362</v>
      </c>
      <c r="N147" s="220" t="s">
        <v>362</v>
      </c>
      <c r="O147" s="220" t="s">
        <v>362</v>
      </c>
    </row>
    <row r="148" spans="1:15" x14ac:dyDescent="0.25">
      <c r="A148" s="220" t="s">
        <v>362</v>
      </c>
      <c r="B148" s="164">
        <v>45944</v>
      </c>
      <c r="C148" s="212">
        <v>45931</v>
      </c>
      <c r="D148" s="134" t="s">
        <v>1870</v>
      </c>
      <c r="E148" s="134" t="s">
        <v>1696</v>
      </c>
      <c r="F148" s="89" t="s">
        <v>6</v>
      </c>
      <c r="G148" s="134" t="s">
        <v>1904</v>
      </c>
      <c r="H148" s="134" t="s">
        <v>362</v>
      </c>
      <c r="I148" s="281"/>
      <c r="J148" s="281"/>
      <c r="K148" s="220" t="s">
        <v>362</v>
      </c>
      <c r="L148" s="220" t="s">
        <v>362</v>
      </c>
      <c r="M148" s="220" t="s">
        <v>362</v>
      </c>
      <c r="N148" s="220" t="s">
        <v>362</v>
      </c>
      <c r="O148" s="220" t="s">
        <v>362</v>
      </c>
    </row>
    <row r="149" spans="1:15" x14ac:dyDescent="0.25">
      <c r="A149" s="220" t="s">
        <v>362</v>
      </c>
      <c r="B149" s="164">
        <v>45945</v>
      </c>
      <c r="C149" s="212">
        <v>45931</v>
      </c>
      <c r="D149" s="134" t="s">
        <v>1870</v>
      </c>
      <c r="E149" s="134" t="s">
        <v>1696</v>
      </c>
      <c r="F149" s="89" t="s">
        <v>6</v>
      </c>
      <c r="G149" s="134" t="s">
        <v>1898</v>
      </c>
      <c r="H149" s="134" t="s">
        <v>362</v>
      </c>
      <c r="I149" s="281"/>
      <c r="J149" s="281"/>
      <c r="K149" s="220" t="s">
        <v>362</v>
      </c>
      <c r="L149" s="220" t="s">
        <v>362</v>
      </c>
      <c r="M149" s="220" t="s">
        <v>362</v>
      </c>
      <c r="N149" s="220" t="s">
        <v>362</v>
      </c>
      <c r="O149" s="220" t="s">
        <v>362</v>
      </c>
    </row>
    <row r="150" spans="1:15" x14ac:dyDescent="0.25">
      <c r="A150" s="220" t="s">
        <v>362</v>
      </c>
      <c r="B150" s="164">
        <v>45946</v>
      </c>
      <c r="C150" s="212">
        <v>45931</v>
      </c>
      <c r="D150" s="134" t="s">
        <v>1870</v>
      </c>
      <c r="E150" s="134" t="s">
        <v>1696</v>
      </c>
      <c r="F150" s="89" t="s">
        <v>6</v>
      </c>
      <c r="G150" s="134" t="s">
        <v>1898</v>
      </c>
      <c r="H150" s="134" t="s">
        <v>362</v>
      </c>
      <c r="I150" s="281"/>
      <c r="J150" s="281"/>
      <c r="K150" s="220" t="s">
        <v>362</v>
      </c>
      <c r="L150" s="220" t="s">
        <v>362</v>
      </c>
      <c r="M150" s="220" t="s">
        <v>362</v>
      </c>
      <c r="N150" s="220" t="s">
        <v>362</v>
      </c>
      <c r="O150" s="220" t="s">
        <v>362</v>
      </c>
    </row>
    <row r="151" spans="1:15" x14ac:dyDescent="0.25">
      <c r="A151" s="220" t="s">
        <v>362</v>
      </c>
      <c r="B151" s="164">
        <v>45947</v>
      </c>
      <c r="C151" s="212">
        <v>45931</v>
      </c>
      <c r="D151" s="134" t="s">
        <v>1870</v>
      </c>
      <c r="E151" s="134" t="s">
        <v>1696</v>
      </c>
      <c r="F151" s="89" t="s">
        <v>6</v>
      </c>
      <c r="G151" s="134" t="s">
        <v>1898</v>
      </c>
      <c r="H151" s="134" t="s">
        <v>362</v>
      </c>
      <c r="I151" s="281"/>
      <c r="J151" s="281"/>
      <c r="K151" s="220" t="s">
        <v>362</v>
      </c>
      <c r="L151" s="220" t="s">
        <v>362</v>
      </c>
      <c r="M151" s="220" t="s">
        <v>362</v>
      </c>
      <c r="N151" s="220" t="s">
        <v>362</v>
      </c>
      <c r="O151" s="220" t="s">
        <v>362</v>
      </c>
    </row>
    <row r="152" spans="1:15" x14ac:dyDescent="0.25">
      <c r="A152" s="220" t="s">
        <v>362</v>
      </c>
      <c r="B152" s="164">
        <v>45947</v>
      </c>
      <c r="C152" s="212">
        <v>45931</v>
      </c>
      <c r="D152" s="134" t="s">
        <v>410</v>
      </c>
      <c r="E152" s="134" t="s">
        <v>1696</v>
      </c>
      <c r="F152" s="89" t="s">
        <v>6</v>
      </c>
      <c r="G152" s="134" t="s">
        <v>1905</v>
      </c>
      <c r="H152" s="134" t="s">
        <v>362</v>
      </c>
      <c r="I152" s="281"/>
      <c r="J152" s="281"/>
      <c r="K152" s="220" t="s">
        <v>362</v>
      </c>
      <c r="L152" s="220" t="s">
        <v>362</v>
      </c>
      <c r="M152" s="220" t="s">
        <v>362</v>
      </c>
      <c r="N152" s="220" t="s">
        <v>362</v>
      </c>
      <c r="O152" s="220" t="s">
        <v>362</v>
      </c>
    </row>
    <row r="153" spans="1:15" x14ac:dyDescent="0.25">
      <c r="A153" s="220" t="s">
        <v>362</v>
      </c>
      <c r="B153" s="164">
        <v>45950</v>
      </c>
      <c r="C153" s="212">
        <v>45931</v>
      </c>
      <c r="D153" s="134" t="s">
        <v>1870</v>
      </c>
      <c r="E153" s="134" t="s">
        <v>1696</v>
      </c>
      <c r="F153" s="89" t="s">
        <v>6</v>
      </c>
      <c r="G153" s="134" t="s">
        <v>1906</v>
      </c>
      <c r="H153" s="134" t="s">
        <v>362</v>
      </c>
      <c r="I153" s="281"/>
      <c r="J153" s="281"/>
      <c r="K153" s="220" t="s">
        <v>362</v>
      </c>
      <c r="L153" s="220" t="s">
        <v>362</v>
      </c>
      <c r="M153" s="220" t="s">
        <v>362</v>
      </c>
      <c r="N153" s="220" t="s">
        <v>362</v>
      </c>
      <c r="O153" s="220" t="s">
        <v>362</v>
      </c>
    </row>
    <row r="154" spans="1:15" x14ac:dyDescent="0.25">
      <c r="A154" s="220" t="s">
        <v>362</v>
      </c>
      <c r="B154" s="164">
        <v>45950</v>
      </c>
      <c r="C154" s="212">
        <v>45931</v>
      </c>
      <c r="D154" s="134" t="s">
        <v>1870</v>
      </c>
      <c r="E154" s="134" t="s">
        <v>1696</v>
      </c>
      <c r="F154" s="89" t="s">
        <v>6</v>
      </c>
      <c r="G154" s="134" t="s">
        <v>1907</v>
      </c>
      <c r="H154" s="134" t="s">
        <v>1908</v>
      </c>
      <c r="I154" s="281"/>
      <c r="J154" s="281"/>
      <c r="K154" s="220" t="s">
        <v>362</v>
      </c>
      <c r="L154" s="220" t="s">
        <v>362</v>
      </c>
      <c r="M154" s="220" t="s">
        <v>362</v>
      </c>
      <c r="N154" s="220" t="s">
        <v>362</v>
      </c>
      <c r="O154" s="220" t="s">
        <v>362</v>
      </c>
    </row>
    <row r="155" spans="1:15" x14ac:dyDescent="0.25">
      <c r="A155" s="220" t="s">
        <v>362</v>
      </c>
      <c r="B155" s="164">
        <v>45951</v>
      </c>
      <c r="C155" s="212">
        <v>45931</v>
      </c>
      <c r="D155" s="134" t="s">
        <v>1870</v>
      </c>
      <c r="E155" s="134" t="s">
        <v>1696</v>
      </c>
      <c r="F155" s="89" t="s">
        <v>6</v>
      </c>
      <c r="G155" s="134" t="s">
        <v>1906</v>
      </c>
      <c r="H155" s="134" t="s">
        <v>362</v>
      </c>
      <c r="I155" s="281"/>
      <c r="J155" s="281"/>
      <c r="K155" s="220" t="s">
        <v>362</v>
      </c>
      <c r="L155" s="220" t="s">
        <v>362</v>
      </c>
      <c r="M155" s="220" t="s">
        <v>362</v>
      </c>
      <c r="N155" s="220" t="s">
        <v>362</v>
      </c>
      <c r="O155" s="220" t="s">
        <v>362</v>
      </c>
    </row>
    <row r="156" spans="1:15" x14ac:dyDescent="0.25">
      <c r="A156" s="220" t="s">
        <v>362</v>
      </c>
      <c r="B156" s="164">
        <v>45951</v>
      </c>
      <c r="C156" s="212">
        <v>45931</v>
      </c>
      <c r="D156" s="134" t="s">
        <v>1909</v>
      </c>
      <c r="E156" s="134" t="s">
        <v>1696</v>
      </c>
      <c r="F156" s="89" t="s">
        <v>6</v>
      </c>
      <c r="G156" s="134" t="s">
        <v>1907</v>
      </c>
      <c r="H156" s="134" t="s">
        <v>1910</v>
      </c>
      <c r="I156" s="281"/>
      <c r="J156" s="281"/>
      <c r="K156" s="220" t="s">
        <v>362</v>
      </c>
      <c r="L156" s="220" t="s">
        <v>362</v>
      </c>
      <c r="M156" s="220" t="s">
        <v>362</v>
      </c>
      <c r="N156" s="220" t="s">
        <v>362</v>
      </c>
      <c r="O156" s="220" t="s">
        <v>362</v>
      </c>
    </row>
    <row r="157" spans="1:15" x14ac:dyDescent="0.25">
      <c r="A157" s="220" t="s">
        <v>362</v>
      </c>
      <c r="B157" s="164">
        <v>45951</v>
      </c>
      <c r="C157" s="212">
        <v>45931</v>
      </c>
      <c r="D157" s="134" t="s">
        <v>614</v>
      </c>
      <c r="E157" s="134" t="s">
        <v>1696</v>
      </c>
      <c r="F157" s="89" t="s">
        <v>6</v>
      </c>
      <c r="G157" s="134" t="s">
        <v>1911</v>
      </c>
      <c r="H157" s="134" t="s">
        <v>362</v>
      </c>
      <c r="I157" s="281"/>
      <c r="J157" s="281"/>
      <c r="K157" s="220" t="s">
        <v>362</v>
      </c>
      <c r="L157" s="220" t="s">
        <v>362</v>
      </c>
      <c r="M157" s="220" t="s">
        <v>362</v>
      </c>
      <c r="N157" s="220" t="s">
        <v>362</v>
      </c>
      <c r="O157" s="220" t="s">
        <v>362</v>
      </c>
    </row>
    <row r="158" spans="1:15" x14ac:dyDescent="0.25">
      <c r="A158" s="220" t="s">
        <v>362</v>
      </c>
      <c r="B158" s="164">
        <v>45952</v>
      </c>
      <c r="C158" s="212">
        <v>45931</v>
      </c>
      <c r="D158" s="134" t="s">
        <v>614</v>
      </c>
      <c r="E158" s="134" t="s">
        <v>1696</v>
      </c>
      <c r="F158" s="89" t="s">
        <v>6</v>
      </c>
      <c r="G158" s="134" t="s">
        <v>1911</v>
      </c>
      <c r="H158" s="134" t="s">
        <v>362</v>
      </c>
      <c r="I158" s="281"/>
      <c r="J158" s="281"/>
      <c r="K158" s="220" t="s">
        <v>362</v>
      </c>
      <c r="L158" s="220" t="s">
        <v>362</v>
      </c>
      <c r="M158" s="220" t="s">
        <v>362</v>
      </c>
      <c r="N158" s="220" t="s">
        <v>362</v>
      </c>
      <c r="O158" s="220" t="s">
        <v>362</v>
      </c>
    </row>
    <row r="159" spans="1:15" x14ac:dyDescent="0.25">
      <c r="A159" s="220" t="s">
        <v>362</v>
      </c>
      <c r="B159" s="164">
        <v>45953</v>
      </c>
      <c r="C159" s="212">
        <v>45931</v>
      </c>
      <c r="D159" s="134" t="s">
        <v>614</v>
      </c>
      <c r="E159" s="134" t="s">
        <v>1696</v>
      </c>
      <c r="F159" s="89" t="s">
        <v>6</v>
      </c>
      <c r="G159" s="134" t="s">
        <v>1911</v>
      </c>
      <c r="H159" s="134" t="s">
        <v>362</v>
      </c>
      <c r="I159" s="281"/>
      <c r="J159" s="281"/>
      <c r="K159" s="220" t="s">
        <v>362</v>
      </c>
      <c r="L159" s="220" t="s">
        <v>362</v>
      </c>
      <c r="M159" s="220" t="s">
        <v>362</v>
      </c>
      <c r="N159" s="220" t="s">
        <v>362</v>
      </c>
      <c r="O159" s="220" t="s">
        <v>362</v>
      </c>
    </row>
    <row r="160" spans="1:15" x14ac:dyDescent="0.25">
      <c r="A160" s="220" t="s">
        <v>362</v>
      </c>
      <c r="B160" s="164">
        <v>45953</v>
      </c>
      <c r="C160" s="212">
        <v>45931</v>
      </c>
      <c r="D160" s="134" t="s">
        <v>1696</v>
      </c>
      <c r="E160" s="134" t="s">
        <v>1696</v>
      </c>
      <c r="F160" s="216" t="s">
        <v>4</v>
      </c>
      <c r="G160" s="134" t="s">
        <v>1912</v>
      </c>
      <c r="H160" s="134" t="s">
        <v>1913</v>
      </c>
      <c r="I160" s="281"/>
      <c r="J160" s="281"/>
      <c r="K160" s="220" t="s">
        <v>362</v>
      </c>
      <c r="L160" s="220" t="s">
        <v>362</v>
      </c>
      <c r="M160" s="220" t="s">
        <v>362</v>
      </c>
      <c r="N160" s="220" t="s">
        <v>362</v>
      </c>
      <c r="O160" s="220" t="s">
        <v>362</v>
      </c>
    </row>
    <row r="161" spans="1:15" x14ac:dyDescent="0.25">
      <c r="A161" s="220" t="s">
        <v>362</v>
      </c>
      <c r="B161" s="164">
        <v>45954</v>
      </c>
      <c r="C161" s="212">
        <v>45931</v>
      </c>
      <c r="D161" s="134" t="s">
        <v>614</v>
      </c>
      <c r="E161" s="134" t="s">
        <v>1696</v>
      </c>
      <c r="F161" s="89" t="s">
        <v>6</v>
      </c>
      <c r="G161" s="134" t="s">
        <v>1911</v>
      </c>
      <c r="H161" s="134" t="s">
        <v>362</v>
      </c>
      <c r="I161" s="281"/>
      <c r="J161" s="281"/>
      <c r="K161" s="220" t="s">
        <v>362</v>
      </c>
      <c r="L161" s="220" t="s">
        <v>362</v>
      </c>
      <c r="M161" s="220" t="s">
        <v>362</v>
      </c>
      <c r="N161" s="220" t="s">
        <v>362</v>
      </c>
      <c r="O161" s="220" t="s">
        <v>362</v>
      </c>
    </row>
    <row r="162" spans="1:15" x14ac:dyDescent="0.25">
      <c r="A162" s="220" t="s">
        <v>362</v>
      </c>
      <c r="B162" s="164">
        <v>45954</v>
      </c>
      <c r="C162" s="212">
        <v>45931</v>
      </c>
      <c r="D162" s="134" t="s">
        <v>410</v>
      </c>
      <c r="E162" s="134" t="s">
        <v>1696</v>
      </c>
      <c r="F162" s="89" t="s">
        <v>6</v>
      </c>
      <c r="G162" s="134" t="s">
        <v>1905</v>
      </c>
      <c r="H162" s="134" t="s">
        <v>362</v>
      </c>
      <c r="I162" s="281"/>
      <c r="J162" s="281"/>
      <c r="K162" s="220" t="s">
        <v>362</v>
      </c>
      <c r="L162" s="220" t="s">
        <v>362</v>
      </c>
      <c r="M162" s="220" t="s">
        <v>362</v>
      </c>
      <c r="N162" s="220" t="s">
        <v>362</v>
      </c>
      <c r="O162" s="220" t="s">
        <v>362</v>
      </c>
    </row>
    <row r="163" spans="1:15" x14ac:dyDescent="0.25">
      <c r="A163" s="220" t="s">
        <v>362</v>
      </c>
      <c r="B163" s="164">
        <v>45957</v>
      </c>
      <c r="C163" s="212">
        <v>45931</v>
      </c>
      <c r="D163" s="134" t="s">
        <v>614</v>
      </c>
      <c r="E163" s="134" t="s">
        <v>1696</v>
      </c>
      <c r="F163" s="89" t="s">
        <v>6</v>
      </c>
      <c r="G163" s="134" t="s">
        <v>1911</v>
      </c>
      <c r="H163" s="134" t="s">
        <v>362</v>
      </c>
      <c r="I163" s="281"/>
      <c r="J163" s="281"/>
      <c r="K163" s="220" t="s">
        <v>362</v>
      </c>
      <c r="L163" s="220" t="s">
        <v>362</v>
      </c>
      <c r="M163" s="220" t="s">
        <v>362</v>
      </c>
      <c r="N163" s="220" t="s">
        <v>362</v>
      </c>
      <c r="O163" s="220" t="s">
        <v>362</v>
      </c>
    </row>
    <row r="164" spans="1:15" x14ac:dyDescent="0.25">
      <c r="A164" s="220" t="s">
        <v>362</v>
      </c>
      <c r="B164" s="164">
        <v>45958</v>
      </c>
      <c r="C164" s="212">
        <v>45931</v>
      </c>
      <c r="D164" s="134" t="s">
        <v>614</v>
      </c>
      <c r="E164" s="134" t="s">
        <v>1696</v>
      </c>
      <c r="F164" s="89" t="s">
        <v>6</v>
      </c>
      <c r="G164" s="134" t="s">
        <v>1911</v>
      </c>
      <c r="H164" s="134" t="s">
        <v>362</v>
      </c>
      <c r="I164" s="281"/>
      <c r="J164" s="281"/>
      <c r="K164" s="220" t="s">
        <v>362</v>
      </c>
      <c r="L164" s="220" t="s">
        <v>362</v>
      </c>
      <c r="M164" s="220" t="s">
        <v>362</v>
      </c>
      <c r="N164" s="220" t="s">
        <v>362</v>
      </c>
      <c r="O164" s="220" t="s">
        <v>362</v>
      </c>
    </row>
    <row r="165" spans="1:15" x14ac:dyDescent="0.25">
      <c r="A165" s="220" t="s">
        <v>362</v>
      </c>
      <c r="B165" s="164">
        <v>45958</v>
      </c>
      <c r="C165" s="212">
        <v>45931</v>
      </c>
      <c r="D165" s="134" t="s">
        <v>406</v>
      </c>
      <c r="E165" s="134" t="s">
        <v>1696</v>
      </c>
      <c r="F165" s="89" t="s">
        <v>6</v>
      </c>
      <c r="G165" s="134" t="s">
        <v>1914</v>
      </c>
      <c r="H165" s="134" t="s">
        <v>1915</v>
      </c>
      <c r="I165" s="281"/>
      <c r="J165" s="281"/>
      <c r="K165" s="220" t="s">
        <v>362</v>
      </c>
      <c r="L165" s="220" t="s">
        <v>362</v>
      </c>
      <c r="M165" s="220" t="s">
        <v>362</v>
      </c>
      <c r="N165" s="220" t="s">
        <v>362</v>
      </c>
      <c r="O165" s="220" t="s">
        <v>362</v>
      </c>
    </row>
    <row r="166" spans="1:15" x14ac:dyDescent="0.25">
      <c r="A166" s="220" t="s">
        <v>362</v>
      </c>
      <c r="B166" s="164">
        <v>45958</v>
      </c>
      <c r="C166" s="212">
        <v>45931</v>
      </c>
      <c r="D166" s="134" t="s">
        <v>410</v>
      </c>
      <c r="E166" s="134" t="s">
        <v>1696</v>
      </c>
      <c r="F166" s="89" t="s">
        <v>6</v>
      </c>
      <c r="G166" s="134" t="s">
        <v>1916</v>
      </c>
      <c r="H166" s="134" t="s">
        <v>362</v>
      </c>
      <c r="I166" s="281"/>
      <c r="J166" s="281"/>
      <c r="K166" s="220" t="s">
        <v>362</v>
      </c>
      <c r="L166" s="220" t="s">
        <v>362</v>
      </c>
      <c r="M166" s="220" t="s">
        <v>362</v>
      </c>
      <c r="N166" s="220" t="s">
        <v>362</v>
      </c>
      <c r="O166" s="220" t="s">
        <v>362</v>
      </c>
    </row>
    <row r="167" spans="1:15" x14ac:dyDescent="0.25">
      <c r="A167" s="220" t="s">
        <v>362</v>
      </c>
      <c r="B167" s="164">
        <v>45959</v>
      </c>
      <c r="C167" s="212">
        <v>45931</v>
      </c>
      <c r="D167" s="134" t="s">
        <v>406</v>
      </c>
      <c r="E167" s="134" t="s">
        <v>1696</v>
      </c>
      <c r="F167" s="89" t="s">
        <v>6</v>
      </c>
      <c r="G167" s="134" t="s">
        <v>1911</v>
      </c>
      <c r="H167" s="134" t="s">
        <v>362</v>
      </c>
      <c r="I167" s="281"/>
      <c r="J167" s="281"/>
      <c r="K167" s="220" t="s">
        <v>362</v>
      </c>
      <c r="L167" s="220" t="s">
        <v>362</v>
      </c>
      <c r="M167" s="220" t="s">
        <v>362</v>
      </c>
      <c r="N167" s="220" t="s">
        <v>362</v>
      </c>
      <c r="O167" s="220" t="s">
        <v>362</v>
      </c>
    </row>
    <row r="168" spans="1:15" x14ac:dyDescent="0.25">
      <c r="A168" s="220" t="s">
        <v>362</v>
      </c>
      <c r="B168" s="164">
        <v>45959</v>
      </c>
      <c r="C168" s="212">
        <v>45931</v>
      </c>
      <c r="D168" s="134" t="s">
        <v>410</v>
      </c>
      <c r="E168" s="134" t="s">
        <v>1696</v>
      </c>
      <c r="F168" s="89" t="s">
        <v>6</v>
      </c>
      <c r="G168" s="134" t="s">
        <v>1917</v>
      </c>
      <c r="H168" s="134" t="s">
        <v>362</v>
      </c>
      <c r="I168" s="281"/>
      <c r="J168" s="281"/>
      <c r="K168" s="220" t="s">
        <v>362</v>
      </c>
      <c r="L168" s="220" t="s">
        <v>362</v>
      </c>
      <c r="M168" s="220" t="s">
        <v>362</v>
      </c>
      <c r="N168" s="220" t="s">
        <v>362</v>
      </c>
      <c r="O168" s="220" t="s">
        <v>362</v>
      </c>
    </row>
    <row r="169" spans="1:15" x14ac:dyDescent="0.25">
      <c r="A169" s="220" t="s">
        <v>362</v>
      </c>
      <c r="B169" s="164">
        <v>45960</v>
      </c>
      <c r="C169" s="212">
        <v>45931</v>
      </c>
      <c r="D169" s="134" t="s">
        <v>406</v>
      </c>
      <c r="E169" s="134" t="s">
        <v>1696</v>
      </c>
      <c r="F169" s="89" t="s">
        <v>6</v>
      </c>
      <c r="G169" s="134" t="s">
        <v>1911</v>
      </c>
      <c r="H169" s="134" t="s">
        <v>362</v>
      </c>
      <c r="I169" s="281"/>
      <c r="J169" s="281"/>
      <c r="K169" s="220" t="s">
        <v>362</v>
      </c>
      <c r="L169" s="220" t="s">
        <v>362</v>
      </c>
      <c r="M169" s="220" t="s">
        <v>362</v>
      </c>
      <c r="N169" s="220" t="s">
        <v>362</v>
      </c>
      <c r="O169" s="220" t="s">
        <v>362</v>
      </c>
    </row>
    <row r="170" spans="1:15" x14ac:dyDescent="0.25">
      <c r="A170" s="220" t="s">
        <v>362</v>
      </c>
      <c r="B170" s="164">
        <v>45960</v>
      </c>
      <c r="C170" s="212">
        <v>45931</v>
      </c>
      <c r="D170" s="134" t="s">
        <v>410</v>
      </c>
      <c r="E170" s="134" t="s">
        <v>1696</v>
      </c>
      <c r="F170" s="89" t="s">
        <v>6</v>
      </c>
      <c r="G170" s="134" t="s">
        <v>1918</v>
      </c>
      <c r="H170" s="134" t="s">
        <v>1919</v>
      </c>
      <c r="I170" s="281"/>
      <c r="J170" s="281"/>
      <c r="K170" s="220" t="s">
        <v>362</v>
      </c>
      <c r="L170" s="220" t="s">
        <v>362</v>
      </c>
      <c r="M170" s="220" t="s">
        <v>362</v>
      </c>
      <c r="N170" s="220" t="s">
        <v>362</v>
      </c>
      <c r="O170" s="220" t="s">
        <v>362</v>
      </c>
    </row>
    <row r="171" spans="1:15" x14ac:dyDescent="0.25">
      <c r="A171" s="220" t="s">
        <v>362</v>
      </c>
      <c r="B171" s="164">
        <v>45960</v>
      </c>
      <c r="C171" s="212">
        <v>45931</v>
      </c>
      <c r="D171" s="134" t="s">
        <v>1870</v>
      </c>
      <c r="E171" s="134" t="s">
        <v>1696</v>
      </c>
      <c r="F171" s="216" t="s">
        <v>4</v>
      </c>
      <c r="G171" s="134" t="s">
        <v>1920</v>
      </c>
      <c r="H171" s="134" t="s">
        <v>1921</v>
      </c>
      <c r="I171" s="281"/>
      <c r="J171" s="281"/>
      <c r="K171" s="220" t="s">
        <v>362</v>
      </c>
      <c r="L171" s="220" t="s">
        <v>362</v>
      </c>
      <c r="M171" s="220" t="s">
        <v>362</v>
      </c>
      <c r="N171" s="220" t="s">
        <v>362</v>
      </c>
      <c r="O171" s="220" t="s">
        <v>362</v>
      </c>
    </row>
    <row r="172" spans="1:15" x14ac:dyDescent="0.25">
      <c r="A172" s="220" t="s">
        <v>362</v>
      </c>
      <c r="B172" s="164">
        <v>45960</v>
      </c>
      <c r="C172" s="212">
        <v>45931</v>
      </c>
      <c r="D172" s="134" t="s">
        <v>1870</v>
      </c>
      <c r="E172" s="134" t="s">
        <v>1696</v>
      </c>
      <c r="F172" s="216" t="s">
        <v>4</v>
      </c>
      <c r="G172" s="134" t="s">
        <v>1922</v>
      </c>
      <c r="H172" s="134" t="s">
        <v>1923</v>
      </c>
      <c r="I172" s="281"/>
      <c r="J172" s="281"/>
      <c r="K172" s="220" t="s">
        <v>362</v>
      </c>
      <c r="L172" s="220" t="s">
        <v>362</v>
      </c>
      <c r="M172" s="220" t="s">
        <v>362</v>
      </c>
      <c r="N172" s="220" t="s">
        <v>362</v>
      </c>
      <c r="O172" s="220" t="s">
        <v>362</v>
      </c>
    </row>
    <row r="173" spans="1:15" x14ac:dyDescent="0.25">
      <c r="A173" s="220" t="s">
        <v>362</v>
      </c>
      <c r="B173" s="164">
        <v>45964</v>
      </c>
      <c r="C173" s="212">
        <v>45962</v>
      </c>
      <c r="D173" s="134" t="s">
        <v>406</v>
      </c>
      <c r="E173" s="134" t="s">
        <v>1696</v>
      </c>
      <c r="F173" s="89" t="s">
        <v>6</v>
      </c>
      <c r="G173" s="134" t="s">
        <v>1911</v>
      </c>
      <c r="H173" s="134" t="s">
        <v>362</v>
      </c>
      <c r="I173" s="281"/>
      <c r="J173" s="281"/>
      <c r="K173" s="220" t="s">
        <v>362</v>
      </c>
      <c r="L173" s="220" t="s">
        <v>362</v>
      </c>
      <c r="M173" s="220" t="s">
        <v>362</v>
      </c>
      <c r="N173" s="220" t="s">
        <v>362</v>
      </c>
      <c r="O173" s="220" t="s">
        <v>362</v>
      </c>
    </row>
    <row r="174" spans="1:15" x14ac:dyDescent="0.25">
      <c r="A174" s="220" t="s">
        <v>362</v>
      </c>
      <c r="B174" s="164">
        <v>45964</v>
      </c>
      <c r="C174" s="212">
        <v>45962</v>
      </c>
      <c r="D174" s="134" t="s">
        <v>1866</v>
      </c>
      <c r="E174" s="134" t="s">
        <v>1696</v>
      </c>
      <c r="F174" s="216" t="s">
        <v>4</v>
      </c>
      <c r="G174" s="134" t="s">
        <v>1924</v>
      </c>
      <c r="H174" s="134" t="s">
        <v>362</v>
      </c>
      <c r="I174" s="281"/>
      <c r="J174" s="281"/>
      <c r="K174" s="220" t="s">
        <v>362</v>
      </c>
      <c r="L174" s="220" t="s">
        <v>362</v>
      </c>
      <c r="M174" s="220" t="s">
        <v>362</v>
      </c>
      <c r="N174" s="220" t="s">
        <v>362</v>
      </c>
      <c r="O174" s="220" t="s">
        <v>362</v>
      </c>
    </row>
    <row r="175" spans="1:15" x14ac:dyDescent="0.25">
      <c r="A175" s="220" t="s">
        <v>362</v>
      </c>
      <c r="B175" s="164">
        <v>45964</v>
      </c>
      <c r="C175" s="212">
        <v>45962</v>
      </c>
      <c r="D175" s="134" t="s">
        <v>406</v>
      </c>
      <c r="E175" s="134" t="s">
        <v>1696</v>
      </c>
      <c r="F175" s="89" t="s">
        <v>6</v>
      </c>
      <c r="G175" s="134" t="s">
        <v>1911</v>
      </c>
      <c r="H175" s="134" t="s">
        <v>362</v>
      </c>
      <c r="I175" s="281"/>
      <c r="J175" s="281"/>
      <c r="K175" s="220" t="s">
        <v>362</v>
      </c>
      <c r="L175" s="220" t="s">
        <v>362</v>
      </c>
      <c r="M175" s="220" t="s">
        <v>362</v>
      </c>
      <c r="N175" s="220" t="s">
        <v>362</v>
      </c>
      <c r="O175" s="220" t="s">
        <v>362</v>
      </c>
    </row>
    <row r="176" spans="1:15" x14ac:dyDescent="0.25">
      <c r="A176" s="220" t="s">
        <v>362</v>
      </c>
      <c r="B176" s="164">
        <v>45965</v>
      </c>
      <c r="C176" s="212">
        <v>45962</v>
      </c>
      <c r="D176" s="134" t="s">
        <v>1696</v>
      </c>
      <c r="E176" s="134" t="s">
        <v>1696</v>
      </c>
      <c r="F176" s="89" t="s">
        <v>6</v>
      </c>
      <c r="G176" s="134" t="s">
        <v>1925</v>
      </c>
      <c r="H176" s="134" t="s">
        <v>362</v>
      </c>
      <c r="I176" s="281"/>
      <c r="J176" s="281"/>
      <c r="K176" s="220" t="s">
        <v>362</v>
      </c>
      <c r="L176" s="220" t="s">
        <v>362</v>
      </c>
      <c r="M176" s="220" t="s">
        <v>362</v>
      </c>
      <c r="N176" s="220" t="s">
        <v>362</v>
      </c>
      <c r="O176" s="220" t="s">
        <v>362</v>
      </c>
    </row>
    <row r="177" spans="1:15" x14ac:dyDescent="0.25">
      <c r="A177" s="220" t="s">
        <v>362</v>
      </c>
      <c r="B177" s="164">
        <v>45965</v>
      </c>
      <c r="C177" s="212">
        <v>45962</v>
      </c>
      <c r="D177" s="134" t="s">
        <v>1866</v>
      </c>
      <c r="E177" s="134" t="s">
        <v>1696</v>
      </c>
      <c r="F177" s="216" t="s">
        <v>4</v>
      </c>
      <c r="G177" s="54" t="s">
        <v>1926</v>
      </c>
      <c r="H177" s="165" t="s">
        <v>1927</v>
      </c>
      <c r="I177" s="281"/>
      <c r="J177" s="281"/>
      <c r="K177" s="220" t="s">
        <v>362</v>
      </c>
      <c r="L177" s="220" t="s">
        <v>362</v>
      </c>
      <c r="M177" s="220" t="s">
        <v>362</v>
      </c>
      <c r="N177" s="220" t="s">
        <v>362</v>
      </c>
      <c r="O177" s="220" t="s">
        <v>362</v>
      </c>
    </row>
    <row r="178" spans="1:15" x14ac:dyDescent="0.25">
      <c r="A178" s="220" t="s">
        <v>362</v>
      </c>
      <c r="B178" s="164">
        <v>45965</v>
      </c>
      <c r="C178" s="212">
        <v>45962</v>
      </c>
      <c r="D178" s="134" t="s">
        <v>406</v>
      </c>
      <c r="E178" s="134" t="s">
        <v>1696</v>
      </c>
      <c r="F178" s="89" t="s">
        <v>6</v>
      </c>
      <c r="G178" s="163" t="s">
        <v>1928</v>
      </c>
      <c r="H178" s="134" t="s">
        <v>362</v>
      </c>
      <c r="I178" s="281"/>
      <c r="J178" s="281"/>
      <c r="K178" s="220" t="s">
        <v>362</v>
      </c>
      <c r="L178" s="220" t="s">
        <v>362</v>
      </c>
      <c r="M178" s="220" t="s">
        <v>362</v>
      </c>
      <c r="N178" s="220" t="s">
        <v>362</v>
      </c>
      <c r="O178" s="220" t="s">
        <v>362</v>
      </c>
    </row>
    <row r="179" spans="1:15" x14ac:dyDescent="0.25">
      <c r="A179" s="220" t="s">
        <v>362</v>
      </c>
      <c r="B179" s="164">
        <v>45966</v>
      </c>
      <c r="C179" s="212">
        <v>45962</v>
      </c>
      <c r="D179" s="134" t="s">
        <v>406</v>
      </c>
      <c r="E179" s="134" t="s">
        <v>1696</v>
      </c>
      <c r="F179" s="89" t="s">
        <v>6</v>
      </c>
      <c r="G179" s="134" t="s">
        <v>1911</v>
      </c>
      <c r="H179" s="134" t="s">
        <v>362</v>
      </c>
      <c r="I179" s="281"/>
      <c r="J179" s="281"/>
      <c r="K179" s="220" t="s">
        <v>362</v>
      </c>
      <c r="L179" s="220" t="s">
        <v>362</v>
      </c>
      <c r="M179" s="220" t="s">
        <v>362</v>
      </c>
      <c r="N179" s="220" t="s">
        <v>362</v>
      </c>
      <c r="O179" s="220" t="s">
        <v>362</v>
      </c>
    </row>
    <row r="180" spans="1:15" x14ac:dyDescent="0.25">
      <c r="A180" s="220" t="s">
        <v>362</v>
      </c>
      <c r="B180" s="164">
        <v>45966</v>
      </c>
      <c r="C180" s="212">
        <v>45962</v>
      </c>
      <c r="D180" s="134" t="s">
        <v>1696</v>
      </c>
      <c r="E180" s="134" t="s">
        <v>1696</v>
      </c>
      <c r="F180" s="89" t="s">
        <v>6</v>
      </c>
      <c r="G180" s="134" t="s">
        <v>1925</v>
      </c>
      <c r="H180" s="134" t="s">
        <v>362</v>
      </c>
      <c r="I180" s="281"/>
      <c r="J180" s="281"/>
      <c r="K180" s="220" t="s">
        <v>362</v>
      </c>
      <c r="L180" s="220" t="s">
        <v>362</v>
      </c>
      <c r="M180" s="220" t="s">
        <v>362</v>
      </c>
      <c r="N180" s="220" t="s">
        <v>362</v>
      </c>
      <c r="O180" s="220" t="s">
        <v>362</v>
      </c>
    </row>
    <row r="181" spans="1:15" x14ac:dyDescent="0.25">
      <c r="A181" s="220" t="s">
        <v>362</v>
      </c>
      <c r="B181" s="164">
        <v>45967</v>
      </c>
      <c r="C181" s="212">
        <v>45962</v>
      </c>
      <c r="D181" s="134" t="s">
        <v>1870</v>
      </c>
      <c r="E181" s="134" t="s">
        <v>1696</v>
      </c>
      <c r="F181" s="89" t="s">
        <v>6</v>
      </c>
      <c r="G181" s="134" t="s">
        <v>1929</v>
      </c>
      <c r="H181" s="134" t="s">
        <v>362</v>
      </c>
      <c r="I181" s="281"/>
      <c r="J181" s="281"/>
      <c r="K181" s="220" t="s">
        <v>362</v>
      </c>
      <c r="L181" s="220" t="s">
        <v>362</v>
      </c>
      <c r="M181" s="220" t="s">
        <v>362</v>
      </c>
      <c r="N181" s="220" t="s">
        <v>362</v>
      </c>
      <c r="O181" s="220" t="s">
        <v>362</v>
      </c>
    </row>
    <row r="182" spans="1:15" x14ac:dyDescent="0.25">
      <c r="A182" s="220" t="s">
        <v>362</v>
      </c>
      <c r="B182" s="164">
        <v>45967</v>
      </c>
      <c r="C182" s="212">
        <v>45962</v>
      </c>
      <c r="D182" s="134" t="s">
        <v>1870</v>
      </c>
      <c r="E182" s="134" t="s">
        <v>1696</v>
      </c>
      <c r="F182" s="89" t="s">
        <v>6</v>
      </c>
      <c r="G182" s="134" t="s">
        <v>1911</v>
      </c>
      <c r="H182" s="134" t="s">
        <v>362</v>
      </c>
      <c r="I182" s="281"/>
      <c r="J182" s="281"/>
      <c r="K182" s="220" t="s">
        <v>362</v>
      </c>
      <c r="L182" s="220" t="s">
        <v>362</v>
      </c>
      <c r="M182" s="220" t="s">
        <v>362</v>
      </c>
      <c r="N182" s="220" t="s">
        <v>362</v>
      </c>
      <c r="O182" s="220" t="s">
        <v>362</v>
      </c>
    </row>
    <row r="183" spans="1:15" x14ac:dyDescent="0.25">
      <c r="A183" s="220" t="s">
        <v>362</v>
      </c>
      <c r="B183" s="164">
        <v>45967</v>
      </c>
      <c r="C183" s="212">
        <v>45962</v>
      </c>
      <c r="D183" s="134" t="s">
        <v>1696</v>
      </c>
      <c r="E183" s="134" t="s">
        <v>1696</v>
      </c>
      <c r="F183" s="89" t="s">
        <v>6</v>
      </c>
      <c r="G183" s="134" t="s">
        <v>1925</v>
      </c>
      <c r="H183" s="134" t="s">
        <v>362</v>
      </c>
      <c r="I183" s="281"/>
      <c r="J183" s="281"/>
      <c r="K183" s="220" t="s">
        <v>362</v>
      </c>
      <c r="L183" s="220" t="s">
        <v>362</v>
      </c>
      <c r="M183" s="220" t="s">
        <v>362</v>
      </c>
      <c r="N183" s="220" t="s">
        <v>362</v>
      </c>
      <c r="O183" s="220" t="s">
        <v>362</v>
      </c>
    </row>
    <row r="184" spans="1:15" x14ac:dyDescent="0.25">
      <c r="A184" s="220" t="s">
        <v>362</v>
      </c>
      <c r="B184" s="164">
        <v>45968</v>
      </c>
      <c r="C184" s="212">
        <v>45962</v>
      </c>
      <c r="D184" s="134" t="s">
        <v>1870</v>
      </c>
      <c r="E184" s="134" t="s">
        <v>1696</v>
      </c>
      <c r="F184" s="89" t="s">
        <v>6</v>
      </c>
      <c r="G184" s="134" t="s">
        <v>1911</v>
      </c>
      <c r="H184" s="134" t="s">
        <v>362</v>
      </c>
      <c r="I184" s="281"/>
      <c r="J184" s="281"/>
      <c r="K184" s="220" t="s">
        <v>362</v>
      </c>
      <c r="L184" s="220" t="s">
        <v>362</v>
      </c>
      <c r="M184" s="220" t="s">
        <v>362</v>
      </c>
      <c r="N184" s="220" t="s">
        <v>362</v>
      </c>
      <c r="O184" s="220" t="s">
        <v>362</v>
      </c>
    </row>
    <row r="185" spans="1:15" x14ac:dyDescent="0.25">
      <c r="A185" s="220" t="s">
        <v>362</v>
      </c>
      <c r="B185" s="164">
        <v>45968</v>
      </c>
      <c r="C185" s="212">
        <v>45962</v>
      </c>
      <c r="D185" s="134" t="s">
        <v>1696</v>
      </c>
      <c r="E185" s="134" t="s">
        <v>1696</v>
      </c>
      <c r="F185" s="89" t="s">
        <v>6</v>
      </c>
      <c r="G185" s="134" t="s">
        <v>1925</v>
      </c>
      <c r="H185" s="54"/>
      <c r="I185" s="281"/>
      <c r="J185" s="281"/>
      <c r="K185" s="220" t="s">
        <v>362</v>
      </c>
      <c r="L185" s="220" t="s">
        <v>362</v>
      </c>
      <c r="M185" s="220" t="s">
        <v>362</v>
      </c>
      <c r="N185" s="220" t="s">
        <v>362</v>
      </c>
      <c r="O185" s="220" t="s">
        <v>362</v>
      </c>
    </row>
    <row r="186" spans="1:15" x14ac:dyDescent="0.25">
      <c r="A186" s="220" t="s">
        <v>362</v>
      </c>
      <c r="B186" s="162">
        <v>45971</v>
      </c>
      <c r="C186" s="210">
        <v>45962</v>
      </c>
      <c r="D186" s="163" t="s">
        <v>406</v>
      </c>
      <c r="E186" s="163" t="s">
        <v>1696</v>
      </c>
      <c r="F186" s="89" t="s">
        <v>6</v>
      </c>
      <c r="G186" s="163" t="s">
        <v>1911</v>
      </c>
      <c r="H186" s="163" t="s">
        <v>362</v>
      </c>
      <c r="I186" s="281"/>
      <c r="J186" s="281"/>
      <c r="K186" s="220" t="s">
        <v>362</v>
      </c>
      <c r="L186" s="220" t="s">
        <v>362</v>
      </c>
      <c r="M186" s="220" t="s">
        <v>362</v>
      </c>
      <c r="N186" s="220" t="s">
        <v>362</v>
      </c>
      <c r="O186" s="220" t="s">
        <v>362</v>
      </c>
    </row>
    <row r="187" spans="1:15" x14ac:dyDescent="0.25">
      <c r="A187" s="220" t="s">
        <v>362</v>
      </c>
      <c r="B187" s="164">
        <v>45971</v>
      </c>
      <c r="C187" s="212">
        <v>45962</v>
      </c>
      <c r="D187" s="134" t="s">
        <v>1696</v>
      </c>
      <c r="E187" s="134" t="s">
        <v>1696</v>
      </c>
      <c r="F187" s="89" t="s">
        <v>6</v>
      </c>
      <c r="G187" s="134" t="s">
        <v>1925</v>
      </c>
      <c r="H187" s="134" t="s">
        <v>1930</v>
      </c>
      <c r="I187" s="281"/>
      <c r="J187" s="281"/>
      <c r="K187" s="220" t="s">
        <v>362</v>
      </c>
      <c r="L187" s="220" t="s">
        <v>362</v>
      </c>
      <c r="M187" s="220" t="s">
        <v>362</v>
      </c>
      <c r="N187" s="220" t="s">
        <v>362</v>
      </c>
      <c r="O187" s="220" t="s">
        <v>362</v>
      </c>
    </row>
    <row r="188" spans="1:15" x14ac:dyDescent="0.25">
      <c r="A188" s="220" t="s">
        <v>362</v>
      </c>
      <c r="B188" s="164">
        <v>45972</v>
      </c>
      <c r="C188" s="212">
        <v>45962</v>
      </c>
      <c r="D188" s="134" t="s">
        <v>406</v>
      </c>
      <c r="E188" s="134" t="s">
        <v>1696</v>
      </c>
      <c r="F188" s="89" t="s">
        <v>6</v>
      </c>
      <c r="G188" s="134" t="s">
        <v>1911</v>
      </c>
      <c r="H188" s="134" t="s">
        <v>362</v>
      </c>
      <c r="I188" s="281"/>
      <c r="J188" s="281"/>
      <c r="K188" s="220" t="s">
        <v>362</v>
      </c>
      <c r="L188" s="220" t="s">
        <v>362</v>
      </c>
      <c r="M188" s="220" t="s">
        <v>362</v>
      </c>
      <c r="N188" s="220" t="s">
        <v>362</v>
      </c>
      <c r="O188" s="220" t="s">
        <v>362</v>
      </c>
    </row>
    <row r="189" spans="1:15" x14ac:dyDescent="0.25">
      <c r="A189" s="220" t="s">
        <v>362</v>
      </c>
      <c r="B189" s="164">
        <v>45972</v>
      </c>
      <c r="C189" s="212">
        <v>45962</v>
      </c>
      <c r="D189" s="134" t="s">
        <v>1696</v>
      </c>
      <c r="E189" s="134" t="s">
        <v>1696</v>
      </c>
      <c r="F189" s="89" t="s">
        <v>6</v>
      </c>
      <c r="G189" s="134" t="s">
        <v>1925</v>
      </c>
      <c r="H189" s="134" t="s">
        <v>362</v>
      </c>
      <c r="I189" s="281"/>
      <c r="J189" s="281"/>
      <c r="K189" s="220" t="s">
        <v>362</v>
      </c>
      <c r="L189" s="220" t="s">
        <v>362</v>
      </c>
      <c r="M189" s="220" t="s">
        <v>362</v>
      </c>
      <c r="N189" s="220" t="s">
        <v>362</v>
      </c>
      <c r="O189" s="220" t="s">
        <v>362</v>
      </c>
    </row>
    <row r="190" spans="1:15" x14ac:dyDescent="0.25">
      <c r="A190" s="220" t="s">
        <v>362</v>
      </c>
      <c r="B190" s="164">
        <v>45972</v>
      </c>
      <c r="C190" s="212">
        <v>45962</v>
      </c>
      <c r="D190" s="134" t="s">
        <v>1870</v>
      </c>
      <c r="E190" s="134" t="s">
        <v>1696</v>
      </c>
      <c r="F190" s="89" t="s">
        <v>6</v>
      </c>
      <c r="G190" s="134" t="s">
        <v>1931</v>
      </c>
      <c r="H190" s="134" t="s">
        <v>362</v>
      </c>
      <c r="I190" s="281"/>
      <c r="J190" s="281"/>
      <c r="K190" s="220" t="s">
        <v>362</v>
      </c>
      <c r="L190" s="220" t="s">
        <v>362</v>
      </c>
      <c r="M190" s="220" t="s">
        <v>362</v>
      </c>
      <c r="N190" s="220" t="s">
        <v>362</v>
      </c>
      <c r="O190" s="220" t="s">
        <v>362</v>
      </c>
    </row>
    <row r="191" spans="1:15" x14ac:dyDescent="0.25">
      <c r="A191" s="220" t="s">
        <v>362</v>
      </c>
      <c r="B191" s="164">
        <v>45972</v>
      </c>
      <c r="C191" s="212">
        <v>45962</v>
      </c>
      <c r="D191" s="134" t="s">
        <v>1696</v>
      </c>
      <c r="E191" s="134" t="s">
        <v>1696</v>
      </c>
      <c r="F191" s="89" t="s">
        <v>6</v>
      </c>
      <c r="G191" s="134" t="s">
        <v>1925</v>
      </c>
      <c r="H191" s="134" t="s">
        <v>362</v>
      </c>
      <c r="I191" s="281"/>
      <c r="J191" s="281"/>
      <c r="K191" s="220" t="s">
        <v>362</v>
      </c>
      <c r="L191" s="220" t="s">
        <v>362</v>
      </c>
      <c r="M191" s="220" t="s">
        <v>362</v>
      </c>
      <c r="N191" s="220" t="s">
        <v>362</v>
      </c>
      <c r="O191" s="220" t="s">
        <v>362</v>
      </c>
    </row>
    <row r="192" spans="1:15" x14ac:dyDescent="0.25">
      <c r="A192" s="220" t="s">
        <v>362</v>
      </c>
      <c r="B192" s="164">
        <v>45973</v>
      </c>
      <c r="C192" s="212">
        <v>45962</v>
      </c>
      <c r="D192" s="134" t="s">
        <v>406</v>
      </c>
      <c r="E192" s="134" t="s">
        <v>1696</v>
      </c>
      <c r="F192" s="89" t="s">
        <v>6</v>
      </c>
      <c r="G192" s="134" t="s">
        <v>1911</v>
      </c>
      <c r="H192" s="134" t="s">
        <v>362</v>
      </c>
      <c r="I192" s="281"/>
      <c r="J192" s="281"/>
      <c r="K192" s="220" t="s">
        <v>362</v>
      </c>
      <c r="L192" s="220" t="s">
        <v>362</v>
      </c>
      <c r="M192" s="220" t="s">
        <v>362</v>
      </c>
      <c r="N192" s="220" t="s">
        <v>362</v>
      </c>
      <c r="O192" s="220" t="s">
        <v>362</v>
      </c>
    </row>
    <row r="193" spans="1:15" x14ac:dyDescent="0.25">
      <c r="A193" s="220" t="s">
        <v>362</v>
      </c>
      <c r="B193" s="164">
        <v>45973</v>
      </c>
      <c r="C193" s="212">
        <v>45962</v>
      </c>
      <c r="D193" s="134" t="s">
        <v>1696</v>
      </c>
      <c r="E193" s="134" t="s">
        <v>1696</v>
      </c>
      <c r="F193" s="89" t="s">
        <v>6</v>
      </c>
      <c r="G193" s="134" t="s">
        <v>1925</v>
      </c>
      <c r="H193" s="134" t="s">
        <v>362</v>
      </c>
      <c r="I193" s="281"/>
      <c r="J193" s="281"/>
      <c r="K193" s="220" t="s">
        <v>362</v>
      </c>
      <c r="L193" s="220" t="s">
        <v>362</v>
      </c>
      <c r="M193" s="220" t="s">
        <v>362</v>
      </c>
      <c r="N193" s="220" t="s">
        <v>362</v>
      </c>
      <c r="O193" s="220" t="s">
        <v>362</v>
      </c>
    </row>
    <row r="194" spans="1:15" x14ac:dyDescent="0.25">
      <c r="A194" s="220" t="s">
        <v>362</v>
      </c>
      <c r="B194" s="164">
        <v>45974</v>
      </c>
      <c r="C194" s="212">
        <v>45962</v>
      </c>
      <c r="D194" s="134" t="s">
        <v>406</v>
      </c>
      <c r="E194" s="134" t="s">
        <v>1696</v>
      </c>
      <c r="F194" s="89" t="s">
        <v>6</v>
      </c>
      <c r="G194" s="134" t="s">
        <v>1911</v>
      </c>
      <c r="H194" s="134" t="s">
        <v>362</v>
      </c>
      <c r="I194" s="281"/>
      <c r="J194" s="281"/>
      <c r="K194" s="220" t="s">
        <v>362</v>
      </c>
      <c r="L194" s="220" t="s">
        <v>362</v>
      </c>
      <c r="M194" s="220" t="s">
        <v>362</v>
      </c>
      <c r="N194" s="220" t="s">
        <v>362</v>
      </c>
      <c r="O194" s="220" t="s">
        <v>362</v>
      </c>
    </row>
    <row r="195" spans="1:15" x14ac:dyDescent="0.25">
      <c r="A195" s="220" t="s">
        <v>362</v>
      </c>
      <c r="B195" s="164">
        <v>45974</v>
      </c>
      <c r="C195" s="212">
        <v>45962</v>
      </c>
      <c r="D195" s="134" t="s">
        <v>1816</v>
      </c>
      <c r="E195" s="134" t="s">
        <v>1696</v>
      </c>
      <c r="F195" s="216" t="s">
        <v>4</v>
      </c>
      <c r="G195" s="134" t="s">
        <v>1932</v>
      </c>
      <c r="H195" s="134" t="s">
        <v>1933</v>
      </c>
      <c r="I195" s="281"/>
      <c r="J195" s="281"/>
      <c r="K195" s="220" t="s">
        <v>362</v>
      </c>
      <c r="L195" s="220" t="s">
        <v>362</v>
      </c>
      <c r="M195" s="220" t="s">
        <v>362</v>
      </c>
      <c r="N195" s="220" t="s">
        <v>362</v>
      </c>
      <c r="O195" s="220" t="s">
        <v>362</v>
      </c>
    </row>
    <row r="196" spans="1:15" x14ac:dyDescent="0.25">
      <c r="A196" s="220" t="s">
        <v>362</v>
      </c>
      <c r="B196" s="164">
        <v>45974</v>
      </c>
      <c r="C196" s="212">
        <v>45962</v>
      </c>
      <c r="D196" s="134" t="s">
        <v>1696</v>
      </c>
      <c r="E196" s="134" t="s">
        <v>1696</v>
      </c>
      <c r="F196" s="89" t="s">
        <v>6</v>
      </c>
      <c r="G196" s="134" t="s">
        <v>1925</v>
      </c>
      <c r="H196" s="134" t="s">
        <v>362</v>
      </c>
      <c r="I196" s="281"/>
      <c r="J196" s="281"/>
      <c r="K196" s="220" t="s">
        <v>362</v>
      </c>
      <c r="L196" s="220" t="s">
        <v>362</v>
      </c>
      <c r="M196" s="220" t="s">
        <v>362</v>
      </c>
      <c r="N196" s="220" t="s">
        <v>362</v>
      </c>
      <c r="O196" s="220" t="s">
        <v>362</v>
      </c>
    </row>
    <row r="197" spans="1:15" x14ac:dyDescent="0.25">
      <c r="A197" s="220" t="s">
        <v>362</v>
      </c>
      <c r="B197" s="164">
        <v>45974</v>
      </c>
      <c r="C197" s="212">
        <v>45962</v>
      </c>
      <c r="D197" s="134" t="s">
        <v>1934</v>
      </c>
      <c r="E197" s="134" t="s">
        <v>1696</v>
      </c>
      <c r="F197" s="89" t="s">
        <v>6</v>
      </c>
      <c r="G197" s="134" t="s">
        <v>1935</v>
      </c>
      <c r="H197" s="134" t="s">
        <v>362</v>
      </c>
      <c r="I197" s="281"/>
      <c r="J197" s="281"/>
      <c r="K197" s="220" t="s">
        <v>362</v>
      </c>
      <c r="L197" s="220" t="s">
        <v>362</v>
      </c>
      <c r="M197" s="220" t="s">
        <v>362</v>
      </c>
      <c r="N197" s="220" t="s">
        <v>362</v>
      </c>
      <c r="O197" s="220" t="s">
        <v>362</v>
      </c>
    </row>
    <row r="198" spans="1:15" x14ac:dyDescent="0.25">
      <c r="A198" s="220" t="s">
        <v>362</v>
      </c>
      <c r="B198" s="164">
        <v>45974</v>
      </c>
      <c r="C198" s="212">
        <v>45962</v>
      </c>
      <c r="D198" s="134" t="s">
        <v>1870</v>
      </c>
      <c r="E198" s="134" t="s">
        <v>1696</v>
      </c>
      <c r="F198" s="89" t="s">
        <v>6</v>
      </c>
      <c r="G198" s="134" t="s">
        <v>1936</v>
      </c>
      <c r="H198" s="134" t="s">
        <v>362</v>
      </c>
      <c r="I198" s="281"/>
      <c r="J198" s="281"/>
      <c r="K198" s="220" t="s">
        <v>362</v>
      </c>
      <c r="L198" s="220" t="s">
        <v>362</v>
      </c>
      <c r="M198" s="220" t="s">
        <v>362</v>
      </c>
      <c r="N198" s="220" t="s">
        <v>362</v>
      </c>
      <c r="O198" s="220" t="s">
        <v>362</v>
      </c>
    </row>
    <row r="199" spans="1:15" x14ac:dyDescent="0.25">
      <c r="A199" s="220" t="s">
        <v>362</v>
      </c>
      <c r="B199" s="164">
        <v>45975</v>
      </c>
      <c r="C199" s="212">
        <v>45962</v>
      </c>
      <c r="D199" s="134" t="s">
        <v>1696</v>
      </c>
      <c r="E199" s="134" t="s">
        <v>1696</v>
      </c>
      <c r="F199" s="89" t="s">
        <v>6</v>
      </c>
      <c r="G199" s="134" t="s">
        <v>1925</v>
      </c>
      <c r="H199" s="134" t="s">
        <v>362</v>
      </c>
      <c r="I199" s="281"/>
      <c r="J199" s="281"/>
      <c r="K199" s="220" t="s">
        <v>362</v>
      </c>
      <c r="L199" s="220" t="s">
        <v>362</v>
      </c>
      <c r="M199" s="220" t="s">
        <v>362</v>
      </c>
      <c r="N199" s="220" t="s">
        <v>362</v>
      </c>
      <c r="O199" s="220" t="s">
        <v>362</v>
      </c>
    </row>
    <row r="200" spans="1:15" x14ac:dyDescent="0.25">
      <c r="A200" s="220" t="s">
        <v>362</v>
      </c>
      <c r="B200" s="164">
        <v>45975</v>
      </c>
      <c r="C200" s="212">
        <v>45962</v>
      </c>
      <c r="D200" s="134" t="s">
        <v>406</v>
      </c>
      <c r="E200" s="134" t="s">
        <v>1696</v>
      </c>
      <c r="F200" s="89" t="s">
        <v>6</v>
      </c>
      <c r="G200" s="134" t="s">
        <v>1911</v>
      </c>
      <c r="H200" s="134" t="s">
        <v>362</v>
      </c>
      <c r="I200" s="281"/>
      <c r="J200" s="281"/>
      <c r="K200" s="220" t="s">
        <v>362</v>
      </c>
      <c r="L200" s="220" t="s">
        <v>362</v>
      </c>
      <c r="M200" s="220" t="s">
        <v>362</v>
      </c>
      <c r="N200" s="220" t="s">
        <v>362</v>
      </c>
      <c r="O200" s="220" t="s">
        <v>362</v>
      </c>
    </row>
    <row r="201" spans="1:15" x14ac:dyDescent="0.25">
      <c r="A201" s="220" t="s">
        <v>362</v>
      </c>
      <c r="B201" s="164">
        <v>45975</v>
      </c>
      <c r="C201" s="212">
        <v>45962</v>
      </c>
      <c r="D201" s="134" t="s">
        <v>1828</v>
      </c>
      <c r="E201" s="134" t="s">
        <v>1696</v>
      </c>
      <c r="F201" s="216" t="s">
        <v>4</v>
      </c>
      <c r="G201" s="134" t="s">
        <v>1937</v>
      </c>
      <c r="H201" s="134" t="s">
        <v>1938</v>
      </c>
      <c r="I201" s="281"/>
      <c r="J201" s="281"/>
      <c r="K201" s="220" t="s">
        <v>362</v>
      </c>
      <c r="L201" s="220" t="s">
        <v>362</v>
      </c>
      <c r="M201" s="220" t="s">
        <v>362</v>
      </c>
      <c r="N201" s="220" t="s">
        <v>362</v>
      </c>
      <c r="O201" s="220" t="s">
        <v>362</v>
      </c>
    </row>
    <row r="202" spans="1:15" x14ac:dyDescent="0.25">
      <c r="A202" s="220" t="s">
        <v>362</v>
      </c>
      <c r="B202" s="164">
        <v>45978</v>
      </c>
      <c r="C202" s="212">
        <v>45962</v>
      </c>
      <c r="D202" s="134" t="s">
        <v>1696</v>
      </c>
      <c r="E202" s="134" t="s">
        <v>1696</v>
      </c>
      <c r="F202" s="89" t="s">
        <v>6</v>
      </c>
      <c r="G202" s="134" t="s">
        <v>1925</v>
      </c>
      <c r="H202" s="134" t="s">
        <v>362</v>
      </c>
      <c r="I202" s="281"/>
      <c r="J202" s="281"/>
      <c r="K202" s="220" t="s">
        <v>362</v>
      </c>
      <c r="L202" s="220" t="s">
        <v>362</v>
      </c>
      <c r="M202" s="220" t="s">
        <v>362</v>
      </c>
      <c r="N202" s="220" t="s">
        <v>362</v>
      </c>
      <c r="O202" s="220" t="s">
        <v>362</v>
      </c>
    </row>
    <row r="203" spans="1:15" x14ac:dyDescent="0.25">
      <c r="A203" s="220" t="s">
        <v>362</v>
      </c>
      <c r="B203" s="164">
        <v>45978</v>
      </c>
      <c r="C203" s="212">
        <v>45962</v>
      </c>
      <c r="D203" s="134" t="s">
        <v>1816</v>
      </c>
      <c r="E203" s="134" t="s">
        <v>1696</v>
      </c>
      <c r="F203" s="89" t="s">
        <v>6</v>
      </c>
      <c r="G203" s="134" t="s">
        <v>1737</v>
      </c>
      <c r="H203" s="134" t="s">
        <v>8</v>
      </c>
      <c r="I203" s="281"/>
      <c r="J203" s="281"/>
      <c r="K203" s="220" t="s">
        <v>362</v>
      </c>
      <c r="L203" s="220" t="s">
        <v>362</v>
      </c>
      <c r="M203" s="220" t="s">
        <v>362</v>
      </c>
      <c r="N203" s="220" t="s">
        <v>362</v>
      </c>
      <c r="O203" s="220" t="s">
        <v>362</v>
      </c>
    </row>
    <row r="204" spans="1:15" x14ac:dyDescent="0.25">
      <c r="A204" s="220" t="s">
        <v>362</v>
      </c>
      <c r="B204" s="164">
        <v>45979</v>
      </c>
      <c r="C204" s="212">
        <v>45962</v>
      </c>
      <c r="D204" s="134" t="s">
        <v>1696</v>
      </c>
      <c r="E204" s="134" t="s">
        <v>1696</v>
      </c>
      <c r="F204" s="89" t="s">
        <v>6</v>
      </c>
      <c r="G204" s="134" t="s">
        <v>1925</v>
      </c>
      <c r="H204" s="134" t="s">
        <v>362</v>
      </c>
      <c r="I204" s="281"/>
      <c r="J204" s="281"/>
      <c r="K204" s="220" t="s">
        <v>362</v>
      </c>
      <c r="L204" s="220" t="s">
        <v>362</v>
      </c>
      <c r="M204" s="220" t="s">
        <v>362</v>
      </c>
      <c r="N204" s="220" t="s">
        <v>362</v>
      </c>
      <c r="O204" s="220" t="s">
        <v>362</v>
      </c>
    </row>
    <row r="205" spans="1:15" x14ac:dyDescent="0.25">
      <c r="A205" s="220" t="s">
        <v>362</v>
      </c>
      <c r="B205" s="164">
        <v>45979</v>
      </c>
      <c r="C205" s="212">
        <v>45962</v>
      </c>
      <c r="D205" s="134" t="s">
        <v>893</v>
      </c>
      <c r="E205" s="134" t="s">
        <v>1696</v>
      </c>
      <c r="F205" s="89" t="s">
        <v>6</v>
      </c>
      <c r="G205" s="134" t="s">
        <v>1939</v>
      </c>
      <c r="H205" s="134" t="s">
        <v>362</v>
      </c>
      <c r="I205" s="281"/>
      <c r="J205" s="281"/>
      <c r="K205" s="220" t="s">
        <v>362</v>
      </c>
      <c r="L205" s="220" t="s">
        <v>362</v>
      </c>
      <c r="M205" s="220" t="s">
        <v>362</v>
      </c>
      <c r="N205" s="220" t="s">
        <v>362</v>
      </c>
      <c r="O205" s="220" t="s">
        <v>362</v>
      </c>
    </row>
    <row r="206" spans="1:15" x14ac:dyDescent="0.25">
      <c r="A206" s="220" t="s">
        <v>362</v>
      </c>
      <c r="B206" s="164">
        <v>45980</v>
      </c>
      <c r="C206" s="212">
        <v>45962</v>
      </c>
      <c r="D206" s="134" t="s">
        <v>1696</v>
      </c>
      <c r="E206" s="134" t="s">
        <v>1696</v>
      </c>
      <c r="F206" s="89" t="s">
        <v>6</v>
      </c>
      <c r="G206" s="134" t="s">
        <v>1925</v>
      </c>
      <c r="H206" s="134" t="s">
        <v>1940</v>
      </c>
      <c r="I206" s="281"/>
      <c r="J206" s="281"/>
      <c r="K206" s="220" t="s">
        <v>362</v>
      </c>
      <c r="L206" s="220" t="s">
        <v>362</v>
      </c>
      <c r="M206" s="220" t="s">
        <v>362</v>
      </c>
      <c r="N206" s="220" t="s">
        <v>362</v>
      </c>
      <c r="O206" s="220" t="s">
        <v>362</v>
      </c>
    </row>
    <row r="207" spans="1:15" x14ac:dyDescent="0.25">
      <c r="A207" s="220" t="s">
        <v>362</v>
      </c>
      <c r="B207" s="164">
        <v>45980</v>
      </c>
      <c r="C207" s="212">
        <v>45962</v>
      </c>
      <c r="D207" s="134" t="s">
        <v>1870</v>
      </c>
      <c r="E207" s="134" t="s">
        <v>1696</v>
      </c>
      <c r="F207" s="89" t="s">
        <v>6</v>
      </c>
      <c r="G207" s="134" t="s">
        <v>1911</v>
      </c>
      <c r="H207" s="134" t="s">
        <v>362</v>
      </c>
      <c r="I207" s="281"/>
      <c r="J207" s="281"/>
      <c r="K207" s="220" t="s">
        <v>362</v>
      </c>
      <c r="L207" s="220" t="s">
        <v>362</v>
      </c>
      <c r="M207" s="220" t="s">
        <v>362</v>
      </c>
      <c r="N207" s="220" t="s">
        <v>362</v>
      </c>
      <c r="O207" s="220" t="s">
        <v>362</v>
      </c>
    </row>
    <row r="208" spans="1:15" x14ac:dyDescent="0.25">
      <c r="A208" s="220" t="s">
        <v>362</v>
      </c>
      <c r="B208" s="164">
        <v>45980</v>
      </c>
      <c r="C208" s="212">
        <v>45962</v>
      </c>
      <c r="D208" s="134" t="s">
        <v>1870</v>
      </c>
      <c r="E208" s="134" t="s">
        <v>1696</v>
      </c>
      <c r="F208" s="89" t="s">
        <v>6</v>
      </c>
      <c r="G208" s="134" t="s">
        <v>1941</v>
      </c>
      <c r="H208" s="134" t="s">
        <v>362</v>
      </c>
      <c r="I208" s="281"/>
      <c r="J208" s="281"/>
      <c r="K208" s="220" t="s">
        <v>362</v>
      </c>
      <c r="L208" s="220" t="s">
        <v>362</v>
      </c>
      <c r="M208" s="220" t="s">
        <v>362</v>
      </c>
      <c r="N208" s="220" t="s">
        <v>362</v>
      </c>
      <c r="O208" s="220" t="s">
        <v>362</v>
      </c>
    </row>
    <row r="209" spans="1:15" x14ac:dyDescent="0.25">
      <c r="A209" s="220" t="s">
        <v>362</v>
      </c>
      <c r="B209" s="164">
        <v>45980</v>
      </c>
      <c r="C209" s="212">
        <v>45962</v>
      </c>
      <c r="D209" s="134" t="s">
        <v>893</v>
      </c>
      <c r="E209" s="134" t="s">
        <v>1696</v>
      </c>
      <c r="F209" s="89" t="s">
        <v>6</v>
      </c>
      <c r="G209" s="134" t="s">
        <v>1942</v>
      </c>
      <c r="H209" s="134" t="s">
        <v>362</v>
      </c>
      <c r="I209" s="281"/>
      <c r="J209" s="281"/>
      <c r="K209" s="220" t="s">
        <v>362</v>
      </c>
      <c r="L209" s="220" t="s">
        <v>362</v>
      </c>
      <c r="M209" s="220" t="s">
        <v>362</v>
      </c>
      <c r="N209" s="220" t="s">
        <v>362</v>
      </c>
      <c r="O209" s="220" t="s">
        <v>362</v>
      </c>
    </row>
    <row r="210" spans="1:15" x14ac:dyDescent="0.25">
      <c r="A210" s="220" t="s">
        <v>362</v>
      </c>
      <c r="B210" s="164">
        <v>45981</v>
      </c>
      <c r="C210" s="212">
        <v>45962</v>
      </c>
      <c r="D210" s="134" t="s">
        <v>406</v>
      </c>
      <c r="E210" s="134" t="s">
        <v>1696</v>
      </c>
      <c r="F210" s="89" t="s">
        <v>6</v>
      </c>
      <c r="G210" s="134" t="s">
        <v>1911</v>
      </c>
      <c r="H210" s="134" t="s">
        <v>362</v>
      </c>
      <c r="I210" s="281"/>
      <c r="J210" s="281"/>
      <c r="K210" s="220" t="s">
        <v>362</v>
      </c>
      <c r="L210" s="220" t="s">
        <v>362</v>
      </c>
      <c r="M210" s="220" t="s">
        <v>362</v>
      </c>
      <c r="N210" s="220" t="s">
        <v>362</v>
      </c>
      <c r="O210" s="220" t="s">
        <v>362</v>
      </c>
    </row>
    <row r="211" spans="1:15" x14ac:dyDescent="0.25">
      <c r="A211" s="220" t="s">
        <v>362</v>
      </c>
      <c r="B211" s="164">
        <v>45981</v>
      </c>
      <c r="C211" s="212">
        <v>45962</v>
      </c>
      <c r="D211" s="134" t="s">
        <v>1696</v>
      </c>
      <c r="E211" s="134" t="s">
        <v>1696</v>
      </c>
      <c r="F211" s="89" t="s">
        <v>6</v>
      </c>
      <c r="G211" s="134" t="s">
        <v>1943</v>
      </c>
      <c r="H211" s="134" t="s">
        <v>362</v>
      </c>
      <c r="I211" s="281"/>
      <c r="J211" s="281"/>
      <c r="K211" s="220" t="s">
        <v>362</v>
      </c>
      <c r="L211" s="220" t="s">
        <v>362</v>
      </c>
      <c r="M211" s="220" t="s">
        <v>362</v>
      </c>
      <c r="N211" s="220" t="s">
        <v>362</v>
      </c>
      <c r="O211" s="220" t="s">
        <v>362</v>
      </c>
    </row>
    <row r="212" spans="1:15" x14ac:dyDescent="0.25">
      <c r="A212" s="220" t="s">
        <v>362</v>
      </c>
      <c r="B212" s="164">
        <v>45982</v>
      </c>
      <c r="C212" s="212">
        <v>45962</v>
      </c>
      <c r="D212" s="134" t="s">
        <v>406</v>
      </c>
      <c r="E212" s="134" t="s">
        <v>1696</v>
      </c>
      <c r="F212" s="89" t="s">
        <v>6</v>
      </c>
      <c r="G212" s="134" t="s">
        <v>1911</v>
      </c>
      <c r="H212" s="134" t="s">
        <v>362</v>
      </c>
      <c r="I212" s="281"/>
      <c r="J212" s="281"/>
      <c r="K212" s="220" t="s">
        <v>362</v>
      </c>
      <c r="L212" s="220" t="s">
        <v>362</v>
      </c>
      <c r="M212" s="220" t="s">
        <v>362</v>
      </c>
      <c r="N212" s="220" t="s">
        <v>362</v>
      </c>
      <c r="O212" s="220" t="s">
        <v>362</v>
      </c>
    </row>
    <row r="213" spans="1:15" x14ac:dyDescent="0.25">
      <c r="A213" s="220" t="s">
        <v>362</v>
      </c>
      <c r="B213" s="164">
        <v>45981</v>
      </c>
      <c r="C213" s="212">
        <v>45962</v>
      </c>
      <c r="D213" s="134" t="s">
        <v>1696</v>
      </c>
      <c r="E213" s="134" t="s">
        <v>1696</v>
      </c>
      <c r="F213" s="89" t="s">
        <v>6</v>
      </c>
      <c r="G213" s="134" t="s">
        <v>1925</v>
      </c>
      <c r="H213" s="134" t="s">
        <v>1944</v>
      </c>
      <c r="I213" s="281"/>
      <c r="J213" s="281"/>
      <c r="K213" s="220" t="s">
        <v>362</v>
      </c>
      <c r="L213" s="220" t="s">
        <v>362</v>
      </c>
      <c r="M213" s="220" t="s">
        <v>362</v>
      </c>
      <c r="N213" s="220" t="s">
        <v>362</v>
      </c>
      <c r="O213" s="220" t="s">
        <v>362</v>
      </c>
    </row>
    <row r="214" spans="1:15" x14ac:dyDescent="0.25">
      <c r="A214" s="220" t="s">
        <v>362</v>
      </c>
      <c r="B214" s="164">
        <v>45982</v>
      </c>
      <c r="C214" s="212">
        <v>45962</v>
      </c>
      <c r="D214" s="134" t="s">
        <v>1696</v>
      </c>
      <c r="E214" s="134" t="s">
        <v>1696</v>
      </c>
      <c r="F214" s="89" t="s">
        <v>6</v>
      </c>
      <c r="G214" s="134" t="s">
        <v>1943</v>
      </c>
      <c r="H214" s="134" t="s">
        <v>362</v>
      </c>
      <c r="I214" s="281"/>
      <c r="J214" s="281"/>
      <c r="K214" s="220" t="s">
        <v>362</v>
      </c>
      <c r="L214" s="220" t="s">
        <v>362</v>
      </c>
      <c r="M214" s="220" t="s">
        <v>362</v>
      </c>
      <c r="N214" s="220" t="s">
        <v>362</v>
      </c>
      <c r="O214" s="220" t="s">
        <v>362</v>
      </c>
    </row>
    <row r="215" spans="1:15" x14ac:dyDescent="0.25">
      <c r="A215" s="220" t="s">
        <v>362</v>
      </c>
      <c r="B215" s="164">
        <v>45982</v>
      </c>
      <c r="C215" s="212">
        <v>45962</v>
      </c>
      <c r="D215" s="134" t="s">
        <v>893</v>
      </c>
      <c r="E215" s="134" t="s">
        <v>1696</v>
      </c>
      <c r="F215" s="216" t="s">
        <v>4</v>
      </c>
      <c r="G215" s="134" t="s">
        <v>1945</v>
      </c>
      <c r="H215" s="134" t="s">
        <v>362</v>
      </c>
      <c r="I215" s="281"/>
      <c r="J215" s="281"/>
      <c r="K215" s="220" t="s">
        <v>362</v>
      </c>
      <c r="L215" s="220" t="s">
        <v>362</v>
      </c>
      <c r="M215" s="220" t="s">
        <v>362</v>
      </c>
      <c r="N215" s="220" t="s">
        <v>362</v>
      </c>
      <c r="O215" s="220" t="s">
        <v>362</v>
      </c>
    </row>
    <row r="216" spans="1:15" x14ac:dyDescent="0.25">
      <c r="A216" s="220" t="s">
        <v>362</v>
      </c>
      <c r="B216" s="164">
        <v>45982</v>
      </c>
      <c r="C216" s="212">
        <v>45962</v>
      </c>
      <c r="D216" s="134" t="s">
        <v>406</v>
      </c>
      <c r="E216" s="134" t="s">
        <v>1696</v>
      </c>
      <c r="F216" s="89" t="s">
        <v>6</v>
      </c>
      <c r="G216" s="134" t="s">
        <v>1911</v>
      </c>
      <c r="H216" s="134" t="s">
        <v>362</v>
      </c>
      <c r="I216" s="281"/>
      <c r="J216" s="281"/>
      <c r="K216" s="220" t="s">
        <v>362</v>
      </c>
      <c r="L216" s="220" t="s">
        <v>362</v>
      </c>
      <c r="M216" s="220" t="s">
        <v>362</v>
      </c>
      <c r="N216" s="220" t="s">
        <v>362</v>
      </c>
      <c r="O216" s="220" t="s">
        <v>362</v>
      </c>
    </row>
    <row r="217" spans="1:15" x14ac:dyDescent="0.25">
      <c r="A217" s="220" t="s">
        <v>362</v>
      </c>
      <c r="B217" s="164">
        <v>45982</v>
      </c>
      <c r="C217" s="212">
        <v>45962</v>
      </c>
      <c r="D217" s="134" t="s">
        <v>406</v>
      </c>
      <c r="E217" s="134" t="s">
        <v>1696</v>
      </c>
      <c r="F217" s="216" t="s">
        <v>4</v>
      </c>
      <c r="G217" s="134" t="s">
        <v>1946</v>
      </c>
      <c r="H217" s="134" t="s">
        <v>1947</v>
      </c>
      <c r="I217" s="281"/>
      <c r="J217" s="281"/>
      <c r="K217" s="220" t="s">
        <v>362</v>
      </c>
      <c r="L217" s="220" t="s">
        <v>362</v>
      </c>
      <c r="M217" s="220" t="s">
        <v>362</v>
      </c>
      <c r="N217" s="220" t="s">
        <v>362</v>
      </c>
      <c r="O217" s="220" t="s">
        <v>362</v>
      </c>
    </row>
    <row r="218" spans="1:15" x14ac:dyDescent="0.25">
      <c r="A218" s="220" t="s">
        <v>362</v>
      </c>
      <c r="B218" s="164">
        <v>45985</v>
      </c>
      <c r="C218" s="212">
        <v>45962</v>
      </c>
      <c r="D218" s="134" t="s">
        <v>406</v>
      </c>
      <c r="E218" s="134" t="s">
        <v>1696</v>
      </c>
      <c r="F218" s="89" t="s">
        <v>6</v>
      </c>
      <c r="G218" s="134" t="s">
        <v>1911</v>
      </c>
      <c r="H218" s="134" t="s">
        <v>362</v>
      </c>
      <c r="I218" s="281"/>
      <c r="J218" s="281"/>
      <c r="K218" s="220" t="s">
        <v>362</v>
      </c>
      <c r="L218" s="220" t="s">
        <v>362</v>
      </c>
      <c r="M218" s="220" t="s">
        <v>362</v>
      </c>
      <c r="N218" s="220" t="s">
        <v>362</v>
      </c>
      <c r="O218" s="220" t="s">
        <v>362</v>
      </c>
    </row>
    <row r="219" spans="1:15" x14ac:dyDescent="0.25">
      <c r="A219" s="220" t="s">
        <v>362</v>
      </c>
      <c r="B219" s="164">
        <v>45986</v>
      </c>
      <c r="C219" s="212">
        <v>45962</v>
      </c>
      <c r="D219" s="134" t="s">
        <v>406</v>
      </c>
      <c r="E219" s="134" t="s">
        <v>1696</v>
      </c>
      <c r="F219" s="89" t="s">
        <v>6</v>
      </c>
      <c r="G219" s="134" t="s">
        <v>1948</v>
      </c>
      <c r="H219" s="134" t="s">
        <v>362</v>
      </c>
      <c r="I219" s="281"/>
      <c r="J219" s="281"/>
      <c r="K219" s="220" t="s">
        <v>362</v>
      </c>
      <c r="L219" s="220" t="s">
        <v>362</v>
      </c>
      <c r="M219" s="220" t="s">
        <v>362</v>
      </c>
      <c r="N219" s="220" t="s">
        <v>362</v>
      </c>
      <c r="O219" s="220" t="s">
        <v>362</v>
      </c>
    </row>
    <row r="220" spans="1:15" x14ac:dyDescent="0.25">
      <c r="A220" s="220" t="s">
        <v>362</v>
      </c>
      <c r="B220" s="164">
        <v>45986</v>
      </c>
      <c r="C220" s="212">
        <v>45962</v>
      </c>
      <c r="D220" s="134" t="s">
        <v>406</v>
      </c>
      <c r="E220" s="134" t="s">
        <v>1696</v>
      </c>
      <c r="F220" s="89" t="s">
        <v>6</v>
      </c>
      <c r="G220" s="134" t="s">
        <v>1911</v>
      </c>
      <c r="H220" s="134" t="s">
        <v>362</v>
      </c>
      <c r="I220" s="281"/>
      <c r="J220" s="281"/>
      <c r="K220" s="220" t="s">
        <v>362</v>
      </c>
      <c r="L220" s="220" t="s">
        <v>362</v>
      </c>
      <c r="M220" s="220" t="s">
        <v>362</v>
      </c>
      <c r="N220" s="220" t="s">
        <v>362</v>
      </c>
      <c r="O220" s="220" t="s">
        <v>362</v>
      </c>
    </row>
    <row r="221" spans="1:15" x14ac:dyDescent="0.25">
      <c r="A221" s="220" t="s">
        <v>362</v>
      </c>
      <c r="B221" s="164">
        <v>45986</v>
      </c>
      <c r="C221" s="212">
        <v>45962</v>
      </c>
      <c r="D221" s="134" t="s">
        <v>1870</v>
      </c>
      <c r="E221" s="134" t="s">
        <v>1696</v>
      </c>
      <c r="F221" s="89" t="s">
        <v>6</v>
      </c>
      <c r="G221" s="134" t="s">
        <v>1949</v>
      </c>
      <c r="H221" s="134" t="s">
        <v>362</v>
      </c>
      <c r="I221" s="281"/>
      <c r="J221" s="281"/>
      <c r="K221" s="220" t="s">
        <v>362</v>
      </c>
      <c r="L221" s="220" t="s">
        <v>362</v>
      </c>
      <c r="M221" s="220" t="s">
        <v>362</v>
      </c>
      <c r="N221" s="220" t="s">
        <v>362</v>
      </c>
      <c r="O221" s="220" t="s">
        <v>362</v>
      </c>
    </row>
    <row r="222" spans="1:15" x14ac:dyDescent="0.25">
      <c r="A222" s="220" t="s">
        <v>362</v>
      </c>
      <c r="B222" s="164">
        <v>45986</v>
      </c>
      <c r="C222" s="212">
        <v>45962</v>
      </c>
      <c r="D222" s="134" t="s">
        <v>406</v>
      </c>
      <c r="E222" s="134" t="s">
        <v>1696</v>
      </c>
      <c r="F222" s="89" t="s">
        <v>6</v>
      </c>
      <c r="G222" s="134" t="s">
        <v>1737</v>
      </c>
      <c r="H222" s="134" t="s">
        <v>1950</v>
      </c>
      <c r="I222" s="281"/>
      <c r="J222" s="281"/>
      <c r="K222" s="220" t="s">
        <v>362</v>
      </c>
      <c r="L222" s="220" t="s">
        <v>362</v>
      </c>
      <c r="M222" s="220" t="s">
        <v>362</v>
      </c>
      <c r="N222" s="220" t="s">
        <v>362</v>
      </c>
      <c r="O222" s="220" t="s">
        <v>362</v>
      </c>
    </row>
    <row r="223" spans="1:15" x14ac:dyDescent="0.25">
      <c r="A223" s="220" t="s">
        <v>362</v>
      </c>
      <c r="B223" s="164">
        <v>45987</v>
      </c>
      <c r="C223" s="212">
        <v>45962</v>
      </c>
      <c r="D223" s="134" t="s">
        <v>1870</v>
      </c>
      <c r="E223" s="134" t="s">
        <v>1696</v>
      </c>
      <c r="F223" s="89" t="s">
        <v>6</v>
      </c>
      <c r="G223" s="134" t="s">
        <v>1949</v>
      </c>
      <c r="H223" s="134" t="s">
        <v>362</v>
      </c>
      <c r="I223" s="281"/>
      <c r="J223" s="281"/>
      <c r="K223" s="220" t="s">
        <v>362</v>
      </c>
      <c r="L223" s="220" t="s">
        <v>362</v>
      </c>
      <c r="M223" s="220" t="s">
        <v>362</v>
      </c>
      <c r="N223" s="220" t="s">
        <v>362</v>
      </c>
      <c r="O223" s="220" t="s">
        <v>362</v>
      </c>
    </row>
    <row r="224" spans="1:15" x14ac:dyDescent="0.25">
      <c r="A224" s="220" t="s">
        <v>362</v>
      </c>
      <c r="B224" s="164">
        <v>45987</v>
      </c>
      <c r="C224" s="212">
        <v>45962</v>
      </c>
      <c r="D224" s="134" t="s">
        <v>410</v>
      </c>
      <c r="E224" s="134" t="s">
        <v>1696</v>
      </c>
      <c r="F224" s="89" t="s">
        <v>6</v>
      </c>
      <c r="G224" s="134" t="s">
        <v>1951</v>
      </c>
      <c r="H224" s="134" t="s">
        <v>362</v>
      </c>
      <c r="I224" s="281"/>
      <c r="J224" s="281"/>
      <c r="K224" s="220" t="s">
        <v>362</v>
      </c>
      <c r="L224" s="220" t="s">
        <v>362</v>
      </c>
      <c r="M224" s="220" t="s">
        <v>362</v>
      </c>
      <c r="N224" s="220" t="s">
        <v>362</v>
      </c>
      <c r="O224" s="220" t="s">
        <v>362</v>
      </c>
    </row>
    <row r="225" spans="1:15" x14ac:dyDescent="0.25">
      <c r="A225" s="220" t="s">
        <v>362</v>
      </c>
      <c r="B225" s="162">
        <v>45992</v>
      </c>
      <c r="C225" s="210">
        <v>45992</v>
      </c>
      <c r="D225" s="163" t="s">
        <v>1870</v>
      </c>
      <c r="E225" s="163" t="s">
        <v>1696</v>
      </c>
      <c r="F225" s="89" t="s">
        <v>6</v>
      </c>
      <c r="G225" s="163" t="s">
        <v>1949</v>
      </c>
      <c r="H225" s="163" t="s">
        <v>362</v>
      </c>
      <c r="I225" s="281"/>
      <c r="J225" s="281"/>
      <c r="K225" s="220" t="s">
        <v>362</v>
      </c>
      <c r="L225" s="220" t="s">
        <v>362</v>
      </c>
      <c r="M225" s="220" t="s">
        <v>362</v>
      </c>
      <c r="N225" s="220" t="s">
        <v>362</v>
      </c>
      <c r="O225" s="220" t="s">
        <v>362</v>
      </c>
    </row>
    <row r="226" spans="1:15" x14ac:dyDescent="0.25">
      <c r="A226" s="220" t="s">
        <v>362</v>
      </c>
      <c r="B226" s="164">
        <v>45992</v>
      </c>
      <c r="C226" s="212">
        <v>45992</v>
      </c>
      <c r="D226" s="134" t="s">
        <v>1696</v>
      </c>
      <c r="E226" s="134" t="s">
        <v>1696</v>
      </c>
      <c r="F226" s="216" t="s">
        <v>4</v>
      </c>
      <c r="G226" s="134" t="s">
        <v>1952</v>
      </c>
      <c r="H226" s="134" t="s">
        <v>1953</v>
      </c>
      <c r="I226" s="281"/>
      <c r="J226" s="281"/>
      <c r="K226" s="220" t="s">
        <v>362</v>
      </c>
      <c r="L226" s="220" t="s">
        <v>362</v>
      </c>
      <c r="M226" s="220" t="s">
        <v>362</v>
      </c>
      <c r="N226" s="220" t="s">
        <v>362</v>
      </c>
      <c r="O226" s="220" t="s">
        <v>362</v>
      </c>
    </row>
    <row r="227" spans="1:15" x14ac:dyDescent="0.25">
      <c r="A227" s="220" t="s">
        <v>362</v>
      </c>
      <c r="B227" s="164">
        <v>45992</v>
      </c>
      <c r="C227" s="212">
        <v>45992</v>
      </c>
      <c r="D227" s="134" t="s">
        <v>410</v>
      </c>
      <c r="E227" s="134" t="s">
        <v>1696</v>
      </c>
      <c r="F227" s="89" t="s">
        <v>6</v>
      </c>
      <c r="G227" s="134" t="s">
        <v>1954</v>
      </c>
      <c r="H227" s="134" t="s">
        <v>362</v>
      </c>
      <c r="I227" s="281"/>
      <c r="J227" s="281"/>
      <c r="K227" s="220" t="s">
        <v>362</v>
      </c>
      <c r="L227" s="220" t="s">
        <v>362</v>
      </c>
      <c r="M227" s="220" t="s">
        <v>362</v>
      </c>
      <c r="N227" s="220" t="s">
        <v>362</v>
      </c>
      <c r="O227" s="220" t="s">
        <v>362</v>
      </c>
    </row>
    <row r="228" spans="1:15" x14ac:dyDescent="0.25">
      <c r="A228" s="220" t="s">
        <v>362</v>
      </c>
      <c r="B228" s="164">
        <v>45992</v>
      </c>
      <c r="C228" s="212">
        <v>45992</v>
      </c>
      <c r="D228" s="134" t="s">
        <v>30</v>
      </c>
      <c r="E228" s="134" t="s">
        <v>1696</v>
      </c>
      <c r="F228" s="89" t="s">
        <v>6</v>
      </c>
      <c r="G228" s="134" t="s">
        <v>1955</v>
      </c>
      <c r="H228" s="54"/>
      <c r="I228" s="281"/>
      <c r="J228" s="281"/>
      <c r="K228" s="220" t="s">
        <v>362</v>
      </c>
      <c r="L228" s="220" t="s">
        <v>362</v>
      </c>
      <c r="M228" s="220" t="s">
        <v>362</v>
      </c>
      <c r="N228" s="220" t="s">
        <v>362</v>
      </c>
      <c r="O228" s="220" t="s">
        <v>362</v>
      </c>
    </row>
    <row r="229" spans="1:15" x14ac:dyDescent="0.25">
      <c r="A229" s="220" t="s">
        <v>362</v>
      </c>
      <c r="B229" s="164">
        <v>45993</v>
      </c>
      <c r="C229" s="212">
        <v>45992</v>
      </c>
      <c r="D229" s="134" t="s">
        <v>1870</v>
      </c>
      <c r="E229" s="134" t="s">
        <v>1696</v>
      </c>
      <c r="F229" s="89" t="s">
        <v>6</v>
      </c>
      <c r="G229" s="134" t="s">
        <v>1956</v>
      </c>
      <c r="H229" s="163" t="s">
        <v>1957</v>
      </c>
      <c r="I229" s="281"/>
      <c r="J229" s="281"/>
      <c r="K229" s="220" t="s">
        <v>362</v>
      </c>
      <c r="L229" s="220" t="s">
        <v>362</v>
      </c>
      <c r="M229" s="220" t="s">
        <v>362</v>
      </c>
      <c r="N229" s="220" t="s">
        <v>362</v>
      </c>
      <c r="O229" s="220" t="s">
        <v>362</v>
      </c>
    </row>
    <row r="230" spans="1:15" x14ac:dyDescent="0.25">
      <c r="A230" s="220" t="s">
        <v>362</v>
      </c>
      <c r="B230" s="164">
        <v>45993</v>
      </c>
      <c r="C230" s="212">
        <v>45992</v>
      </c>
      <c r="D230" s="134" t="s">
        <v>1958</v>
      </c>
      <c r="E230" s="134" t="s">
        <v>1696</v>
      </c>
      <c r="F230" s="89" t="s">
        <v>6</v>
      </c>
      <c r="G230" s="134" t="s">
        <v>1556</v>
      </c>
      <c r="H230" s="134" t="s">
        <v>362</v>
      </c>
      <c r="I230" s="281"/>
      <c r="J230" s="281"/>
      <c r="K230" s="220" t="s">
        <v>362</v>
      </c>
      <c r="L230" s="220" t="s">
        <v>362</v>
      </c>
      <c r="M230" s="220" t="s">
        <v>362</v>
      </c>
      <c r="N230" s="220" t="s">
        <v>362</v>
      </c>
      <c r="O230" s="220" t="s">
        <v>362</v>
      </c>
    </row>
    <row r="231" spans="1:15" x14ac:dyDescent="0.25">
      <c r="A231" s="220" t="s">
        <v>362</v>
      </c>
      <c r="B231" s="164">
        <v>45994</v>
      </c>
      <c r="C231" s="212">
        <v>45992</v>
      </c>
      <c r="D231" s="134" t="s">
        <v>406</v>
      </c>
      <c r="E231" s="134" t="s">
        <v>1696</v>
      </c>
      <c r="F231" s="89" t="s">
        <v>6</v>
      </c>
      <c r="G231" s="134" t="s">
        <v>1911</v>
      </c>
      <c r="H231" s="134" t="s">
        <v>362</v>
      </c>
      <c r="I231" s="281"/>
      <c r="J231" s="281"/>
      <c r="K231" s="220" t="s">
        <v>362</v>
      </c>
      <c r="L231" s="220" t="s">
        <v>362</v>
      </c>
      <c r="M231" s="220" t="s">
        <v>362</v>
      </c>
      <c r="N231" s="220" t="s">
        <v>362</v>
      </c>
      <c r="O231" s="220" t="s">
        <v>362</v>
      </c>
    </row>
    <row r="232" spans="1:15" x14ac:dyDescent="0.25">
      <c r="A232" s="220" t="s">
        <v>362</v>
      </c>
      <c r="B232" s="164">
        <v>45994</v>
      </c>
      <c r="C232" s="212">
        <v>45992</v>
      </c>
      <c r="D232" s="134" t="s">
        <v>1870</v>
      </c>
      <c r="E232" s="134" t="s">
        <v>1696</v>
      </c>
      <c r="F232" s="89" t="s">
        <v>6</v>
      </c>
      <c r="G232" s="134" t="s">
        <v>1959</v>
      </c>
      <c r="H232" s="134" t="s">
        <v>1960</v>
      </c>
      <c r="I232" s="281"/>
      <c r="J232" s="281"/>
      <c r="K232" s="220" t="s">
        <v>362</v>
      </c>
      <c r="L232" s="220" t="s">
        <v>362</v>
      </c>
      <c r="M232" s="220" t="s">
        <v>362</v>
      </c>
      <c r="N232" s="220" t="s">
        <v>362</v>
      </c>
      <c r="O232" s="220" t="s">
        <v>362</v>
      </c>
    </row>
    <row r="233" spans="1:15" x14ac:dyDescent="0.25">
      <c r="A233" s="220" t="s">
        <v>362</v>
      </c>
      <c r="B233" s="164">
        <v>45995</v>
      </c>
      <c r="C233" s="212">
        <v>45992</v>
      </c>
      <c r="D233" s="134" t="s">
        <v>1870</v>
      </c>
      <c r="E233" s="134" t="s">
        <v>1696</v>
      </c>
      <c r="F233" s="89" t="s">
        <v>6</v>
      </c>
      <c r="G233" s="134" t="s">
        <v>1961</v>
      </c>
      <c r="H233" s="134" t="s">
        <v>362</v>
      </c>
      <c r="I233" s="281"/>
      <c r="J233" s="281"/>
      <c r="K233" s="220" t="s">
        <v>362</v>
      </c>
      <c r="L233" s="220" t="s">
        <v>362</v>
      </c>
      <c r="M233" s="220" t="s">
        <v>362</v>
      </c>
      <c r="N233" s="220" t="s">
        <v>362</v>
      </c>
      <c r="O233" s="220" t="s">
        <v>362</v>
      </c>
    </row>
    <row r="234" spans="1:15" x14ac:dyDescent="0.25">
      <c r="A234" s="220" t="s">
        <v>362</v>
      </c>
      <c r="B234" s="164">
        <v>45995</v>
      </c>
      <c r="C234" s="212">
        <v>45992</v>
      </c>
      <c r="D234" s="134" t="s">
        <v>406</v>
      </c>
      <c r="E234" s="134" t="s">
        <v>1696</v>
      </c>
      <c r="F234" s="89" t="s">
        <v>6</v>
      </c>
      <c r="G234" s="134" t="s">
        <v>1911</v>
      </c>
      <c r="H234" s="134" t="s">
        <v>362</v>
      </c>
      <c r="I234" s="281"/>
      <c r="J234" s="281"/>
      <c r="K234" s="220" t="s">
        <v>362</v>
      </c>
      <c r="L234" s="220" t="s">
        <v>362</v>
      </c>
      <c r="M234" s="220" t="s">
        <v>362</v>
      </c>
      <c r="N234" s="220" t="s">
        <v>362</v>
      </c>
      <c r="O234" s="220" t="s">
        <v>362</v>
      </c>
    </row>
    <row r="235" spans="1:15" x14ac:dyDescent="0.25">
      <c r="A235" s="220" t="s">
        <v>362</v>
      </c>
      <c r="B235" s="164">
        <v>45995</v>
      </c>
      <c r="C235" s="212">
        <v>45992</v>
      </c>
      <c r="D235" s="134" t="s">
        <v>1870</v>
      </c>
      <c r="E235" s="134" t="s">
        <v>1696</v>
      </c>
      <c r="F235" s="89" t="s">
        <v>6</v>
      </c>
      <c r="G235" s="134" t="s">
        <v>1962</v>
      </c>
      <c r="H235" s="134" t="s">
        <v>362</v>
      </c>
      <c r="I235" s="281"/>
      <c r="J235" s="281"/>
      <c r="K235" s="220" t="s">
        <v>362</v>
      </c>
      <c r="L235" s="220" t="s">
        <v>362</v>
      </c>
      <c r="M235" s="220" t="s">
        <v>362</v>
      </c>
      <c r="N235" s="220" t="s">
        <v>362</v>
      </c>
      <c r="O235" s="220" t="s">
        <v>362</v>
      </c>
    </row>
    <row r="236" spans="1:15" x14ac:dyDescent="0.25">
      <c r="A236" s="220" t="s">
        <v>362</v>
      </c>
      <c r="B236" s="164">
        <v>45995</v>
      </c>
      <c r="C236" s="212">
        <v>45992</v>
      </c>
      <c r="D236" s="134" t="s">
        <v>1963</v>
      </c>
      <c r="E236" s="134" t="s">
        <v>1696</v>
      </c>
      <c r="F236" s="89" t="s">
        <v>6</v>
      </c>
      <c r="G236" s="134" t="s">
        <v>1964</v>
      </c>
      <c r="H236" s="134" t="s">
        <v>362</v>
      </c>
      <c r="I236" s="281"/>
      <c r="J236" s="281"/>
      <c r="K236" s="220" t="s">
        <v>362</v>
      </c>
      <c r="L236" s="220" t="s">
        <v>362</v>
      </c>
      <c r="M236" s="220" t="s">
        <v>362</v>
      </c>
      <c r="N236" s="220" t="s">
        <v>362</v>
      </c>
      <c r="O236" s="220" t="s">
        <v>362</v>
      </c>
    </row>
    <row r="237" spans="1:15" x14ac:dyDescent="0.25">
      <c r="A237" s="220" t="s">
        <v>362</v>
      </c>
      <c r="B237" s="164">
        <v>45996</v>
      </c>
      <c r="C237" s="212">
        <v>45992</v>
      </c>
      <c r="D237" s="134" t="s">
        <v>362</v>
      </c>
      <c r="E237" s="134" t="s">
        <v>1696</v>
      </c>
      <c r="F237" s="134" t="s">
        <v>362</v>
      </c>
      <c r="G237" s="134" t="s">
        <v>362</v>
      </c>
      <c r="H237" s="134" t="s">
        <v>362</v>
      </c>
      <c r="I237" s="281"/>
      <c r="J237" s="281"/>
      <c r="K237" s="220" t="s">
        <v>362</v>
      </c>
      <c r="L237" s="220" t="s">
        <v>362</v>
      </c>
      <c r="M237" s="220" t="s">
        <v>362</v>
      </c>
      <c r="N237" s="220" t="s">
        <v>362</v>
      </c>
      <c r="O237" s="220" t="s">
        <v>362</v>
      </c>
    </row>
    <row r="238" spans="1:15" x14ac:dyDescent="0.25">
      <c r="A238" s="220" t="s">
        <v>362</v>
      </c>
      <c r="B238" s="164">
        <v>46000</v>
      </c>
      <c r="C238" s="212">
        <v>45992</v>
      </c>
      <c r="D238" s="134" t="s">
        <v>1965</v>
      </c>
      <c r="E238" s="134" t="s">
        <v>1696</v>
      </c>
      <c r="F238" s="216" t="s">
        <v>4</v>
      </c>
      <c r="G238" s="134" t="s">
        <v>1966</v>
      </c>
      <c r="H238" s="134" t="s">
        <v>1967</v>
      </c>
      <c r="I238" s="281"/>
      <c r="J238" s="281"/>
      <c r="K238" s="220" t="s">
        <v>362</v>
      </c>
      <c r="L238" s="220" t="s">
        <v>362</v>
      </c>
      <c r="M238" s="220" t="s">
        <v>362</v>
      </c>
      <c r="N238" s="220" t="s">
        <v>362</v>
      </c>
      <c r="O238" s="220" t="s">
        <v>362</v>
      </c>
    </row>
    <row r="239" spans="1:15" x14ac:dyDescent="0.25">
      <c r="A239" s="220" t="s">
        <v>362</v>
      </c>
      <c r="B239" s="164">
        <v>46000</v>
      </c>
      <c r="C239" s="212">
        <v>45992</v>
      </c>
      <c r="D239" s="134" t="s">
        <v>406</v>
      </c>
      <c r="E239" s="134" t="s">
        <v>1696</v>
      </c>
      <c r="F239" s="89" t="s">
        <v>6</v>
      </c>
      <c r="G239" s="134" t="s">
        <v>1911</v>
      </c>
      <c r="H239" s="134" t="s">
        <v>362</v>
      </c>
      <c r="I239" s="281"/>
      <c r="J239" s="281"/>
      <c r="K239" s="220" t="s">
        <v>362</v>
      </c>
      <c r="L239" s="220" t="s">
        <v>362</v>
      </c>
      <c r="M239" s="220" t="s">
        <v>362</v>
      </c>
      <c r="N239" s="220" t="s">
        <v>362</v>
      </c>
      <c r="O239" s="220" t="s">
        <v>362</v>
      </c>
    </row>
    <row r="240" spans="1:15" x14ac:dyDescent="0.25">
      <c r="A240" s="220" t="s">
        <v>362</v>
      </c>
      <c r="B240" s="164">
        <v>46000</v>
      </c>
      <c r="C240" s="212">
        <v>45992</v>
      </c>
      <c r="D240" s="134" t="s">
        <v>1870</v>
      </c>
      <c r="E240" s="134" t="s">
        <v>1696</v>
      </c>
      <c r="F240" s="89" t="s">
        <v>6</v>
      </c>
      <c r="G240" s="134" t="s">
        <v>1968</v>
      </c>
      <c r="H240" s="134" t="s">
        <v>362</v>
      </c>
      <c r="I240" s="281"/>
      <c r="J240" s="281"/>
      <c r="K240" s="220" t="s">
        <v>362</v>
      </c>
      <c r="L240" s="220" t="s">
        <v>362</v>
      </c>
      <c r="M240" s="220" t="s">
        <v>362</v>
      </c>
      <c r="N240" s="220" t="s">
        <v>362</v>
      </c>
      <c r="O240" s="220" t="s">
        <v>362</v>
      </c>
    </row>
    <row r="241" spans="1:15" x14ac:dyDescent="0.25">
      <c r="A241" s="220" t="s">
        <v>362</v>
      </c>
      <c r="B241" s="164">
        <v>46000</v>
      </c>
      <c r="C241" s="212">
        <v>45992</v>
      </c>
      <c r="D241" s="134" t="s">
        <v>1870</v>
      </c>
      <c r="E241" s="134" t="s">
        <v>1696</v>
      </c>
      <c r="F241" s="89" t="s">
        <v>6</v>
      </c>
      <c r="G241" s="134" t="s">
        <v>1969</v>
      </c>
      <c r="H241" s="134" t="s">
        <v>1970</v>
      </c>
      <c r="I241" s="281"/>
      <c r="J241" s="281"/>
      <c r="K241" s="220" t="s">
        <v>362</v>
      </c>
      <c r="L241" s="220" t="s">
        <v>362</v>
      </c>
      <c r="M241" s="220" t="s">
        <v>362</v>
      </c>
      <c r="N241" s="220" t="s">
        <v>362</v>
      </c>
      <c r="O241" s="220" t="s">
        <v>362</v>
      </c>
    </row>
    <row r="242" spans="1:15" x14ac:dyDescent="0.25">
      <c r="A242" s="220" t="s">
        <v>362</v>
      </c>
      <c r="B242" s="164">
        <v>46001</v>
      </c>
      <c r="C242" s="212">
        <v>45992</v>
      </c>
      <c r="D242" s="134" t="s">
        <v>406</v>
      </c>
      <c r="E242" s="134" t="s">
        <v>1696</v>
      </c>
      <c r="F242" s="89" t="s">
        <v>6</v>
      </c>
      <c r="G242" s="134" t="s">
        <v>1911</v>
      </c>
      <c r="H242" s="134" t="s">
        <v>362</v>
      </c>
      <c r="I242" s="281"/>
      <c r="J242" s="281"/>
      <c r="K242" s="220" t="s">
        <v>362</v>
      </c>
      <c r="L242" s="220" t="s">
        <v>362</v>
      </c>
      <c r="M242" s="220" t="s">
        <v>362</v>
      </c>
      <c r="N242" s="220" t="s">
        <v>362</v>
      </c>
      <c r="O242" s="220" t="s">
        <v>362</v>
      </c>
    </row>
    <row r="243" spans="1:15" x14ac:dyDescent="0.25">
      <c r="A243" s="220" t="s">
        <v>362</v>
      </c>
      <c r="B243" s="164">
        <v>46001</v>
      </c>
      <c r="C243" s="212">
        <v>45992</v>
      </c>
      <c r="D243" s="134" t="s">
        <v>1870</v>
      </c>
      <c r="E243" s="134" t="s">
        <v>1696</v>
      </c>
      <c r="F243" s="89" t="s">
        <v>6</v>
      </c>
      <c r="G243" s="134" t="s">
        <v>1971</v>
      </c>
      <c r="H243" s="134" t="s">
        <v>362</v>
      </c>
      <c r="I243" s="281"/>
      <c r="J243" s="281"/>
      <c r="K243" s="220" t="s">
        <v>362</v>
      </c>
      <c r="L243" s="220" t="s">
        <v>362</v>
      </c>
      <c r="M243" s="220" t="s">
        <v>362</v>
      </c>
      <c r="N243" s="220" t="s">
        <v>362</v>
      </c>
      <c r="O243" s="220" t="s">
        <v>362</v>
      </c>
    </row>
    <row r="244" spans="1:15" x14ac:dyDescent="0.25">
      <c r="A244" s="220" t="s">
        <v>362</v>
      </c>
      <c r="B244" s="164">
        <v>46001</v>
      </c>
      <c r="C244" s="212">
        <v>45992</v>
      </c>
      <c r="D244" s="134" t="s">
        <v>1963</v>
      </c>
      <c r="E244" s="134" t="s">
        <v>1696</v>
      </c>
      <c r="F244" s="89" t="s">
        <v>6</v>
      </c>
      <c r="G244" s="134" t="s">
        <v>1972</v>
      </c>
      <c r="H244" s="134" t="s">
        <v>362</v>
      </c>
      <c r="I244" s="281"/>
      <c r="J244" s="281"/>
      <c r="K244" s="220" t="s">
        <v>362</v>
      </c>
      <c r="L244" s="220" t="s">
        <v>362</v>
      </c>
      <c r="M244" s="220" t="s">
        <v>362</v>
      </c>
      <c r="N244" s="220" t="s">
        <v>362</v>
      </c>
      <c r="O244" s="220" t="s">
        <v>362</v>
      </c>
    </row>
    <row r="245" spans="1:15" x14ac:dyDescent="0.25">
      <c r="A245" s="220" t="s">
        <v>362</v>
      </c>
      <c r="B245" s="164">
        <v>46002</v>
      </c>
      <c r="C245" s="212">
        <v>45992</v>
      </c>
      <c r="D245" s="134" t="s">
        <v>1870</v>
      </c>
      <c r="E245" s="134" t="s">
        <v>1696</v>
      </c>
      <c r="F245" s="89" t="s">
        <v>6</v>
      </c>
      <c r="G245" s="134" t="s">
        <v>1973</v>
      </c>
      <c r="H245" s="134" t="s">
        <v>362</v>
      </c>
      <c r="I245" s="281"/>
      <c r="J245" s="281"/>
      <c r="K245" s="220" t="s">
        <v>362</v>
      </c>
      <c r="L245" s="220" t="s">
        <v>362</v>
      </c>
      <c r="M245" s="220" t="s">
        <v>362</v>
      </c>
      <c r="N245" s="220" t="s">
        <v>362</v>
      </c>
      <c r="O245" s="220" t="s">
        <v>362</v>
      </c>
    </row>
    <row r="246" spans="1:15" x14ac:dyDescent="0.25">
      <c r="A246" s="220" t="s">
        <v>362</v>
      </c>
      <c r="B246" s="164">
        <v>46002</v>
      </c>
      <c r="C246" s="212">
        <v>45992</v>
      </c>
      <c r="D246" s="134" t="s">
        <v>1811</v>
      </c>
      <c r="E246" s="134" t="s">
        <v>1696</v>
      </c>
      <c r="F246" s="216" t="s">
        <v>4</v>
      </c>
      <c r="G246" s="134" t="s">
        <v>1974</v>
      </c>
      <c r="H246" s="134" t="s">
        <v>1975</v>
      </c>
      <c r="I246" s="281"/>
      <c r="J246" s="281"/>
      <c r="K246" s="220" t="s">
        <v>362</v>
      </c>
      <c r="L246" s="220" t="s">
        <v>362</v>
      </c>
      <c r="M246" s="220" t="s">
        <v>362</v>
      </c>
      <c r="N246" s="220" t="s">
        <v>362</v>
      </c>
      <c r="O246" s="220" t="s">
        <v>362</v>
      </c>
    </row>
    <row r="247" spans="1:15" x14ac:dyDescent="0.25">
      <c r="A247" s="220" t="s">
        <v>362</v>
      </c>
      <c r="B247" s="164">
        <v>46002</v>
      </c>
      <c r="C247" s="212">
        <v>45992</v>
      </c>
      <c r="D247" s="134" t="s">
        <v>406</v>
      </c>
      <c r="E247" s="134" t="s">
        <v>1696</v>
      </c>
      <c r="F247" s="89" t="s">
        <v>6</v>
      </c>
      <c r="G247" s="134" t="s">
        <v>1911</v>
      </c>
      <c r="H247" s="134" t="s">
        <v>362</v>
      </c>
      <c r="I247" s="281"/>
      <c r="J247" s="281"/>
      <c r="K247" s="220" t="s">
        <v>362</v>
      </c>
      <c r="L247" s="220" t="s">
        <v>362</v>
      </c>
      <c r="M247" s="220" t="s">
        <v>362</v>
      </c>
      <c r="N247" s="220" t="s">
        <v>362</v>
      </c>
      <c r="O247" s="220" t="s">
        <v>362</v>
      </c>
    </row>
    <row r="248" spans="1:15" x14ac:dyDescent="0.25">
      <c r="A248" s="220" t="s">
        <v>362</v>
      </c>
      <c r="B248" s="164">
        <v>46003</v>
      </c>
      <c r="C248" s="212">
        <v>45992</v>
      </c>
      <c r="D248" s="134" t="s">
        <v>406</v>
      </c>
      <c r="E248" s="134" t="s">
        <v>1696</v>
      </c>
      <c r="F248" s="89" t="s">
        <v>6</v>
      </c>
      <c r="G248" s="134" t="s">
        <v>1911</v>
      </c>
      <c r="H248" s="134" t="s">
        <v>362</v>
      </c>
      <c r="I248" s="281"/>
      <c r="J248" s="281"/>
      <c r="K248" s="220" t="s">
        <v>362</v>
      </c>
      <c r="L248" s="220" t="s">
        <v>362</v>
      </c>
      <c r="M248" s="220" t="s">
        <v>362</v>
      </c>
      <c r="N248" s="220" t="s">
        <v>362</v>
      </c>
      <c r="O248" s="220" t="s">
        <v>362</v>
      </c>
    </row>
    <row r="249" spans="1:15" x14ac:dyDescent="0.25">
      <c r="A249" s="220" t="s">
        <v>362</v>
      </c>
      <c r="B249" s="164">
        <v>46003</v>
      </c>
      <c r="C249" s="212">
        <v>45992</v>
      </c>
      <c r="D249" s="134" t="s">
        <v>1976</v>
      </c>
      <c r="E249" s="134" t="s">
        <v>1696</v>
      </c>
      <c r="F249" s="89" t="s">
        <v>6</v>
      </c>
      <c r="G249" s="134" t="s">
        <v>1977</v>
      </c>
      <c r="H249" s="134" t="s">
        <v>362</v>
      </c>
      <c r="I249" s="281"/>
      <c r="J249" s="281"/>
      <c r="K249" s="220" t="s">
        <v>362</v>
      </c>
      <c r="L249" s="220" t="s">
        <v>362</v>
      </c>
      <c r="M249" s="220" t="s">
        <v>362</v>
      </c>
      <c r="N249" s="220" t="s">
        <v>362</v>
      </c>
      <c r="O249" s="220" t="s">
        <v>362</v>
      </c>
    </row>
    <row r="250" spans="1:15" x14ac:dyDescent="0.25">
      <c r="A250" s="220" t="s">
        <v>362</v>
      </c>
      <c r="B250" s="164">
        <v>46006</v>
      </c>
      <c r="C250" s="212">
        <v>45992</v>
      </c>
      <c r="D250" s="134" t="s">
        <v>406</v>
      </c>
      <c r="E250" s="134" t="s">
        <v>1696</v>
      </c>
      <c r="F250" s="89" t="s">
        <v>6</v>
      </c>
      <c r="G250" s="134" t="s">
        <v>1911</v>
      </c>
      <c r="H250" s="134" t="s">
        <v>362</v>
      </c>
      <c r="I250" s="281"/>
      <c r="J250" s="281"/>
      <c r="K250" s="220" t="s">
        <v>362</v>
      </c>
      <c r="L250" s="220" t="s">
        <v>362</v>
      </c>
      <c r="M250" s="220" t="s">
        <v>362</v>
      </c>
      <c r="N250" s="220" t="s">
        <v>362</v>
      </c>
      <c r="O250" s="220" t="s">
        <v>362</v>
      </c>
    </row>
    <row r="251" spans="1:15" x14ac:dyDescent="0.25">
      <c r="A251" s="220" t="s">
        <v>362</v>
      </c>
      <c r="B251" s="164">
        <v>46006</v>
      </c>
      <c r="C251" s="212">
        <v>45992</v>
      </c>
      <c r="D251" s="134" t="s">
        <v>1976</v>
      </c>
      <c r="E251" s="134" t="s">
        <v>1696</v>
      </c>
      <c r="F251" s="89" t="s">
        <v>6</v>
      </c>
      <c r="G251" s="134" t="s">
        <v>1978</v>
      </c>
      <c r="H251" s="134" t="s">
        <v>362</v>
      </c>
      <c r="I251" s="281"/>
      <c r="J251" s="281"/>
      <c r="K251" s="220" t="s">
        <v>362</v>
      </c>
      <c r="L251" s="220" t="s">
        <v>362</v>
      </c>
      <c r="M251" s="220" t="s">
        <v>362</v>
      </c>
      <c r="N251" s="220" t="s">
        <v>362</v>
      </c>
      <c r="O251" s="220" t="s">
        <v>362</v>
      </c>
    </row>
    <row r="252" spans="1:15" ht="78.75" x14ac:dyDescent="0.25">
      <c r="A252" s="220" t="s">
        <v>362</v>
      </c>
      <c r="B252" s="164">
        <v>46006</v>
      </c>
      <c r="C252" s="212">
        <v>45992</v>
      </c>
      <c r="D252" s="134" t="s">
        <v>1976</v>
      </c>
      <c r="E252" s="134" t="s">
        <v>1696</v>
      </c>
      <c r="F252" s="216" t="s">
        <v>4</v>
      </c>
      <c r="G252" s="217" t="s">
        <v>1979</v>
      </c>
      <c r="H252" s="217" t="s">
        <v>1980</v>
      </c>
      <c r="I252" s="282"/>
      <c r="J252" s="282"/>
      <c r="K252" s="220" t="s">
        <v>362</v>
      </c>
      <c r="L252" s="220" t="s">
        <v>362</v>
      </c>
      <c r="M252" s="220" t="s">
        <v>362</v>
      </c>
      <c r="N252" s="220" t="s">
        <v>362</v>
      </c>
      <c r="O252" s="220" t="s">
        <v>362</v>
      </c>
    </row>
    <row r="253" spans="1:15" ht="94.5" x14ac:dyDescent="0.25">
      <c r="A253" s="220" t="s">
        <v>362</v>
      </c>
      <c r="B253" s="164">
        <v>46007</v>
      </c>
      <c r="C253" s="212">
        <v>45992</v>
      </c>
      <c r="D253" s="134" t="s">
        <v>1976</v>
      </c>
      <c r="E253" s="134" t="s">
        <v>1696</v>
      </c>
      <c r="F253" s="216" t="s">
        <v>4</v>
      </c>
      <c r="G253" s="217" t="s">
        <v>1981</v>
      </c>
      <c r="H253" s="217" t="s">
        <v>1982</v>
      </c>
      <c r="I253" s="282"/>
      <c r="J253" s="282"/>
      <c r="K253" s="220" t="s">
        <v>362</v>
      </c>
      <c r="L253" s="220" t="s">
        <v>362</v>
      </c>
      <c r="M253" s="220" t="s">
        <v>362</v>
      </c>
      <c r="N253" s="220" t="s">
        <v>362</v>
      </c>
      <c r="O253" s="220" t="s">
        <v>362</v>
      </c>
    </row>
    <row r="254" spans="1:15" x14ac:dyDescent="0.25">
      <c r="A254" s="220" t="s">
        <v>362</v>
      </c>
      <c r="B254" s="164">
        <v>46007</v>
      </c>
      <c r="C254" s="212">
        <v>45992</v>
      </c>
      <c r="D254" s="134" t="s">
        <v>406</v>
      </c>
      <c r="E254" s="134" t="s">
        <v>1696</v>
      </c>
      <c r="F254" s="89" t="s">
        <v>6</v>
      </c>
      <c r="G254" s="134" t="s">
        <v>1911</v>
      </c>
      <c r="H254" s="134" t="s">
        <v>362</v>
      </c>
      <c r="I254" s="281"/>
      <c r="J254" s="281"/>
      <c r="K254" s="220" t="s">
        <v>362</v>
      </c>
      <c r="L254" s="220" t="s">
        <v>362</v>
      </c>
      <c r="M254" s="220" t="s">
        <v>362</v>
      </c>
      <c r="N254" s="220" t="s">
        <v>362</v>
      </c>
      <c r="O254" s="220" t="s">
        <v>362</v>
      </c>
    </row>
    <row r="255" spans="1:15" x14ac:dyDescent="0.25">
      <c r="A255" s="220" t="s">
        <v>362</v>
      </c>
      <c r="B255" s="164">
        <v>46007</v>
      </c>
      <c r="C255" s="212">
        <v>45992</v>
      </c>
      <c r="D255" s="134" t="s">
        <v>1976</v>
      </c>
      <c r="E255" s="134" t="s">
        <v>1696</v>
      </c>
      <c r="F255" s="89" t="s">
        <v>6</v>
      </c>
      <c r="G255" s="134" t="s">
        <v>1983</v>
      </c>
      <c r="H255" s="134" t="s">
        <v>362</v>
      </c>
      <c r="I255" s="281"/>
      <c r="J255" s="281"/>
      <c r="K255" s="220" t="s">
        <v>362</v>
      </c>
      <c r="L255" s="220" t="s">
        <v>362</v>
      </c>
      <c r="M255" s="220" t="s">
        <v>362</v>
      </c>
      <c r="N255" s="220" t="s">
        <v>362</v>
      </c>
      <c r="O255" s="220" t="s">
        <v>362</v>
      </c>
    </row>
    <row r="256" spans="1:15" x14ac:dyDescent="0.25">
      <c r="A256" s="220" t="s">
        <v>362</v>
      </c>
      <c r="B256" s="164">
        <v>46008</v>
      </c>
      <c r="C256" s="212">
        <v>45992</v>
      </c>
      <c r="D256" s="134" t="s">
        <v>406</v>
      </c>
      <c r="E256" s="134" t="s">
        <v>1696</v>
      </c>
      <c r="F256" s="89" t="s">
        <v>6</v>
      </c>
      <c r="G256" s="134" t="s">
        <v>1911</v>
      </c>
      <c r="H256" s="134" t="s">
        <v>362</v>
      </c>
      <c r="I256" s="281"/>
      <c r="J256" s="281"/>
      <c r="K256" s="220" t="s">
        <v>362</v>
      </c>
      <c r="L256" s="220" t="s">
        <v>362</v>
      </c>
      <c r="M256" s="220" t="s">
        <v>362</v>
      </c>
      <c r="N256" s="220" t="s">
        <v>362</v>
      </c>
      <c r="O256" s="220" t="s">
        <v>362</v>
      </c>
    </row>
    <row r="257" spans="1:15" x14ac:dyDescent="0.25">
      <c r="A257" s="220" t="s">
        <v>362</v>
      </c>
      <c r="B257" s="165" t="s">
        <v>362</v>
      </c>
      <c r="C257" s="217" t="s">
        <v>362</v>
      </c>
      <c r="D257" s="134" t="s">
        <v>410</v>
      </c>
      <c r="E257" s="134" t="s">
        <v>1696</v>
      </c>
      <c r="F257" s="134" t="s">
        <v>362</v>
      </c>
      <c r="G257" s="134" t="s">
        <v>1984</v>
      </c>
      <c r="H257" s="134" t="s">
        <v>362</v>
      </c>
      <c r="I257" s="281"/>
      <c r="J257" s="281"/>
      <c r="K257" s="220" t="s">
        <v>362</v>
      </c>
      <c r="L257" s="220" t="s">
        <v>362</v>
      </c>
      <c r="M257" s="220" t="s">
        <v>362</v>
      </c>
      <c r="N257" s="220" t="s">
        <v>362</v>
      </c>
      <c r="O257" s="220" t="s">
        <v>362</v>
      </c>
    </row>
    <row r="258" spans="1:15" x14ac:dyDescent="0.25">
      <c r="A258" s="220" t="s">
        <v>362</v>
      </c>
      <c r="B258" s="164">
        <v>46013</v>
      </c>
      <c r="C258" s="212">
        <v>45992</v>
      </c>
      <c r="D258" s="134" t="s">
        <v>406</v>
      </c>
      <c r="E258" s="134" t="s">
        <v>1696</v>
      </c>
      <c r="F258" s="89" t="s">
        <v>6</v>
      </c>
      <c r="G258" s="134" t="s">
        <v>1911</v>
      </c>
      <c r="H258" s="134" t="s">
        <v>362</v>
      </c>
      <c r="I258" s="281"/>
      <c r="J258" s="281"/>
      <c r="K258" s="220" t="s">
        <v>362</v>
      </c>
      <c r="L258" s="220" t="s">
        <v>362</v>
      </c>
      <c r="M258" s="220" t="s">
        <v>362</v>
      </c>
      <c r="N258" s="220" t="s">
        <v>362</v>
      </c>
      <c r="O258" s="220" t="s">
        <v>362</v>
      </c>
    </row>
    <row r="259" spans="1:15" x14ac:dyDescent="0.25">
      <c r="A259" s="220" t="s">
        <v>362</v>
      </c>
      <c r="B259" s="164">
        <v>46013</v>
      </c>
      <c r="C259" s="212">
        <v>45992</v>
      </c>
      <c r="D259" s="134" t="s">
        <v>1866</v>
      </c>
      <c r="E259" s="134" t="s">
        <v>1696</v>
      </c>
      <c r="F259" s="216" t="s">
        <v>4</v>
      </c>
      <c r="G259" s="134" t="s">
        <v>1985</v>
      </c>
      <c r="H259" s="134" t="s">
        <v>362</v>
      </c>
      <c r="I259" s="281"/>
      <c r="J259" s="281"/>
      <c r="K259" s="220" t="s">
        <v>362</v>
      </c>
      <c r="L259" s="220" t="s">
        <v>362</v>
      </c>
      <c r="M259" s="220" t="s">
        <v>362</v>
      </c>
      <c r="N259" s="220" t="s">
        <v>362</v>
      </c>
      <c r="O259" s="220" t="s">
        <v>362</v>
      </c>
    </row>
    <row r="260" spans="1:15" x14ac:dyDescent="0.25">
      <c r="A260" s="220" t="s">
        <v>362</v>
      </c>
      <c r="B260" s="164">
        <v>46013</v>
      </c>
      <c r="C260" s="212">
        <v>45992</v>
      </c>
      <c r="D260" s="134" t="s">
        <v>1976</v>
      </c>
      <c r="E260" s="134" t="s">
        <v>1696</v>
      </c>
      <c r="F260" s="89" t="s">
        <v>6</v>
      </c>
      <c r="G260" s="134" t="s">
        <v>1986</v>
      </c>
      <c r="H260" s="134" t="s">
        <v>362</v>
      </c>
      <c r="I260" s="281"/>
      <c r="J260" s="281"/>
      <c r="K260" s="220" t="s">
        <v>362</v>
      </c>
      <c r="L260" s="220" t="s">
        <v>362</v>
      </c>
      <c r="M260" s="220" t="s">
        <v>362</v>
      </c>
      <c r="N260" s="220" t="s">
        <v>362</v>
      </c>
      <c r="O260" s="220" t="s">
        <v>362</v>
      </c>
    </row>
    <row r="261" spans="1:15" x14ac:dyDescent="0.25">
      <c r="A261" s="220" t="s">
        <v>362</v>
      </c>
      <c r="B261" s="164">
        <v>46013</v>
      </c>
      <c r="C261" s="212">
        <v>45992</v>
      </c>
      <c r="D261" s="134" t="s">
        <v>1987</v>
      </c>
      <c r="E261" s="134" t="s">
        <v>1696</v>
      </c>
      <c r="F261" s="216" t="s">
        <v>4</v>
      </c>
      <c r="G261" s="54" t="s">
        <v>1988</v>
      </c>
      <c r="H261" s="165" t="s">
        <v>1989</v>
      </c>
      <c r="I261" s="281"/>
      <c r="J261" s="281"/>
      <c r="K261" s="220" t="s">
        <v>362</v>
      </c>
      <c r="L261" s="220" t="s">
        <v>362</v>
      </c>
      <c r="M261" s="220" t="s">
        <v>362</v>
      </c>
      <c r="N261" s="220" t="s">
        <v>362</v>
      </c>
      <c r="O261" s="220" t="s">
        <v>362</v>
      </c>
    </row>
    <row r="262" spans="1:15" x14ac:dyDescent="0.25">
      <c r="A262" s="220" t="s">
        <v>362</v>
      </c>
      <c r="B262" s="164">
        <v>46014</v>
      </c>
      <c r="C262" s="212">
        <v>45992</v>
      </c>
      <c r="D262" s="134" t="s">
        <v>406</v>
      </c>
      <c r="E262" s="134" t="s">
        <v>1696</v>
      </c>
      <c r="F262" s="89" t="s">
        <v>6</v>
      </c>
      <c r="G262" s="163" t="s">
        <v>1911</v>
      </c>
      <c r="H262" s="134" t="s">
        <v>362</v>
      </c>
      <c r="I262" s="281"/>
      <c r="J262" s="281"/>
      <c r="K262" s="220" t="s">
        <v>362</v>
      </c>
      <c r="L262" s="220" t="s">
        <v>362</v>
      </c>
      <c r="M262" s="220" t="s">
        <v>362</v>
      </c>
      <c r="N262" s="220" t="s">
        <v>362</v>
      </c>
      <c r="O262" s="220" t="s">
        <v>362</v>
      </c>
    </row>
    <row r="263" spans="1:15" x14ac:dyDescent="0.25">
      <c r="A263" s="220" t="s">
        <v>362</v>
      </c>
      <c r="B263" s="164">
        <v>46014</v>
      </c>
      <c r="C263" s="212">
        <v>45992</v>
      </c>
      <c r="D263" s="134" t="s">
        <v>410</v>
      </c>
      <c r="E263" s="134" t="s">
        <v>1696</v>
      </c>
      <c r="F263" s="89" t="s">
        <v>6</v>
      </c>
      <c r="G263" s="134" t="s">
        <v>1990</v>
      </c>
      <c r="H263" s="134" t="s">
        <v>362</v>
      </c>
      <c r="I263" s="281"/>
      <c r="J263" s="281"/>
      <c r="K263" s="220" t="s">
        <v>362</v>
      </c>
      <c r="L263" s="220" t="s">
        <v>362</v>
      </c>
      <c r="M263" s="220" t="s">
        <v>362</v>
      </c>
      <c r="N263" s="220" t="s">
        <v>362</v>
      </c>
      <c r="O263" s="220" t="s">
        <v>362</v>
      </c>
    </row>
    <row r="264" spans="1:15" x14ac:dyDescent="0.25">
      <c r="A264" s="220" t="s">
        <v>362</v>
      </c>
      <c r="B264" s="164">
        <v>46014</v>
      </c>
      <c r="C264" s="212">
        <v>45992</v>
      </c>
      <c r="D264" s="134" t="s">
        <v>410</v>
      </c>
      <c r="E264" s="134" t="s">
        <v>1696</v>
      </c>
      <c r="F264" s="89" t="s">
        <v>6</v>
      </c>
      <c r="G264" s="134" t="s">
        <v>1991</v>
      </c>
      <c r="H264" s="134" t="s">
        <v>362</v>
      </c>
      <c r="I264" s="281"/>
      <c r="J264" s="281"/>
      <c r="K264" s="220" t="s">
        <v>362</v>
      </c>
      <c r="L264" s="220" t="s">
        <v>362</v>
      </c>
      <c r="M264" s="220" t="s">
        <v>362</v>
      </c>
      <c r="N264" s="220" t="s">
        <v>362</v>
      </c>
      <c r="O264" s="220" t="s">
        <v>362</v>
      </c>
    </row>
    <row r="265" spans="1:15" x14ac:dyDescent="0.25">
      <c r="A265" s="220" t="s">
        <v>362</v>
      </c>
      <c r="B265" s="164">
        <v>46017</v>
      </c>
      <c r="C265" s="212">
        <v>45992</v>
      </c>
      <c r="D265" s="134" t="s">
        <v>406</v>
      </c>
      <c r="E265" s="134" t="s">
        <v>1696</v>
      </c>
      <c r="F265" s="89" t="s">
        <v>6</v>
      </c>
      <c r="G265" s="134" t="s">
        <v>1911</v>
      </c>
      <c r="H265" s="134" t="s">
        <v>362</v>
      </c>
      <c r="I265" s="281"/>
      <c r="J265" s="281"/>
      <c r="K265" s="220" t="s">
        <v>362</v>
      </c>
      <c r="L265" s="220" t="s">
        <v>362</v>
      </c>
      <c r="M265" s="220" t="s">
        <v>362</v>
      </c>
      <c r="N265" s="220" t="s">
        <v>362</v>
      </c>
      <c r="O265" s="220" t="s">
        <v>362</v>
      </c>
    </row>
    <row r="266" spans="1:15" x14ac:dyDescent="0.25">
      <c r="A266" s="220" t="s">
        <v>362</v>
      </c>
      <c r="B266" s="164">
        <v>46020</v>
      </c>
      <c r="C266" s="212">
        <v>45992</v>
      </c>
      <c r="D266" s="134" t="s">
        <v>406</v>
      </c>
      <c r="E266" s="134" t="s">
        <v>1696</v>
      </c>
      <c r="F266" s="89" t="s">
        <v>6</v>
      </c>
      <c r="G266" s="134" t="s">
        <v>1911</v>
      </c>
      <c r="H266" s="134" t="s">
        <v>362</v>
      </c>
      <c r="I266" s="281"/>
      <c r="J266" s="281"/>
      <c r="K266" s="220" t="s">
        <v>362</v>
      </c>
      <c r="L266" s="220" t="s">
        <v>362</v>
      </c>
      <c r="M266" s="220" t="s">
        <v>362</v>
      </c>
      <c r="N266" s="220" t="s">
        <v>362</v>
      </c>
      <c r="O266" s="220" t="s">
        <v>362</v>
      </c>
    </row>
    <row r="267" spans="1:15" x14ac:dyDescent="0.25">
      <c r="A267" s="220" t="s">
        <v>362</v>
      </c>
      <c r="B267" s="164">
        <v>46021</v>
      </c>
      <c r="C267" s="212">
        <v>45992</v>
      </c>
      <c r="D267" s="134" t="s">
        <v>1816</v>
      </c>
      <c r="E267" s="134" t="s">
        <v>1696</v>
      </c>
      <c r="F267" s="89" t="s">
        <v>6</v>
      </c>
      <c r="G267" s="134" t="s">
        <v>1992</v>
      </c>
      <c r="H267" s="134" t="s">
        <v>362</v>
      </c>
      <c r="I267" s="281"/>
      <c r="J267" s="281"/>
      <c r="K267" s="220" t="s">
        <v>362</v>
      </c>
      <c r="L267" s="220" t="s">
        <v>362</v>
      </c>
      <c r="M267" s="220" t="s">
        <v>362</v>
      </c>
      <c r="N267" s="220" t="s">
        <v>362</v>
      </c>
      <c r="O267" s="220" t="s">
        <v>362</v>
      </c>
    </row>
    <row r="268" spans="1:15" x14ac:dyDescent="0.25">
      <c r="A268" s="220" t="s">
        <v>362</v>
      </c>
      <c r="B268" s="164">
        <v>46021</v>
      </c>
      <c r="C268" s="212">
        <v>45992</v>
      </c>
      <c r="D268" s="134" t="s">
        <v>332</v>
      </c>
      <c r="E268" s="134" t="s">
        <v>1696</v>
      </c>
      <c r="F268" s="89" t="s">
        <v>6</v>
      </c>
      <c r="G268" s="134" t="s">
        <v>1993</v>
      </c>
      <c r="H268" s="134" t="s">
        <v>1994</v>
      </c>
      <c r="I268" s="281"/>
      <c r="J268" s="281"/>
      <c r="K268" s="220" t="s">
        <v>362</v>
      </c>
      <c r="L268" s="220" t="s">
        <v>362</v>
      </c>
      <c r="M268" s="220" t="s">
        <v>362</v>
      </c>
      <c r="N268" s="220" t="s">
        <v>362</v>
      </c>
      <c r="O268" s="220" t="s">
        <v>362</v>
      </c>
    </row>
    <row r="269" spans="1:15" x14ac:dyDescent="0.25">
      <c r="A269" s="220" t="s">
        <v>362</v>
      </c>
      <c r="B269" s="164">
        <v>46021</v>
      </c>
      <c r="C269" s="212">
        <v>45992</v>
      </c>
      <c r="D269" s="134" t="s">
        <v>1811</v>
      </c>
      <c r="E269" s="134" t="s">
        <v>1696</v>
      </c>
      <c r="F269" s="89" t="s">
        <v>6</v>
      </c>
      <c r="G269" s="134" t="s">
        <v>1995</v>
      </c>
      <c r="H269" s="134" t="s">
        <v>362</v>
      </c>
      <c r="I269" s="281"/>
      <c r="J269" s="281"/>
      <c r="K269" s="220" t="s">
        <v>362</v>
      </c>
      <c r="L269" s="220" t="s">
        <v>362</v>
      </c>
      <c r="M269" s="220" t="s">
        <v>362</v>
      </c>
      <c r="N269" s="220" t="s">
        <v>362</v>
      </c>
      <c r="O269" s="220" t="s">
        <v>362</v>
      </c>
    </row>
    <row r="270" spans="1:15" x14ac:dyDescent="0.25">
      <c r="A270" s="220" t="s">
        <v>362</v>
      </c>
      <c r="B270" s="164">
        <v>46021</v>
      </c>
      <c r="C270" s="212">
        <v>45992</v>
      </c>
      <c r="D270" s="134" t="s">
        <v>1811</v>
      </c>
      <c r="E270" s="134" t="s">
        <v>1696</v>
      </c>
      <c r="F270" s="89" t="s">
        <v>6</v>
      </c>
      <c r="G270" s="134" t="s">
        <v>1996</v>
      </c>
      <c r="H270" s="134" t="s">
        <v>362</v>
      </c>
      <c r="I270" s="281"/>
      <c r="J270" s="281"/>
      <c r="K270" s="220" t="s">
        <v>362</v>
      </c>
      <c r="L270" s="220" t="s">
        <v>362</v>
      </c>
      <c r="M270" s="220" t="s">
        <v>362</v>
      </c>
      <c r="N270" s="220" t="s">
        <v>362</v>
      </c>
      <c r="O270" s="220" t="s">
        <v>362</v>
      </c>
    </row>
    <row r="271" spans="1:15" x14ac:dyDescent="0.25">
      <c r="A271" s="220" t="s">
        <v>362</v>
      </c>
      <c r="B271" s="164">
        <v>46021</v>
      </c>
      <c r="C271" s="212">
        <v>45992</v>
      </c>
      <c r="D271" s="134" t="s">
        <v>1997</v>
      </c>
      <c r="E271" s="134" t="s">
        <v>1696</v>
      </c>
      <c r="F271" s="89" t="s">
        <v>6</v>
      </c>
      <c r="G271" s="134" t="s">
        <v>1998</v>
      </c>
      <c r="H271" s="134" t="s">
        <v>362</v>
      </c>
      <c r="I271" s="281"/>
      <c r="J271" s="281"/>
      <c r="K271" s="220" t="s">
        <v>362</v>
      </c>
      <c r="L271" s="220" t="s">
        <v>362</v>
      </c>
      <c r="M271" s="220" t="s">
        <v>362</v>
      </c>
      <c r="N271" s="220" t="s">
        <v>362</v>
      </c>
      <c r="O271" s="220" t="s">
        <v>362</v>
      </c>
    </row>
    <row r="272" spans="1:15" x14ac:dyDescent="0.25">
      <c r="A272" s="220" t="s">
        <v>362</v>
      </c>
      <c r="B272" s="164">
        <v>46022</v>
      </c>
      <c r="C272" s="212">
        <v>45992</v>
      </c>
      <c r="D272" s="134" t="s">
        <v>406</v>
      </c>
      <c r="E272" s="134" t="s">
        <v>1696</v>
      </c>
      <c r="F272" s="89" t="s">
        <v>6</v>
      </c>
      <c r="G272" s="134" t="s">
        <v>1911</v>
      </c>
      <c r="H272" s="134" t="s">
        <v>362</v>
      </c>
      <c r="I272" s="281"/>
      <c r="J272" s="281"/>
      <c r="K272" s="220" t="s">
        <v>362</v>
      </c>
      <c r="L272" s="220" t="s">
        <v>362</v>
      </c>
      <c r="M272" s="220" t="s">
        <v>362</v>
      </c>
      <c r="N272" s="220" t="s">
        <v>362</v>
      </c>
      <c r="O272" s="220" t="s">
        <v>362</v>
      </c>
    </row>
    <row r="273" spans="1:15" ht="94.5" x14ac:dyDescent="0.25">
      <c r="A273" s="220" t="s">
        <v>362</v>
      </c>
      <c r="B273" s="164">
        <v>46022</v>
      </c>
      <c r="C273" s="212">
        <v>45992</v>
      </c>
      <c r="D273" s="134" t="s">
        <v>1976</v>
      </c>
      <c r="E273" s="134" t="s">
        <v>1696</v>
      </c>
      <c r="F273" s="216" t="s">
        <v>4</v>
      </c>
      <c r="G273" s="217" t="s">
        <v>1981</v>
      </c>
      <c r="H273" s="134" t="s">
        <v>1999</v>
      </c>
      <c r="I273" s="281"/>
      <c r="J273" s="281"/>
      <c r="K273" s="220" t="s">
        <v>362</v>
      </c>
      <c r="L273" s="220" t="s">
        <v>362</v>
      </c>
      <c r="M273" s="220" t="s">
        <v>362</v>
      </c>
      <c r="N273" s="220" t="s">
        <v>362</v>
      </c>
      <c r="O273" s="220" t="s">
        <v>362</v>
      </c>
    </row>
    <row r="274" spans="1:15" x14ac:dyDescent="0.25">
      <c r="A274" s="220" t="s">
        <v>362</v>
      </c>
      <c r="B274" s="164">
        <v>46022</v>
      </c>
      <c r="C274" s="212">
        <v>45992</v>
      </c>
      <c r="D274" s="134" t="s">
        <v>1870</v>
      </c>
      <c r="E274" s="134" t="s">
        <v>1696</v>
      </c>
      <c r="F274" s="216" t="s">
        <v>4</v>
      </c>
      <c r="G274" s="134" t="s">
        <v>2000</v>
      </c>
      <c r="H274" s="134" t="s">
        <v>2001</v>
      </c>
      <c r="I274" s="281"/>
      <c r="J274" s="281"/>
      <c r="K274" s="220" t="s">
        <v>362</v>
      </c>
      <c r="L274" s="220" t="s">
        <v>362</v>
      </c>
      <c r="M274" s="220" t="s">
        <v>362</v>
      </c>
      <c r="N274" s="220" t="s">
        <v>362</v>
      </c>
      <c r="O274" s="220" t="s">
        <v>362</v>
      </c>
    </row>
    <row r="275" spans="1:15" x14ac:dyDescent="0.25">
      <c r="A275" s="220" t="s">
        <v>362</v>
      </c>
      <c r="B275" s="162">
        <v>46024</v>
      </c>
      <c r="C275" s="210">
        <v>46023</v>
      </c>
      <c r="D275" s="163" t="s">
        <v>1790</v>
      </c>
      <c r="E275" s="163" t="s">
        <v>1696</v>
      </c>
      <c r="F275" s="216" t="s">
        <v>5</v>
      </c>
      <c r="G275" s="163" t="s">
        <v>2002</v>
      </c>
      <c r="H275" s="163" t="s">
        <v>2003</v>
      </c>
      <c r="I275" s="281"/>
      <c r="J275" s="281"/>
      <c r="K275" s="220" t="s">
        <v>362</v>
      </c>
      <c r="L275" s="220" t="s">
        <v>362</v>
      </c>
      <c r="M275" s="220" t="s">
        <v>362</v>
      </c>
      <c r="N275" s="220" t="s">
        <v>362</v>
      </c>
      <c r="O275" s="220" t="s">
        <v>362</v>
      </c>
    </row>
    <row r="276" spans="1:15" x14ac:dyDescent="0.25">
      <c r="A276" s="220" t="s">
        <v>362</v>
      </c>
      <c r="B276" s="164">
        <v>46024</v>
      </c>
      <c r="C276" s="212">
        <v>46023</v>
      </c>
      <c r="D276" s="134" t="s">
        <v>406</v>
      </c>
      <c r="E276" s="134" t="s">
        <v>1696</v>
      </c>
      <c r="F276" s="89" t="s">
        <v>6</v>
      </c>
      <c r="G276" s="134" t="s">
        <v>1911</v>
      </c>
      <c r="H276" s="134" t="s">
        <v>362</v>
      </c>
      <c r="I276" s="281"/>
      <c r="J276" s="281"/>
      <c r="K276" s="220" t="s">
        <v>362</v>
      </c>
      <c r="L276" s="220" t="s">
        <v>362</v>
      </c>
      <c r="M276" s="220" t="s">
        <v>362</v>
      </c>
      <c r="N276" s="220" t="s">
        <v>362</v>
      </c>
      <c r="O276" s="220" t="s">
        <v>362</v>
      </c>
    </row>
    <row r="277" spans="1:15" x14ac:dyDescent="0.25">
      <c r="A277" s="220" t="s">
        <v>362</v>
      </c>
      <c r="B277" s="164">
        <v>46027</v>
      </c>
      <c r="C277" s="212">
        <v>46023</v>
      </c>
      <c r="D277" s="134" t="s">
        <v>332</v>
      </c>
      <c r="E277" s="134" t="s">
        <v>1696</v>
      </c>
      <c r="F277" s="216" t="s">
        <v>5</v>
      </c>
      <c r="G277" s="134" t="s">
        <v>2004</v>
      </c>
      <c r="H277" s="134" t="s">
        <v>2005</v>
      </c>
      <c r="I277" s="281"/>
      <c r="J277" s="281"/>
      <c r="K277" s="220" t="s">
        <v>362</v>
      </c>
      <c r="L277" s="220" t="s">
        <v>362</v>
      </c>
      <c r="M277" s="220" t="s">
        <v>362</v>
      </c>
      <c r="N277" s="220" t="s">
        <v>362</v>
      </c>
      <c r="O277" s="220" t="s">
        <v>362</v>
      </c>
    </row>
    <row r="278" spans="1:15" x14ac:dyDescent="0.25">
      <c r="A278" s="220" t="s">
        <v>362</v>
      </c>
      <c r="B278" s="164">
        <v>46027</v>
      </c>
      <c r="C278" s="212">
        <v>46023</v>
      </c>
      <c r="D278" s="134" t="s">
        <v>410</v>
      </c>
      <c r="E278" s="134" t="s">
        <v>1696</v>
      </c>
      <c r="F278" s="89" t="s">
        <v>6</v>
      </c>
      <c r="G278" s="134" t="s">
        <v>2006</v>
      </c>
      <c r="H278" s="134" t="s">
        <v>362</v>
      </c>
      <c r="I278" s="281"/>
      <c r="J278" s="281"/>
      <c r="K278" s="220" t="s">
        <v>362</v>
      </c>
      <c r="L278" s="220" t="s">
        <v>362</v>
      </c>
      <c r="M278" s="220" t="s">
        <v>362</v>
      </c>
      <c r="N278" s="220" t="s">
        <v>362</v>
      </c>
      <c r="O278" s="220" t="s">
        <v>362</v>
      </c>
    </row>
    <row r="279" spans="1:15" x14ac:dyDescent="0.25">
      <c r="A279" s="220" t="s">
        <v>362</v>
      </c>
      <c r="B279" s="164">
        <v>46027</v>
      </c>
      <c r="C279" s="212">
        <v>46023</v>
      </c>
      <c r="D279" s="134" t="s">
        <v>1780</v>
      </c>
      <c r="E279" s="134" t="s">
        <v>1696</v>
      </c>
      <c r="F279" s="89" t="s">
        <v>6</v>
      </c>
      <c r="G279" s="134" t="s">
        <v>2007</v>
      </c>
      <c r="H279" s="134" t="s">
        <v>362</v>
      </c>
      <c r="I279" s="281"/>
      <c r="J279" s="281"/>
      <c r="K279" s="220" t="s">
        <v>362</v>
      </c>
      <c r="L279" s="220" t="s">
        <v>362</v>
      </c>
      <c r="M279" s="220" t="s">
        <v>362</v>
      </c>
      <c r="N279" s="220" t="s">
        <v>362</v>
      </c>
      <c r="O279" s="220" t="s">
        <v>362</v>
      </c>
    </row>
    <row r="280" spans="1:15" x14ac:dyDescent="0.25">
      <c r="A280" s="220" t="s">
        <v>362</v>
      </c>
      <c r="B280" s="164">
        <v>46028</v>
      </c>
      <c r="C280" s="212">
        <v>46023</v>
      </c>
      <c r="D280" s="134" t="s">
        <v>332</v>
      </c>
      <c r="E280" s="134" t="s">
        <v>1696</v>
      </c>
      <c r="F280" s="216" t="s">
        <v>5</v>
      </c>
      <c r="G280" s="134" t="s">
        <v>2008</v>
      </c>
      <c r="H280" s="134" t="s">
        <v>2009</v>
      </c>
      <c r="I280" s="281"/>
      <c r="J280" s="281"/>
      <c r="K280" s="220" t="s">
        <v>362</v>
      </c>
      <c r="L280" s="220" t="s">
        <v>362</v>
      </c>
      <c r="M280" s="220" t="s">
        <v>362</v>
      </c>
      <c r="N280" s="220" t="s">
        <v>362</v>
      </c>
      <c r="O280" s="220" t="s">
        <v>362</v>
      </c>
    </row>
    <row r="281" spans="1:15" x14ac:dyDescent="0.25">
      <c r="A281" s="220" t="s">
        <v>362</v>
      </c>
      <c r="B281" s="164">
        <v>46028</v>
      </c>
      <c r="C281" s="212">
        <v>46023</v>
      </c>
      <c r="D281" s="134" t="s">
        <v>410</v>
      </c>
      <c r="E281" s="134" t="s">
        <v>1696</v>
      </c>
      <c r="F281" s="89" t="s">
        <v>6</v>
      </c>
      <c r="G281" s="134" t="s">
        <v>2010</v>
      </c>
      <c r="H281" s="134" t="s">
        <v>362</v>
      </c>
      <c r="I281" s="281"/>
      <c r="J281" s="281"/>
      <c r="K281" s="220" t="s">
        <v>362</v>
      </c>
      <c r="L281" s="220" t="s">
        <v>362</v>
      </c>
      <c r="M281" s="220" t="s">
        <v>362</v>
      </c>
      <c r="N281" s="220" t="s">
        <v>362</v>
      </c>
      <c r="O281" s="220" t="s">
        <v>362</v>
      </c>
    </row>
    <row r="282" spans="1:15" x14ac:dyDescent="0.25">
      <c r="A282" s="220" t="s">
        <v>362</v>
      </c>
      <c r="B282" s="164">
        <v>46028</v>
      </c>
      <c r="C282" s="212">
        <v>46023</v>
      </c>
      <c r="D282" s="134" t="s">
        <v>410</v>
      </c>
      <c r="E282" s="134" t="s">
        <v>1696</v>
      </c>
      <c r="F282" s="89" t="s">
        <v>6</v>
      </c>
      <c r="G282" s="134" t="s">
        <v>2011</v>
      </c>
      <c r="H282" s="134" t="s">
        <v>362</v>
      </c>
      <c r="I282" s="281"/>
      <c r="J282" s="281"/>
      <c r="K282" s="220" t="s">
        <v>362</v>
      </c>
      <c r="L282" s="220" t="s">
        <v>362</v>
      </c>
      <c r="M282" s="220" t="s">
        <v>362</v>
      </c>
      <c r="N282" s="220" t="s">
        <v>362</v>
      </c>
      <c r="O282" s="220" t="s">
        <v>362</v>
      </c>
    </row>
    <row r="283" spans="1:15" x14ac:dyDescent="0.25">
      <c r="A283" s="220" t="s">
        <v>362</v>
      </c>
      <c r="B283" s="164">
        <v>46029</v>
      </c>
      <c r="C283" s="212">
        <v>46023</v>
      </c>
      <c r="D283" s="134" t="s">
        <v>406</v>
      </c>
      <c r="E283" s="134" t="s">
        <v>1696</v>
      </c>
      <c r="F283" s="89" t="s">
        <v>6</v>
      </c>
      <c r="G283" s="134" t="s">
        <v>1911</v>
      </c>
      <c r="H283" s="134" t="s">
        <v>362</v>
      </c>
      <c r="I283" s="281"/>
      <c r="J283" s="281"/>
      <c r="K283" s="220" t="s">
        <v>362</v>
      </c>
      <c r="L283" s="220" t="s">
        <v>362</v>
      </c>
      <c r="M283" s="220" t="s">
        <v>362</v>
      </c>
      <c r="N283" s="220" t="s">
        <v>362</v>
      </c>
      <c r="O283" s="220" t="s">
        <v>362</v>
      </c>
    </row>
    <row r="284" spans="1:15" x14ac:dyDescent="0.25">
      <c r="A284" s="220" t="s">
        <v>362</v>
      </c>
      <c r="B284" s="164">
        <v>46030</v>
      </c>
      <c r="C284" s="212">
        <v>46023</v>
      </c>
      <c r="D284" s="134" t="s">
        <v>406</v>
      </c>
      <c r="E284" s="134" t="s">
        <v>1696</v>
      </c>
      <c r="F284" s="89" t="s">
        <v>6</v>
      </c>
      <c r="G284" s="134" t="s">
        <v>1911</v>
      </c>
      <c r="H284" s="134" t="s">
        <v>362</v>
      </c>
      <c r="I284" s="281"/>
      <c r="J284" s="281"/>
      <c r="K284" s="220" t="s">
        <v>362</v>
      </c>
      <c r="L284" s="220" t="s">
        <v>362</v>
      </c>
      <c r="M284" s="220" t="s">
        <v>362</v>
      </c>
      <c r="N284" s="220" t="s">
        <v>362</v>
      </c>
      <c r="O284" s="220" t="s">
        <v>362</v>
      </c>
    </row>
    <row r="285" spans="1:15" x14ac:dyDescent="0.25">
      <c r="A285" s="220" t="s">
        <v>362</v>
      </c>
      <c r="B285" s="164">
        <v>46031</v>
      </c>
      <c r="C285" s="212">
        <v>46023</v>
      </c>
      <c r="D285" s="134" t="s">
        <v>406</v>
      </c>
      <c r="E285" s="134" t="s">
        <v>1696</v>
      </c>
      <c r="F285" s="89" t="s">
        <v>6</v>
      </c>
      <c r="G285" s="134" t="s">
        <v>1911</v>
      </c>
      <c r="H285" s="134" t="s">
        <v>362</v>
      </c>
      <c r="I285" s="281"/>
      <c r="J285" s="281"/>
      <c r="K285" s="220" t="s">
        <v>362</v>
      </c>
      <c r="L285" s="220" t="s">
        <v>362</v>
      </c>
      <c r="M285" s="220" t="s">
        <v>362</v>
      </c>
      <c r="N285" s="220" t="s">
        <v>362</v>
      </c>
      <c r="O285" s="220" t="s">
        <v>362</v>
      </c>
    </row>
    <row r="286" spans="1:15" x14ac:dyDescent="0.25">
      <c r="A286" s="220" t="s">
        <v>362</v>
      </c>
      <c r="B286" s="164">
        <v>46034</v>
      </c>
      <c r="C286" s="212">
        <v>46023</v>
      </c>
      <c r="D286" s="134" t="s">
        <v>406</v>
      </c>
      <c r="E286" s="134" t="s">
        <v>1696</v>
      </c>
      <c r="F286" s="89" t="s">
        <v>6</v>
      </c>
      <c r="G286" s="134" t="s">
        <v>1911</v>
      </c>
      <c r="H286" s="134" t="s">
        <v>362</v>
      </c>
      <c r="I286" s="281"/>
      <c r="J286" s="281"/>
      <c r="K286" s="220" t="s">
        <v>362</v>
      </c>
      <c r="L286" s="220" t="s">
        <v>362</v>
      </c>
      <c r="M286" s="220" t="s">
        <v>362</v>
      </c>
      <c r="N286" s="220" t="s">
        <v>362</v>
      </c>
      <c r="O286" s="220" t="s">
        <v>362</v>
      </c>
    </row>
    <row r="287" spans="1:15" x14ac:dyDescent="0.25">
      <c r="A287" s="220" t="s">
        <v>362</v>
      </c>
      <c r="B287" s="164">
        <v>46034</v>
      </c>
      <c r="C287" s="212">
        <v>46023</v>
      </c>
      <c r="D287" s="134" t="s">
        <v>1816</v>
      </c>
      <c r="E287" s="134" t="s">
        <v>1696</v>
      </c>
      <c r="F287" s="89" t="s">
        <v>6</v>
      </c>
      <c r="G287" s="134" t="s">
        <v>1992</v>
      </c>
      <c r="H287" s="134" t="s">
        <v>362</v>
      </c>
      <c r="I287" s="281"/>
      <c r="J287" s="281"/>
      <c r="K287" s="220" t="s">
        <v>362</v>
      </c>
      <c r="L287" s="220" t="s">
        <v>362</v>
      </c>
      <c r="M287" s="220" t="s">
        <v>362</v>
      </c>
      <c r="N287" s="220" t="s">
        <v>362</v>
      </c>
      <c r="O287" s="220" t="s">
        <v>362</v>
      </c>
    </row>
    <row r="288" spans="1:15" x14ac:dyDescent="0.25">
      <c r="A288" s="220" t="s">
        <v>362</v>
      </c>
      <c r="B288" s="164">
        <v>46035</v>
      </c>
      <c r="C288" s="212">
        <v>46023</v>
      </c>
      <c r="D288" s="134" t="s">
        <v>2012</v>
      </c>
      <c r="E288" s="134" t="s">
        <v>1696</v>
      </c>
      <c r="F288" s="216" t="s">
        <v>5</v>
      </c>
      <c r="G288" s="134" t="s">
        <v>2013</v>
      </c>
      <c r="H288" s="134" t="s">
        <v>2014</v>
      </c>
      <c r="I288" s="281"/>
      <c r="J288" s="281"/>
      <c r="K288" s="220" t="s">
        <v>362</v>
      </c>
      <c r="L288" s="220" t="s">
        <v>362</v>
      </c>
      <c r="M288" s="220" t="s">
        <v>362</v>
      </c>
      <c r="N288" s="220" t="s">
        <v>362</v>
      </c>
      <c r="O288" s="220" t="s">
        <v>362</v>
      </c>
    </row>
    <row r="289" spans="1:15" x14ac:dyDescent="0.25">
      <c r="A289" s="220" t="s">
        <v>362</v>
      </c>
      <c r="B289" s="164">
        <v>46035</v>
      </c>
      <c r="C289" s="212">
        <v>46023</v>
      </c>
      <c r="D289" s="134" t="s">
        <v>406</v>
      </c>
      <c r="E289" s="134" t="s">
        <v>1696</v>
      </c>
      <c r="F289" s="89" t="s">
        <v>6</v>
      </c>
      <c r="G289" s="134" t="s">
        <v>1911</v>
      </c>
      <c r="H289" s="134" t="s">
        <v>362</v>
      </c>
      <c r="I289" s="281"/>
      <c r="J289" s="281"/>
      <c r="K289" s="220" t="s">
        <v>362</v>
      </c>
      <c r="L289" s="220" t="s">
        <v>362</v>
      </c>
      <c r="M289" s="220" t="s">
        <v>362</v>
      </c>
      <c r="N289" s="220" t="s">
        <v>362</v>
      </c>
      <c r="O289" s="220" t="s">
        <v>362</v>
      </c>
    </row>
    <row r="290" spans="1:15" x14ac:dyDescent="0.25">
      <c r="A290" s="220" t="s">
        <v>362</v>
      </c>
      <c r="B290" s="164">
        <v>46035</v>
      </c>
      <c r="C290" s="212">
        <v>46023</v>
      </c>
      <c r="D290" s="134" t="s">
        <v>893</v>
      </c>
      <c r="E290" s="134" t="s">
        <v>1696</v>
      </c>
      <c r="F290" s="216" t="s">
        <v>5</v>
      </c>
      <c r="G290" s="134" t="s">
        <v>2015</v>
      </c>
      <c r="H290" s="134" t="s">
        <v>2016</v>
      </c>
      <c r="I290" s="281"/>
      <c r="J290" s="281"/>
      <c r="K290" s="220" t="s">
        <v>362</v>
      </c>
      <c r="L290" s="220" t="s">
        <v>362</v>
      </c>
      <c r="M290" s="220" t="s">
        <v>362</v>
      </c>
      <c r="N290" s="220" t="s">
        <v>362</v>
      </c>
      <c r="O290" s="220" t="s">
        <v>362</v>
      </c>
    </row>
    <row r="291" spans="1:15" x14ac:dyDescent="0.25">
      <c r="A291" s="220" t="s">
        <v>362</v>
      </c>
      <c r="B291" s="164">
        <v>46035</v>
      </c>
      <c r="C291" s="212">
        <v>46023</v>
      </c>
      <c r="D291" s="134" t="s">
        <v>1816</v>
      </c>
      <c r="E291" s="134" t="s">
        <v>1696</v>
      </c>
      <c r="F291" s="216" t="s">
        <v>5</v>
      </c>
      <c r="G291" s="134" t="s">
        <v>2017</v>
      </c>
      <c r="H291" s="134" t="s">
        <v>2018</v>
      </c>
      <c r="I291" s="281"/>
      <c r="J291" s="281"/>
      <c r="K291" s="220" t="s">
        <v>362</v>
      </c>
      <c r="L291" s="220" t="s">
        <v>362</v>
      </c>
      <c r="M291" s="220" t="s">
        <v>362</v>
      </c>
      <c r="N291" s="220" t="s">
        <v>362</v>
      </c>
      <c r="O291" s="220" t="s">
        <v>362</v>
      </c>
    </row>
    <row r="292" spans="1:15" x14ac:dyDescent="0.25">
      <c r="A292" s="220" t="s">
        <v>362</v>
      </c>
      <c r="B292" s="164">
        <v>46036</v>
      </c>
      <c r="C292" s="212">
        <v>46023</v>
      </c>
      <c r="D292" s="134" t="s">
        <v>406</v>
      </c>
      <c r="E292" s="134" t="s">
        <v>1696</v>
      </c>
      <c r="F292" s="89" t="s">
        <v>6</v>
      </c>
      <c r="G292" s="134" t="s">
        <v>1911</v>
      </c>
      <c r="H292" s="134" t="s">
        <v>362</v>
      </c>
      <c r="I292" s="281"/>
      <c r="J292" s="281"/>
      <c r="K292" s="220" t="s">
        <v>362</v>
      </c>
      <c r="L292" s="220" t="s">
        <v>362</v>
      </c>
      <c r="M292" s="220" t="s">
        <v>362</v>
      </c>
      <c r="N292" s="220" t="s">
        <v>362</v>
      </c>
      <c r="O292" s="220" t="s">
        <v>362</v>
      </c>
    </row>
    <row r="293" spans="1:15" x14ac:dyDescent="0.25">
      <c r="A293" s="220" t="s">
        <v>362</v>
      </c>
      <c r="B293" s="164">
        <v>46036</v>
      </c>
      <c r="C293" s="212">
        <v>46023</v>
      </c>
      <c r="D293" s="134" t="s">
        <v>1870</v>
      </c>
      <c r="E293" s="134" t="s">
        <v>1696</v>
      </c>
      <c r="F293" s="216" t="s">
        <v>5</v>
      </c>
      <c r="G293" s="134" t="s">
        <v>2019</v>
      </c>
      <c r="H293" s="134" t="s">
        <v>2020</v>
      </c>
      <c r="I293" s="281"/>
      <c r="J293" s="281"/>
      <c r="K293" s="220" t="s">
        <v>362</v>
      </c>
      <c r="L293" s="220" t="s">
        <v>362</v>
      </c>
      <c r="M293" s="220" t="s">
        <v>362</v>
      </c>
      <c r="N293" s="220" t="s">
        <v>362</v>
      </c>
      <c r="O293" s="220" t="s">
        <v>362</v>
      </c>
    </row>
    <row r="294" spans="1:15" x14ac:dyDescent="0.25">
      <c r="A294" s="220" t="s">
        <v>362</v>
      </c>
      <c r="B294" s="164">
        <v>46037</v>
      </c>
      <c r="C294" s="212">
        <v>46023</v>
      </c>
      <c r="D294" s="134" t="s">
        <v>406</v>
      </c>
      <c r="E294" s="134" t="s">
        <v>1696</v>
      </c>
      <c r="F294" s="89" t="s">
        <v>6</v>
      </c>
      <c r="G294" s="134" t="s">
        <v>1911</v>
      </c>
      <c r="H294" s="134" t="s">
        <v>362</v>
      </c>
      <c r="I294" s="281"/>
      <c r="J294" s="281"/>
      <c r="K294" s="220" t="s">
        <v>362</v>
      </c>
      <c r="L294" s="220" t="s">
        <v>362</v>
      </c>
      <c r="M294" s="220" t="s">
        <v>362</v>
      </c>
      <c r="N294" s="220" t="s">
        <v>362</v>
      </c>
      <c r="O294" s="220" t="s">
        <v>362</v>
      </c>
    </row>
    <row r="295" spans="1:15" x14ac:dyDescent="0.25">
      <c r="A295" s="220" t="s">
        <v>362</v>
      </c>
      <c r="B295" s="164">
        <v>46038</v>
      </c>
      <c r="C295" s="212">
        <v>46023</v>
      </c>
      <c r="D295" s="134" t="s">
        <v>406</v>
      </c>
      <c r="E295" s="134" t="s">
        <v>1696</v>
      </c>
      <c r="F295" s="89" t="s">
        <v>6</v>
      </c>
      <c r="G295" s="134" t="s">
        <v>1911</v>
      </c>
      <c r="H295" s="134" t="s">
        <v>362</v>
      </c>
      <c r="I295" s="281"/>
      <c r="J295" s="281"/>
      <c r="K295" s="220" t="s">
        <v>362</v>
      </c>
      <c r="L295" s="220" t="s">
        <v>362</v>
      </c>
      <c r="M295" s="220" t="s">
        <v>362</v>
      </c>
      <c r="N295" s="220" t="s">
        <v>362</v>
      </c>
      <c r="O295" s="220" t="s">
        <v>362</v>
      </c>
    </row>
    <row r="296" spans="1:15" ht="31.5" x14ac:dyDescent="0.25">
      <c r="A296" s="220" t="s">
        <v>362</v>
      </c>
      <c r="B296" s="165" t="s">
        <v>2021</v>
      </c>
      <c r="C296" s="217" t="s">
        <v>2021</v>
      </c>
      <c r="D296" s="134" t="s">
        <v>362</v>
      </c>
      <c r="E296" s="134" t="s">
        <v>1696</v>
      </c>
      <c r="F296" s="134" t="s">
        <v>362</v>
      </c>
      <c r="G296" s="134" t="s">
        <v>362</v>
      </c>
      <c r="H296" s="134" t="s">
        <v>362</v>
      </c>
      <c r="I296" s="281"/>
      <c r="J296" s="281"/>
      <c r="K296" s="220" t="s">
        <v>362</v>
      </c>
      <c r="L296" s="220" t="s">
        <v>362</v>
      </c>
      <c r="M296" s="220" t="s">
        <v>362</v>
      </c>
      <c r="N296" s="220" t="s">
        <v>362</v>
      </c>
      <c r="O296" s="220" t="s">
        <v>362</v>
      </c>
    </row>
    <row r="297" spans="1:15" x14ac:dyDescent="0.25">
      <c r="A297" s="220" t="s">
        <v>362</v>
      </c>
      <c r="B297" s="164">
        <v>46049</v>
      </c>
      <c r="C297" s="212">
        <v>46023</v>
      </c>
      <c r="D297" s="134" t="s">
        <v>332</v>
      </c>
      <c r="E297" s="134" t="s">
        <v>1696</v>
      </c>
      <c r="F297" s="89" t="s">
        <v>6</v>
      </c>
      <c r="G297" s="134" t="s">
        <v>2022</v>
      </c>
      <c r="H297" s="134" t="s">
        <v>2023</v>
      </c>
      <c r="I297" s="281"/>
      <c r="J297" s="281"/>
      <c r="K297" s="220" t="s">
        <v>362</v>
      </c>
      <c r="L297" s="220" t="s">
        <v>362</v>
      </c>
      <c r="M297" s="220" t="s">
        <v>362</v>
      </c>
      <c r="N297" s="220" t="s">
        <v>362</v>
      </c>
      <c r="O297" s="220" t="s">
        <v>362</v>
      </c>
    </row>
    <row r="298" spans="1:15" x14ac:dyDescent="0.25">
      <c r="A298" s="220" t="s">
        <v>362</v>
      </c>
      <c r="B298" s="164">
        <v>46052</v>
      </c>
      <c r="C298" s="212">
        <v>46023</v>
      </c>
      <c r="D298" s="134" t="s">
        <v>332</v>
      </c>
      <c r="E298" s="134" t="s">
        <v>1696</v>
      </c>
      <c r="F298" s="89" t="s">
        <v>6</v>
      </c>
      <c r="G298" s="134" t="s">
        <v>2024</v>
      </c>
      <c r="H298" s="134" t="s">
        <v>362</v>
      </c>
      <c r="I298" s="281"/>
      <c r="J298" s="281"/>
      <c r="K298" s="220" t="s">
        <v>362</v>
      </c>
      <c r="L298" s="220" t="s">
        <v>362</v>
      </c>
      <c r="M298" s="220" t="s">
        <v>362</v>
      </c>
      <c r="N298" s="220" t="s">
        <v>362</v>
      </c>
      <c r="O298" s="220" t="s">
        <v>362</v>
      </c>
    </row>
    <row r="299" spans="1:15" x14ac:dyDescent="0.25">
      <c r="A299" s="220" t="s">
        <v>362</v>
      </c>
      <c r="B299" s="162">
        <v>46056</v>
      </c>
      <c r="C299" s="210">
        <v>46054</v>
      </c>
      <c r="D299" s="163" t="s">
        <v>632</v>
      </c>
      <c r="E299" s="163" t="s">
        <v>1696</v>
      </c>
      <c r="F299" s="89" t="s">
        <v>6</v>
      </c>
      <c r="G299" s="163" t="s">
        <v>2025</v>
      </c>
      <c r="H299" s="163" t="s">
        <v>362</v>
      </c>
      <c r="I299" s="281"/>
      <c r="J299" s="281"/>
      <c r="K299" s="220" t="s">
        <v>362</v>
      </c>
      <c r="L299" s="220" t="s">
        <v>362</v>
      </c>
      <c r="M299" s="220" t="s">
        <v>362</v>
      </c>
      <c r="N299" s="220" t="s">
        <v>362</v>
      </c>
      <c r="O299" s="220" t="s">
        <v>362</v>
      </c>
    </row>
    <row r="300" spans="1:15" x14ac:dyDescent="0.25">
      <c r="A300" s="220" t="s">
        <v>362</v>
      </c>
      <c r="B300" s="164">
        <v>46056</v>
      </c>
      <c r="C300" s="212">
        <v>46054</v>
      </c>
      <c r="D300" s="134" t="s">
        <v>632</v>
      </c>
      <c r="E300" s="134" t="s">
        <v>1696</v>
      </c>
      <c r="F300" s="89" t="s">
        <v>6</v>
      </c>
      <c r="G300" s="134" t="s">
        <v>2026</v>
      </c>
      <c r="H300" s="134" t="s">
        <v>362</v>
      </c>
      <c r="I300" s="281"/>
      <c r="J300" s="281"/>
      <c r="K300" s="220" t="s">
        <v>362</v>
      </c>
      <c r="L300" s="220" t="s">
        <v>362</v>
      </c>
      <c r="M300" s="220" t="s">
        <v>362</v>
      </c>
      <c r="N300" s="220" t="s">
        <v>362</v>
      </c>
      <c r="O300" s="220" t="s">
        <v>362</v>
      </c>
    </row>
    <row r="301" spans="1:15" x14ac:dyDescent="0.25">
      <c r="A301" s="220" t="s">
        <v>362</v>
      </c>
      <c r="B301" s="164">
        <v>46057</v>
      </c>
      <c r="C301" s="212">
        <v>46054</v>
      </c>
      <c r="D301" s="134" t="s">
        <v>332</v>
      </c>
      <c r="E301" s="134" t="s">
        <v>1696</v>
      </c>
      <c r="F301" s="227" t="s">
        <v>5</v>
      </c>
      <c r="G301" s="134" t="s">
        <v>2027</v>
      </c>
      <c r="H301" s="134" t="s">
        <v>362</v>
      </c>
      <c r="I301" s="281"/>
      <c r="J301" s="281"/>
      <c r="K301" s="220" t="s">
        <v>362</v>
      </c>
      <c r="L301" s="220" t="s">
        <v>362</v>
      </c>
      <c r="M301" s="220" t="s">
        <v>362</v>
      </c>
      <c r="N301" s="220" t="s">
        <v>362</v>
      </c>
      <c r="O301" s="220" t="s">
        <v>362</v>
      </c>
    </row>
    <row r="302" spans="1:15" x14ac:dyDescent="0.25">
      <c r="A302" s="220" t="s">
        <v>362</v>
      </c>
      <c r="B302" s="164">
        <v>46059</v>
      </c>
      <c r="C302" s="212">
        <v>46054</v>
      </c>
      <c r="D302" s="134" t="s">
        <v>332</v>
      </c>
      <c r="E302" s="134" t="s">
        <v>1696</v>
      </c>
      <c r="F302" s="227" t="s">
        <v>5</v>
      </c>
      <c r="G302" s="134" t="s">
        <v>2028</v>
      </c>
      <c r="H302" s="134" t="s">
        <v>2029</v>
      </c>
      <c r="I302" s="281"/>
      <c r="J302" s="281"/>
      <c r="K302" s="220" t="s">
        <v>362</v>
      </c>
      <c r="L302" s="220" t="s">
        <v>362</v>
      </c>
      <c r="M302" s="220" t="s">
        <v>362</v>
      </c>
      <c r="N302" s="220" t="s">
        <v>362</v>
      </c>
      <c r="O302" s="220" t="s">
        <v>362</v>
      </c>
    </row>
    <row r="303" spans="1:15" x14ac:dyDescent="0.25">
      <c r="A303" s="220" t="s">
        <v>362</v>
      </c>
      <c r="B303" s="164">
        <v>46062</v>
      </c>
      <c r="C303" s="212">
        <v>46054</v>
      </c>
      <c r="D303" s="134" t="s">
        <v>2030</v>
      </c>
      <c r="E303" s="134" t="s">
        <v>1696</v>
      </c>
      <c r="F303" s="227" t="s">
        <v>5</v>
      </c>
      <c r="G303" s="134" t="s">
        <v>2031</v>
      </c>
      <c r="H303" s="134" t="s">
        <v>2032</v>
      </c>
      <c r="I303" s="281"/>
      <c r="J303" s="281"/>
      <c r="K303" s="220" t="s">
        <v>362</v>
      </c>
      <c r="L303" s="220" t="s">
        <v>362</v>
      </c>
      <c r="M303" s="220" t="s">
        <v>362</v>
      </c>
      <c r="N303" s="220" t="s">
        <v>362</v>
      </c>
      <c r="O303" s="220" t="s">
        <v>362</v>
      </c>
    </row>
    <row r="304" spans="1:15" x14ac:dyDescent="0.25">
      <c r="A304" s="220" t="s">
        <v>362</v>
      </c>
      <c r="B304" s="164">
        <v>46062</v>
      </c>
      <c r="C304" s="212">
        <v>46054</v>
      </c>
      <c r="D304" s="134" t="s">
        <v>1696</v>
      </c>
      <c r="E304" s="134" t="s">
        <v>1696</v>
      </c>
      <c r="F304" s="227" t="s">
        <v>5</v>
      </c>
      <c r="G304" s="134" t="s">
        <v>2033</v>
      </c>
      <c r="H304" s="134" t="s">
        <v>362</v>
      </c>
      <c r="I304" s="281"/>
      <c r="J304" s="281"/>
      <c r="K304" s="220" t="s">
        <v>362</v>
      </c>
      <c r="L304" s="220" t="s">
        <v>362</v>
      </c>
      <c r="M304" s="220" t="s">
        <v>362</v>
      </c>
      <c r="N304" s="220" t="s">
        <v>362</v>
      </c>
      <c r="O304" s="220" t="s">
        <v>362</v>
      </c>
    </row>
    <row r="305" spans="1:15" x14ac:dyDescent="0.25">
      <c r="A305" s="220" t="s">
        <v>362</v>
      </c>
      <c r="B305" s="164">
        <v>46062</v>
      </c>
      <c r="C305" s="212">
        <v>46054</v>
      </c>
      <c r="D305" s="134" t="s">
        <v>1780</v>
      </c>
      <c r="E305" s="134" t="s">
        <v>1696</v>
      </c>
      <c r="F305" s="227" t="s">
        <v>5</v>
      </c>
      <c r="G305" s="134" t="s">
        <v>2034</v>
      </c>
      <c r="H305" s="134" t="s">
        <v>2035</v>
      </c>
      <c r="I305" s="281"/>
      <c r="J305" s="281"/>
      <c r="K305" s="220" t="s">
        <v>362</v>
      </c>
      <c r="L305" s="220" t="s">
        <v>362</v>
      </c>
      <c r="M305" s="220" t="s">
        <v>362</v>
      </c>
      <c r="N305" s="220" t="s">
        <v>362</v>
      </c>
      <c r="O305" s="220" t="s">
        <v>362</v>
      </c>
    </row>
    <row r="306" spans="1:15" x14ac:dyDescent="0.25">
      <c r="A306" s="220" t="s">
        <v>362</v>
      </c>
      <c r="B306" s="164">
        <v>46062</v>
      </c>
      <c r="C306" s="212">
        <v>46054</v>
      </c>
      <c r="D306" s="134" t="s">
        <v>614</v>
      </c>
      <c r="E306" s="134" t="s">
        <v>1696</v>
      </c>
      <c r="F306" s="89" t="s">
        <v>6</v>
      </c>
      <c r="G306" s="134" t="s">
        <v>2036</v>
      </c>
      <c r="H306" s="134" t="s">
        <v>362</v>
      </c>
      <c r="I306" s="281"/>
      <c r="J306" s="281"/>
      <c r="K306" s="220" t="s">
        <v>362</v>
      </c>
      <c r="L306" s="220" t="s">
        <v>362</v>
      </c>
      <c r="M306" s="220" t="s">
        <v>362</v>
      </c>
      <c r="N306" s="220" t="s">
        <v>362</v>
      </c>
      <c r="O306" s="220" t="s">
        <v>362</v>
      </c>
    </row>
    <row r="307" spans="1:15" x14ac:dyDescent="0.25">
      <c r="A307" s="220" t="s">
        <v>362</v>
      </c>
      <c r="B307" s="164">
        <v>46063</v>
      </c>
      <c r="C307" s="212">
        <v>46054</v>
      </c>
      <c r="D307" s="134" t="s">
        <v>406</v>
      </c>
      <c r="E307" s="134" t="s">
        <v>1696</v>
      </c>
      <c r="F307" s="89" t="s">
        <v>6</v>
      </c>
      <c r="G307" s="134" t="s">
        <v>1911</v>
      </c>
      <c r="H307" s="134" t="s">
        <v>362</v>
      </c>
      <c r="I307" s="281"/>
      <c r="J307" s="281"/>
      <c r="K307" s="220" t="s">
        <v>362</v>
      </c>
      <c r="L307" s="220" t="s">
        <v>362</v>
      </c>
      <c r="M307" s="220" t="s">
        <v>362</v>
      </c>
      <c r="N307" s="220" t="s">
        <v>362</v>
      </c>
      <c r="O307" s="220" t="s">
        <v>362</v>
      </c>
    </row>
    <row r="308" spans="1:15" x14ac:dyDescent="0.25">
      <c r="A308" s="220" t="s">
        <v>362</v>
      </c>
      <c r="B308" s="164">
        <v>46064</v>
      </c>
      <c r="C308" s="212">
        <v>46054</v>
      </c>
      <c r="D308" s="134" t="s">
        <v>1816</v>
      </c>
      <c r="E308" s="134" t="s">
        <v>1696</v>
      </c>
      <c r="F308" s="89" t="s">
        <v>6</v>
      </c>
      <c r="G308" s="134" t="s">
        <v>1992</v>
      </c>
      <c r="H308" s="134" t="s">
        <v>362</v>
      </c>
      <c r="I308" s="281"/>
      <c r="J308" s="281"/>
      <c r="K308" s="220" t="s">
        <v>362</v>
      </c>
      <c r="L308" s="220" t="s">
        <v>362</v>
      </c>
      <c r="M308" s="220" t="s">
        <v>362</v>
      </c>
      <c r="N308" s="220" t="s">
        <v>362</v>
      </c>
      <c r="O308" s="220" t="s">
        <v>362</v>
      </c>
    </row>
    <row r="309" spans="1:15" ht="78.75" x14ac:dyDescent="0.25">
      <c r="A309" s="220" t="s">
        <v>362</v>
      </c>
      <c r="B309" s="164">
        <v>46064</v>
      </c>
      <c r="C309" s="212">
        <v>46054</v>
      </c>
      <c r="D309" s="134" t="s">
        <v>1780</v>
      </c>
      <c r="E309" s="134" t="s">
        <v>1696</v>
      </c>
      <c r="F309" s="227" t="s">
        <v>5</v>
      </c>
      <c r="G309" s="217" t="s">
        <v>2037</v>
      </c>
      <c r="H309" s="134" t="s">
        <v>2038</v>
      </c>
      <c r="I309" s="281"/>
      <c r="J309" s="281"/>
      <c r="K309" s="220" t="s">
        <v>362</v>
      </c>
      <c r="L309" s="220" t="s">
        <v>362</v>
      </c>
      <c r="M309" s="220" t="s">
        <v>362</v>
      </c>
      <c r="N309" s="220" t="s">
        <v>362</v>
      </c>
      <c r="O309" s="220" t="s">
        <v>362</v>
      </c>
    </row>
    <row r="310" spans="1:15" x14ac:dyDescent="0.25">
      <c r="A310" s="220" t="s">
        <v>362</v>
      </c>
      <c r="B310" s="164">
        <v>46064</v>
      </c>
      <c r="C310" s="212">
        <v>46054</v>
      </c>
      <c r="D310" s="134" t="s">
        <v>1696</v>
      </c>
      <c r="E310" s="134" t="s">
        <v>1696</v>
      </c>
      <c r="F310" s="227" t="s">
        <v>5</v>
      </c>
      <c r="G310" s="134" t="s">
        <v>2039</v>
      </c>
      <c r="H310" s="134" t="s">
        <v>362</v>
      </c>
      <c r="I310" s="281"/>
      <c r="J310" s="281"/>
      <c r="K310" s="220" t="s">
        <v>362</v>
      </c>
      <c r="L310" s="220" t="s">
        <v>362</v>
      </c>
      <c r="M310" s="220" t="s">
        <v>362</v>
      </c>
      <c r="N310" s="220" t="s">
        <v>362</v>
      </c>
      <c r="O310" s="220" t="s">
        <v>362</v>
      </c>
    </row>
    <row r="311" spans="1:15" x14ac:dyDescent="0.25">
      <c r="A311" s="220" t="s">
        <v>362</v>
      </c>
      <c r="B311" s="164">
        <v>46064</v>
      </c>
      <c r="C311" s="212">
        <v>46054</v>
      </c>
      <c r="D311" s="134" t="s">
        <v>614</v>
      </c>
      <c r="E311" s="134" t="s">
        <v>1696</v>
      </c>
      <c r="F311" s="89" t="s">
        <v>6</v>
      </c>
      <c r="G311" s="134" t="s">
        <v>2040</v>
      </c>
      <c r="H311" s="134" t="s">
        <v>362</v>
      </c>
      <c r="I311" s="281"/>
      <c r="J311" s="281"/>
      <c r="K311" s="220" t="s">
        <v>362</v>
      </c>
      <c r="L311" s="220" t="s">
        <v>362</v>
      </c>
      <c r="M311" s="220" t="s">
        <v>362</v>
      </c>
      <c r="N311" s="220" t="s">
        <v>362</v>
      </c>
      <c r="O311" s="220" t="s">
        <v>362</v>
      </c>
    </row>
    <row r="312" spans="1:15" x14ac:dyDescent="0.25">
      <c r="A312" s="220" t="s">
        <v>362</v>
      </c>
      <c r="B312" s="164">
        <v>46065</v>
      </c>
      <c r="C312" s="212">
        <v>46054</v>
      </c>
      <c r="D312" s="134" t="s">
        <v>332</v>
      </c>
      <c r="E312" s="134" t="s">
        <v>1696</v>
      </c>
      <c r="F312" s="89" t="s">
        <v>6</v>
      </c>
      <c r="G312" s="134" t="s">
        <v>2041</v>
      </c>
      <c r="H312" s="134" t="s">
        <v>2042</v>
      </c>
      <c r="I312" s="281"/>
      <c r="J312" s="281"/>
      <c r="K312" s="220" t="s">
        <v>362</v>
      </c>
      <c r="L312" s="220" t="s">
        <v>362</v>
      </c>
      <c r="M312" s="220" t="s">
        <v>362</v>
      </c>
      <c r="N312" s="220" t="s">
        <v>362</v>
      </c>
      <c r="O312" s="220" t="s">
        <v>362</v>
      </c>
    </row>
    <row r="313" spans="1:15" x14ac:dyDescent="0.25">
      <c r="A313" s="220" t="s">
        <v>362</v>
      </c>
      <c r="B313" s="164">
        <v>46065</v>
      </c>
      <c r="C313" s="212">
        <v>46054</v>
      </c>
      <c r="D313" s="134" t="s">
        <v>406</v>
      </c>
      <c r="E313" s="134" t="s">
        <v>1696</v>
      </c>
      <c r="F313" s="89" t="s">
        <v>6</v>
      </c>
      <c r="G313" s="134" t="s">
        <v>1911</v>
      </c>
      <c r="H313" s="134" t="s">
        <v>362</v>
      </c>
      <c r="I313" s="281"/>
      <c r="J313" s="281"/>
      <c r="K313" s="220" t="s">
        <v>362</v>
      </c>
      <c r="L313" s="220" t="s">
        <v>362</v>
      </c>
      <c r="M313" s="220" t="s">
        <v>362</v>
      </c>
      <c r="N313" s="220" t="s">
        <v>362</v>
      </c>
      <c r="O313" s="220" t="s">
        <v>362</v>
      </c>
    </row>
    <row r="314" spans="1:15" x14ac:dyDescent="0.25">
      <c r="A314" s="220" t="s">
        <v>362</v>
      </c>
      <c r="B314" s="164">
        <v>46070</v>
      </c>
      <c r="C314" s="212">
        <v>46054</v>
      </c>
      <c r="D314" s="134" t="s">
        <v>406</v>
      </c>
      <c r="E314" s="134" t="s">
        <v>1696</v>
      </c>
      <c r="F314" s="89" t="s">
        <v>6</v>
      </c>
      <c r="G314" s="134" t="s">
        <v>1911</v>
      </c>
      <c r="H314" s="134" t="s">
        <v>362</v>
      </c>
      <c r="I314" s="281"/>
      <c r="J314" s="281"/>
      <c r="K314" s="220" t="s">
        <v>362</v>
      </c>
      <c r="L314" s="220" t="s">
        <v>362</v>
      </c>
      <c r="M314" s="220" t="s">
        <v>362</v>
      </c>
      <c r="N314" s="220" t="s">
        <v>362</v>
      </c>
      <c r="O314" s="220" t="s">
        <v>362</v>
      </c>
    </row>
    <row r="315" spans="1:15" x14ac:dyDescent="0.25">
      <c r="A315" s="220" t="s">
        <v>362</v>
      </c>
      <c r="B315" s="164">
        <v>46070</v>
      </c>
      <c r="C315" s="212">
        <v>46054</v>
      </c>
      <c r="D315" s="134" t="s">
        <v>2043</v>
      </c>
      <c r="E315" s="134" t="s">
        <v>1696</v>
      </c>
      <c r="F315" s="89" t="s">
        <v>6</v>
      </c>
      <c r="G315" s="134" t="s">
        <v>2044</v>
      </c>
      <c r="H315" s="134" t="s">
        <v>362</v>
      </c>
      <c r="I315" s="281"/>
      <c r="J315" s="281"/>
      <c r="K315" s="220" t="s">
        <v>362</v>
      </c>
      <c r="L315" s="220" t="s">
        <v>362</v>
      </c>
      <c r="M315" s="220" t="s">
        <v>362</v>
      </c>
      <c r="N315" s="220" t="s">
        <v>362</v>
      </c>
      <c r="O315" s="220" t="s">
        <v>362</v>
      </c>
    </row>
    <row r="316" spans="1:15" x14ac:dyDescent="0.25">
      <c r="A316" s="220" t="s">
        <v>362</v>
      </c>
      <c r="B316" s="164">
        <v>46071</v>
      </c>
      <c r="C316" s="212">
        <v>46054</v>
      </c>
      <c r="D316" s="134" t="s">
        <v>1816</v>
      </c>
      <c r="E316" s="134" t="s">
        <v>1696</v>
      </c>
      <c r="F316" s="89" t="s">
        <v>6</v>
      </c>
      <c r="G316" s="134" t="s">
        <v>1992</v>
      </c>
      <c r="H316" s="134" t="s">
        <v>362</v>
      </c>
      <c r="I316" s="281"/>
      <c r="J316" s="281"/>
      <c r="K316" s="220" t="s">
        <v>362</v>
      </c>
      <c r="L316" s="220" t="s">
        <v>362</v>
      </c>
      <c r="M316" s="220" t="s">
        <v>362</v>
      </c>
      <c r="N316" s="220" t="s">
        <v>362</v>
      </c>
      <c r="O316" s="220" t="s">
        <v>362</v>
      </c>
    </row>
    <row r="317" spans="1:15" x14ac:dyDescent="0.25">
      <c r="A317" s="220" t="s">
        <v>362</v>
      </c>
      <c r="B317" s="164">
        <v>46072</v>
      </c>
      <c r="C317" s="212">
        <v>46054</v>
      </c>
      <c r="D317" s="134" t="s">
        <v>1816</v>
      </c>
      <c r="E317" s="134" t="s">
        <v>1696</v>
      </c>
      <c r="F317" s="89" t="s">
        <v>6</v>
      </c>
      <c r="G317" s="134" t="s">
        <v>2045</v>
      </c>
      <c r="H317" s="134" t="s">
        <v>362</v>
      </c>
      <c r="I317" s="281"/>
      <c r="J317" s="281"/>
      <c r="K317" s="220" t="s">
        <v>362</v>
      </c>
      <c r="L317" s="220" t="s">
        <v>362</v>
      </c>
      <c r="M317" s="220" t="s">
        <v>362</v>
      </c>
      <c r="N317" s="220" t="s">
        <v>362</v>
      </c>
      <c r="O317" s="220" t="s">
        <v>362</v>
      </c>
    </row>
    <row r="318" spans="1:15" x14ac:dyDescent="0.25">
      <c r="A318" s="220" t="s">
        <v>362</v>
      </c>
      <c r="B318" s="164">
        <v>46072</v>
      </c>
      <c r="C318" s="212">
        <v>46054</v>
      </c>
      <c r="D318" s="134" t="s">
        <v>406</v>
      </c>
      <c r="E318" s="134" t="s">
        <v>1696</v>
      </c>
      <c r="F318" s="89" t="s">
        <v>6</v>
      </c>
      <c r="G318" s="134" t="s">
        <v>1911</v>
      </c>
      <c r="H318" s="134" t="s">
        <v>362</v>
      </c>
      <c r="I318" s="281"/>
      <c r="J318" s="281"/>
      <c r="K318" s="220" t="s">
        <v>362</v>
      </c>
      <c r="L318" s="220" t="s">
        <v>362</v>
      </c>
      <c r="M318" s="220" t="s">
        <v>362</v>
      </c>
      <c r="N318" s="220" t="s">
        <v>362</v>
      </c>
      <c r="O318" s="220" t="s">
        <v>362</v>
      </c>
    </row>
    <row r="319" spans="1:15" x14ac:dyDescent="0.25">
      <c r="A319" s="220" t="s">
        <v>362</v>
      </c>
      <c r="B319" s="164">
        <v>46072</v>
      </c>
      <c r="C319" s="212">
        <v>46054</v>
      </c>
      <c r="D319" s="134" t="s">
        <v>1997</v>
      </c>
      <c r="E319" s="134" t="s">
        <v>1696</v>
      </c>
      <c r="F319" s="89" t="s">
        <v>6</v>
      </c>
      <c r="G319" s="134" t="s">
        <v>2046</v>
      </c>
      <c r="H319" s="134" t="s">
        <v>362</v>
      </c>
      <c r="I319" s="281"/>
      <c r="J319" s="281"/>
      <c r="K319" s="220" t="s">
        <v>362</v>
      </c>
      <c r="L319" s="220" t="s">
        <v>362</v>
      </c>
      <c r="M319" s="220" t="s">
        <v>362</v>
      </c>
      <c r="N319" s="220" t="s">
        <v>362</v>
      </c>
      <c r="O319" s="220" t="s">
        <v>362</v>
      </c>
    </row>
    <row r="320" spans="1:15" x14ac:dyDescent="0.25">
      <c r="A320" s="220" t="s">
        <v>362</v>
      </c>
      <c r="B320" s="164">
        <v>46077</v>
      </c>
      <c r="C320" s="212">
        <v>46054</v>
      </c>
      <c r="D320" s="134" t="s">
        <v>2012</v>
      </c>
      <c r="E320" s="134" t="s">
        <v>1696</v>
      </c>
      <c r="F320" s="89" t="s">
        <v>6</v>
      </c>
      <c r="G320" s="134" t="s">
        <v>2047</v>
      </c>
      <c r="H320" s="134" t="s">
        <v>2048</v>
      </c>
      <c r="I320" s="281"/>
      <c r="J320" s="281"/>
      <c r="K320" s="220" t="s">
        <v>362</v>
      </c>
      <c r="L320" s="220" t="s">
        <v>362</v>
      </c>
      <c r="M320" s="220" t="s">
        <v>362</v>
      </c>
      <c r="N320" s="220" t="s">
        <v>362</v>
      </c>
      <c r="O320" s="220" t="s">
        <v>362</v>
      </c>
    </row>
    <row r="321" spans="1:15" x14ac:dyDescent="0.25">
      <c r="A321" s="220" t="s">
        <v>362</v>
      </c>
      <c r="B321" s="164">
        <v>46077</v>
      </c>
      <c r="C321" s="212">
        <v>46054</v>
      </c>
      <c r="D321" s="134" t="s">
        <v>406</v>
      </c>
      <c r="E321" s="134" t="s">
        <v>1696</v>
      </c>
      <c r="F321" s="89" t="s">
        <v>6</v>
      </c>
      <c r="G321" s="134" t="s">
        <v>1911</v>
      </c>
      <c r="H321" s="134" t="s">
        <v>362</v>
      </c>
      <c r="I321" s="281"/>
      <c r="J321" s="281"/>
      <c r="K321" s="220" t="s">
        <v>362</v>
      </c>
      <c r="L321" s="220" t="s">
        <v>362</v>
      </c>
      <c r="M321" s="220" t="s">
        <v>362</v>
      </c>
      <c r="N321" s="220" t="s">
        <v>362</v>
      </c>
      <c r="O321" s="220" t="s">
        <v>362</v>
      </c>
    </row>
    <row r="322" spans="1:15" x14ac:dyDescent="0.25">
      <c r="A322" s="220" t="s">
        <v>362</v>
      </c>
      <c r="B322" s="164">
        <v>46079</v>
      </c>
      <c r="C322" s="212">
        <v>46054</v>
      </c>
      <c r="D322" s="134" t="s">
        <v>406</v>
      </c>
      <c r="E322" s="134" t="s">
        <v>1696</v>
      </c>
      <c r="F322" s="89" t="s">
        <v>6</v>
      </c>
      <c r="G322" s="134" t="s">
        <v>1911</v>
      </c>
      <c r="H322" s="134" t="s">
        <v>362</v>
      </c>
      <c r="I322" s="281"/>
      <c r="J322" s="281"/>
      <c r="K322" s="220" t="s">
        <v>362</v>
      </c>
      <c r="L322" s="220" t="s">
        <v>362</v>
      </c>
      <c r="M322" s="220" t="s">
        <v>362</v>
      </c>
      <c r="N322" s="220" t="s">
        <v>362</v>
      </c>
      <c r="O322" s="220" t="s">
        <v>362</v>
      </c>
    </row>
    <row r="323" spans="1:15" x14ac:dyDescent="0.25">
      <c r="A323" s="220" t="s">
        <v>362</v>
      </c>
      <c r="B323" s="164">
        <v>46079</v>
      </c>
      <c r="C323" s="212">
        <v>46054</v>
      </c>
      <c r="D323" s="134" t="s">
        <v>2049</v>
      </c>
      <c r="E323" s="134" t="s">
        <v>1696</v>
      </c>
      <c r="F323" s="89" t="s">
        <v>6</v>
      </c>
      <c r="G323" s="134" t="s">
        <v>2050</v>
      </c>
      <c r="H323" s="134" t="s">
        <v>362</v>
      </c>
      <c r="I323" s="281"/>
      <c r="J323" s="281"/>
      <c r="K323" s="220" t="s">
        <v>362</v>
      </c>
      <c r="L323" s="220" t="s">
        <v>362</v>
      </c>
      <c r="M323" s="220" t="s">
        <v>362</v>
      </c>
      <c r="N323" s="220" t="s">
        <v>362</v>
      </c>
      <c r="O323" s="220" t="s">
        <v>362</v>
      </c>
    </row>
    <row r="324" spans="1:15" x14ac:dyDescent="0.25">
      <c r="A324" s="220" t="s">
        <v>362</v>
      </c>
      <c r="B324" s="164">
        <v>46084</v>
      </c>
      <c r="C324" s="212">
        <v>46082</v>
      </c>
      <c r="D324" s="134" t="s">
        <v>406</v>
      </c>
      <c r="E324" s="134" t="s">
        <v>1696</v>
      </c>
      <c r="F324" s="89" t="s">
        <v>6</v>
      </c>
      <c r="G324" s="134" t="s">
        <v>1911</v>
      </c>
      <c r="H324" s="134" t="s">
        <v>362</v>
      </c>
      <c r="I324" s="281"/>
      <c r="J324" s="281"/>
      <c r="K324" s="220" t="s">
        <v>362</v>
      </c>
      <c r="L324" s="220" t="s">
        <v>362</v>
      </c>
      <c r="M324" s="220" t="s">
        <v>362</v>
      </c>
      <c r="N324" s="220" t="s">
        <v>362</v>
      </c>
      <c r="O324" s="220" t="s">
        <v>362</v>
      </c>
    </row>
    <row r="325" spans="1:15" x14ac:dyDescent="0.25">
      <c r="A325" s="220" t="s">
        <v>362</v>
      </c>
      <c r="B325" s="164">
        <v>46084</v>
      </c>
      <c r="C325" s="212">
        <v>46082</v>
      </c>
      <c r="D325" s="134" t="s">
        <v>2043</v>
      </c>
      <c r="E325" s="134" t="s">
        <v>1696</v>
      </c>
      <c r="F325" s="89" t="s">
        <v>6</v>
      </c>
      <c r="G325" s="134" t="s">
        <v>2044</v>
      </c>
      <c r="H325" s="134" t="s">
        <v>362</v>
      </c>
      <c r="I325" s="281"/>
      <c r="J325" s="281"/>
      <c r="K325" s="220" t="s">
        <v>362</v>
      </c>
      <c r="L325" s="220" t="s">
        <v>362</v>
      </c>
      <c r="M325" s="220" t="s">
        <v>362</v>
      </c>
      <c r="N325" s="220" t="s">
        <v>362</v>
      </c>
      <c r="O325" s="220" t="s">
        <v>362</v>
      </c>
    </row>
    <row r="326" spans="1:15" x14ac:dyDescent="0.25">
      <c r="A326" s="220" t="s">
        <v>362</v>
      </c>
      <c r="B326" s="164">
        <v>46084</v>
      </c>
      <c r="C326" s="212">
        <v>46082</v>
      </c>
      <c r="D326" s="134" t="s">
        <v>332</v>
      </c>
      <c r="E326" s="134" t="s">
        <v>1696</v>
      </c>
      <c r="F326" s="89" t="s">
        <v>6</v>
      </c>
      <c r="G326" s="134" t="s">
        <v>2051</v>
      </c>
      <c r="H326" s="134" t="s">
        <v>362</v>
      </c>
      <c r="I326" s="281"/>
      <c r="J326" s="281"/>
      <c r="K326" s="220" t="s">
        <v>362</v>
      </c>
      <c r="L326" s="220" t="s">
        <v>362</v>
      </c>
      <c r="M326" s="220" t="s">
        <v>362</v>
      </c>
      <c r="N326" s="220" t="s">
        <v>362</v>
      </c>
      <c r="O326" s="220" t="s">
        <v>362</v>
      </c>
    </row>
    <row r="327" spans="1:15" x14ac:dyDescent="0.25">
      <c r="A327" s="220" t="s">
        <v>362</v>
      </c>
      <c r="B327" s="164">
        <v>46086</v>
      </c>
      <c r="C327" s="212">
        <v>46082</v>
      </c>
      <c r="D327" s="134" t="s">
        <v>332</v>
      </c>
      <c r="E327" s="134" t="s">
        <v>1696</v>
      </c>
      <c r="F327" s="89" t="s">
        <v>6</v>
      </c>
      <c r="G327" s="134" t="s">
        <v>2052</v>
      </c>
      <c r="H327" s="134" t="s">
        <v>362</v>
      </c>
      <c r="I327" s="281"/>
      <c r="J327" s="281"/>
      <c r="K327" s="220" t="s">
        <v>362</v>
      </c>
      <c r="L327" s="220" t="s">
        <v>362</v>
      </c>
      <c r="M327" s="220" t="s">
        <v>362</v>
      </c>
      <c r="N327" s="220" t="s">
        <v>362</v>
      </c>
      <c r="O327" s="220" t="s">
        <v>362</v>
      </c>
    </row>
    <row r="328" spans="1:15" x14ac:dyDescent="0.25">
      <c r="A328" s="220" t="s">
        <v>362</v>
      </c>
      <c r="B328" s="164">
        <v>46086</v>
      </c>
      <c r="C328" s="212">
        <v>46082</v>
      </c>
      <c r="D328" s="134" t="s">
        <v>406</v>
      </c>
      <c r="E328" s="134" t="s">
        <v>1696</v>
      </c>
      <c r="F328" s="89" t="s">
        <v>6</v>
      </c>
      <c r="G328" s="134" t="s">
        <v>1911</v>
      </c>
      <c r="H328" s="134" t="s">
        <v>362</v>
      </c>
      <c r="I328" s="281"/>
      <c r="J328" s="281"/>
      <c r="K328" s="220" t="s">
        <v>362</v>
      </c>
      <c r="L328" s="220" t="s">
        <v>362</v>
      </c>
      <c r="M328" s="220" t="s">
        <v>362</v>
      </c>
      <c r="N328" s="220" t="s">
        <v>362</v>
      </c>
      <c r="O328" s="220" t="s">
        <v>362</v>
      </c>
    </row>
    <row r="329" spans="1:15" x14ac:dyDescent="0.25">
      <c r="A329" s="220" t="s">
        <v>362</v>
      </c>
      <c r="B329" s="164">
        <v>46086</v>
      </c>
      <c r="C329" s="212">
        <v>46082</v>
      </c>
      <c r="D329" s="134" t="s">
        <v>1816</v>
      </c>
      <c r="E329" s="134" t="s">
        <v>1696</v>
      </c>
      <c r="F329" s="89" t="s">
        <v>6</v>
      </c>
      <c r="G329" s="134" t="s">
        <v>1992</v>
      </c>
      <c r="H329" s="134" t="s">
        <v>362</v>
      </c>
      <c r="I329" s="281"/>
      <c r="J329" s="281"/>
      <c r="K329" s="220" t="s">
        <v>362</v>
      </c>
      <c r="L329" s="220" t="s">
        <v>362</v>
      </c>
      <c r="M329" s="220" t="s">
        <v>362</v>
      </c>
      <c r="N329" s="220" t="s">
        <v>362</v>
      </c>
      <c r="O329" s="220" t="s">
        <v>362</v>
      </c>
    </row>
    <row r="330" spans="1:15" x14ac:dyDescent="0.25">
      <c r="A330" s="220" t="s">
        <v>362</v>
      </c>
      <c r="B330" s="164">
        <v>46087</v>
      </c>
      <c r="C330" s="212">
        <v>46082</v>
      </c>
      <c r="D330" s="134" t="s">
        <v>1780</v>
      </c>
      <c r="E330" s="134" t="s">
        <v>1696</v>
      </c>
      <c r="F330" s="89" t="s">
        <v>6</v>
      </c>
      <c r="G330" s="134" t="s">
        <v>2053</v>
      </c>
      <c r="H330" s="134" t="s">
        <v>362</v>
      </c>
      <c r="I330" s="281"/>
      <c r="J330" s="281"/>
      <c r="K330" s="220" t="s">
        <v>362</v>
      </c>
      <c r="L330" s="220" t="s">
        <v>362</v>
      </c>
      <c r="M330" s="220" t="s">
        <v>362</v>
      </c>
      <c r="N330" s="220" t="s">
        <v>362</v>
      </c>
      <c r="O330" s="220" t="s">
        <v>362</v>
      </c>
    </row>
    <row r="331" spans="1:15" x14ac:dyDescent="0.25">
      <c r="A331" s="220" t="s">
        <v>362</v>
      </c>
      <c r="B331" s="162">
        <v>46091</v>
      </c>
      <c r="C331" s="210">
        <v>46082</v>
      </c>
      <c r="D331" s="163" t="s">
        <v>332</v>
      </c>
      <c r="E331" s="163" t="s">
        <v>1696</v>
      </c>
      <c r="F331" s="89" t="s">
        <v>6</v>
      </c>
      <c r="G331" s="163" t="s">
        <v>2054</v>
      </c>
      <c r="H331" s="163" t="s">
        <v>362</v>
      </c>
      <c r="I331" s="281"/>
      <c r="J331" s="281"/>
      <c r="K331" s="220" t="s">
        <v>362</v>
      </c>
      <c r="L331" s="220" t="s">
        <v>362</v>
      </c>
      <c r="M331" s="220" t="s">
        <v>362</v>
      </c>
      <c r="N331" s="220" t="s">
        <v>362</v>
      </c>
      <c r="O331" s="220" t="s">
        <v>362</v>
      </c>
    </row>
    <row r="332" spans="1:15" x14ac:dyDescent="0.25">
      <c r="A332" s="220"/>
      <c r="B332" s="162">
        <v>46092</v>
      </c>
      <c r="C332" s="210">
        <v>46082</v>
      </c>
      <c r="D332" s="134" t="s">
        <v>3291</v>
      </c>
      <c r="E332" s="134" t="s">
        <v>1696</v>
      </c>
      <c r="F332" s="89" t="s">
        <v>6</v>
      </c>
      <c r="G332" s="134" t="s">
        <v>3370</v>
      </c>
      <c r="H332" s="134" t="s">
        <v>3371</v>
      </c>
      <c r="I332" s="284" t="s">
        <v>3267</v>
      </c>
      <c r="J332" s="285">
        <v>0.33333333333333331</v>
      </c>
      <c r="K332" s="220"/>
      <c r="L332" s="220"/>
      <c r="M332" s="220"/>
      <c r="N332" s="220"/>
      <c r="O332" s="220"/>
    </row>
    <row r="333" spans="1:15" x14ac:dyDescent="0.25">
      <c r="A333" s="220" t="s">
        <v>362</v>
      </c>
      <c r="B333" s="164">
        <v>46093</v>
      </c>
      <c r="C333" s="212">
        <v>46082</v>
      </c>
      <c r="D333" s="134" t="s">
        <v>406</v>
      </c>
      <c r="E333" s="134" t="s">
        <v>1696</v>
      </c>
      <c r="F333" s="89" t="s">
        <v>6</v>
      </c>
      <c r="G333" s="134" t="s">
        <v>1911</v>
      </c>
      <c r="H333" s="134" t="s">
        <v>3272</v>
      </c>
      <c r="I333" s="284" t="s">
        <v>3267</v>
      </c>
      <c r="J333" s="285">
        <v>4.1666666666666664E-2</v>
      </c>
      <c r="K333" s="220" t="s">
        <v>362</v>
      </c>
      <c r="L333" s="220" t="s">
        <v>362</v>
      </c>
      <c r="M333" s="220" t="s">
        <v>362</v>
      </c>
      <c r="N333" s="220" t="s">
        <v>362</v>
      </c>
      <c r="O333" s="220" t="s">
        <v>362</v>
      </c>
    </row>
    <row r="334" spans="1:15" x14ac:dyDescent="0.25">
      <c r="A334" s="220" t="s">
        <v>362</v>
      </c>
      <c r="B334" s="164">
        <v>46093</v>
      </c>
      <c r="C334" s="212">
        <v>46082</v>
      </c>
      <c r="D334" s="134" t="s">
        <v>1816</v>
      </c>
      <c r="E334" s="134" t="s">
        <v>1696</v>
      </c>
      <c r="F334" s="89" t="s">
        <v>6</v>
      </c>
      <c r="G334" s="134" t="s">
        <v>1992</v>
      </c>
      <c r="H334" s="134" t="s">
        <v>3376</v>
      </c>
      <c r="I334" s="284" t="s">
        <v>3267</v>
      </c>
      <c r="J334" s="285">
        <v>4.1666666666666664E-2</v>
      </c>
      <c r="K334" s="220" t="s">
        <v>362</v>
      </c>
      <c r="L334" s="220" t="s">
        <v>362</v>
      </c>
      <c r="M334" s="220" t="s">
        <v>362</v>
      </c>
      <c r="N334" s="220" t="s">
        <v>362</v>
      </c>
      <c r="O334" s="220" t="s">
        <v>362</v>
      </c>
    </row>
    <row r="335" spans="1:15" x14ac:dyDescent="0.25">
      <c r="A335" s="220" t="s">
        <v>362</v>
      </c>
      <c r="B335" s="164">
        <v>46094</v>
      </c>
      <c r="C335" s="212">
        <v>46082</v>
      </c>
      <c r="D335" s="134" t="s">
        <v>332</v>
      </c>
      <c r="E335" s="134" t="s">
        <v>1696</v>
      </c>
      <c r="F335" s="227" t="s">
        <v>5</v>
      </c>
      <c r="G335" s="134" t="s">
        <v>2055</v>
      </c>
      <c r="H335" s="134" t="s">
        <v>3379</v>
      </c>
      <c r="I335" s="284" t="s">
        <v>3267</v>
      </c>
      <c r="J335" s="285">
        <v>4.1666666666666664E-2</v>
      </c>
      <c r="K335" s="220" t="s">
        <v>362</v>
      </c>
      <c r="L335" s="220" t="s">
        <v>362</v>
      </c>
      <c r="M335" s="220" t="s">
        <v>362</v>
      </c>
      <c r="N335" s="220" t="s">
        <v>362</v>
      </c>
      <c r="O335" s="220" t="s">
        <v>362</v>
      </c>
    </row>
    <row r="336" spans="1:15" ht="141.75" x14ac:dyDescent="0.25">
      <c r="A336" s="220" t="s">
        <v>362</v>
      </c>
      <c r="B336" s="164">
        <v>46097</v>
      </c>
      <c r="C336" s="212">
        <v>46082</v>
      </c>
      <c r="D336" s="134" t="s">
        <v>410</v>
      </c>
      <c r="E336" s="134" t="s">
        <v>1696</v>
      </c>
      <c r="F336" s="89" t="s">
        <v>6</v>
      </c>
      <c r="G336" s="134" t="s">
        <v>2056</v>
      </c>
      <c r="H336" s="217" t="s">
        <v>3268</v>
      </c>
      <c r="I336" s="284" t="s">
        <v>3267</v>
      </c>
      <c r="J336" s="285">
        <v>0.20833333333333334</v>
      </c>
      <c r="K336" s="220" t="s">
        <v>362</v>
      </c>
      <c r="L336" s="220" t="s">
        <v>362</v>
      </c>
      <c r="M336" s="220" t="s">
        <v>362</v>
      </c>
      <c r="N336" s="220" t="s">
        <v>362</v>
      </c>
      <c r="O336" s="220" t="s">
        <v>362</v>
      </c>
    </row>
    <row r="337" spans="1:15" x14ac:dyDescent="0.25">
      <c r="A337" s="220" t="s">
        <v>362</v>
      </c>
      <c r="B337" s="162">
        <v>46098</v>
      </c>
      <c r="C337" s="210">
        <v>46082</v>
      </c>
      <c r="D337" s="163" t="s">
        <v>410</v>
      </c>
      <c r="E337" s="163" t="s">
        <v>1696</v>
      </c>
      <c r="F337" s="89" t="s">
        <v>6</v>
      </c>
      <c r="G337" s="163" t="s">
        <v>2056</v>
      </c>
      <c r="H337" s="163" t="s">
        <v>2057</v>
      </c>
      <c r="I337" s="284" t="s">
        <v>3267</v>
      </c>
      <c r="J337" s="285">
        <v>4.1666666666666664E-2</v>
      </c>
      <c r="K337" s="220" t="s">
        <v>362</v>
      </c>
      <c r="L337" s="220" t="s">
        <v>362</v>
      </c>
      <c r="M337" s="220" t="s">
        <v>362</v>
      </c>
      <c r="N337" s="220" t="s">
        <v>362</v>
      </c>
      <c r="O337" s="220" t="s">
        <v>362</v>
      </c>
    </row>
    <row r="338" spans="1:15" x14ac:dyDescent="0.25">
      <c r="A338" s="220" t="s">
        <v>362</v>
      </c>
      <c r="B338" s="164">
        <v>46098</v>
      </c>
      <c r="C338" s="212">
        <v>46082</v>
      </c>
      <c r="D338" s="134" t="s">
        <v>2058</v>
      </c>
      <c r="E338" s="134" t="s">
        <v>1696</v>
      </c>
      <c r="F338" s="89" t="s">
        <v>6</v>
      </c>
      <c r="G338" s="134" t="s">
        <v>2059</v>
      </c>
      <c r="H338" s="134" t="s">
        <v>3270</v>
      </c>
      <c r="I338" s="284" t="s">
        <v>3267</v>
      </c>
      <c r="J338" s="285">
        <v>4.1666666666666664E-2</v>
      </c>
      <c r="K338" s="220" t="s">
        <v>362</v>
      </c>
      <c r="L338" s="220" t="s">
        <v>362</v>
      </c>
      <c r="M338" s="220" t="s">
        <v>362</v>
      </c>
      <c r="N338" s="220" t="s">
        <v>362</v>
      </c>
      <c r="O338" s="220" t="s">
        <v>362</v>
      </c>
    </row>
    <row r="339" spans="1:15" x14ac:dyDescent="0.25">
      <c r="A339" s="220" t="s">
        <v>362</v>
      </c>
      <c r="B339" s="164">
        <v>46098</v>
      </c>
      <c r="C339" s="212">
        <v>46082</v>
      </c>
      <c r="D339" s="134" t="s">
        <v>332</v>
      </c>
      <c r="E339" s="134" t="s">
        <v>1696</v>
      </c>
      <c r="F339" s="89" t="s">
        <v>6</v>
      </c>
      <c r="G339" s="134" t="s">
        <v>2060</v>
      </c>
      <c r="H339" s="134" t="s">
        <v>3271</v>
      </c>
      <c r="I339" s="284" t="s">
        <v>3267</v>
      </c>
      <c r="J339" s="285">
        <v>6.25E-2</v>
      </c>
      <c r="K339" s="220" t="s">
        <v>362</v>
      </c>
      <c r="L339" s="220" t="s">
        <v>362</v>
      </c>
      <c r="M339" s="220" t="s">
        <v>362</v>
      </c>
      <c r="N339" s="220" t="s">
        <v>362</v>
      </c>
      <c r="O339" s="220" t="s">
        <v>362</v>
      </c>
    </row>
    <row r="340" spans="1:15" x14ac:dyDescent="0.25">
      <c r="A340" s="220" t="s">
        <v>362</v>
      </c>
      <c r="B340" s="164">
        <v>46098</v>
      </c>
      <c r="C340" s="212">
        <v>46082</v>
      </c>
      <c r="D340" s="134" t="s">
        <v>406</v>
      </c>
      <c r="E340" s="134" t="s">
        <v>1696</v>
      </c>
      <c r="F340" s="89" t="s">
        <v>6</v>
      </c>
      <c r="G340" s="134" t="s">
        <v>1911</v>
      </c>
      <c r="H340" s="134" t="s">
        <v>3272</v>
      </c>
      <c r="I340" s="284" t="s">
        <v>3267</v>
      </c>
      <c r="J340" s="285">
        <v>4.1666666666666664E-2</v>
      </c>
      <c r="K340" s="220" t="s">
        <v>362</v>
      </c>
      <c r="L340" s="220" t="s">
        <v>362</v>
      </c>
      <c r="M340" s="220" t="s">
        <v>362</v>
      </c>
      <c r="N340" s="220" t="s">
        <v>362</v>
      </c>
      <c r="O340" s="220" t="s">
        <v>362</v>
      </c>
    </row>
    <row r="341" spans="1:15" x14ac:dyDescent="0.25">
      <c r="A341" s="220" t="s">
        <v>362</v>
      </c>
      <c r="B341" s="164">
        <v>46098</v>
      </c>
      <c r="C341" s="212">
        <v>46082</v>
      </c>
      <c r="D341" s="134" t="s">
        <v>2043</v>
      </c>
      <c r="E341" s="134" t="s">
        <v>1696</v>
      </c>
      <c r="F341" s="89" t="s">
        <v>6</v>
      </c>
      <c r="G341" s="134" t="s">
        <v>2044</v>
      </c>
      <c r="H341" s="134" t="s">
        <v>3273</v>
      </c>
      <c r="I341" s="284" t="s">
        <v>3267</v>
      </c>
      <c r="J341" s="285">
        <v>4.1666666666666664E-2</v>
      </c>
      <c r="K341" s="220" t="s">
        <v>362</v>
      </c>
      <c r="L341" s="220" t="s">
        <v>362</v>
      </c>
      <c r="M341" s="220" t="s">
        <v>362</v>
      </c>
      <c r="N341" s="220" t="s">
        <v>362</v>
      </c>
      <c r="O341" s="220" t="s">
        <v>362</v>
      </c>
    </row>
    <row r="342" spans="1:15" x14ac:dyDescent="0.25">
      <c r="A342" s="220" t="s">
        <v>362</v>
      </c>
      <c r="B342" s="164">
        <v>46098</v>
      </c>
      <c r="C342" s="212">
        <v>46082</v>
      </c>
      <c r="D342" s="134" t="s">
        <v>410</v>
      </c>
      <c r="E342" s="134" t="s">
        <v>1696</v>
      </c>
      <c r="F342" s="89" t="s">
        <v>6</v>
      </c>
      <c r="G342" s="134" t="s">
        <v>2056</v>
      </c>
      <c r="H342" s="134" t="s">
        <v>2061</v>
      </c>
      <c r="I342" s="284" t="s">
        <v>3267</v>
      </c>
      <c r="J342" s="285">
        <v>8.3333333333333329E-2</v>
      </c>
      <c r="K342" s="220" t="s">
        <v>362</v>
      </c>
      <c r="L342" s="220" t="s">
        <v>362</v>
      </c>
      <c r="M342" s="220" t="s">
        <v>362</v>
      </c>
      <c r="N342" s="220" t="s">
        <v>362</v>
      </c>
      <c r="O342" s="220" t="s">
        <v>362</v>
      </c>
    </row>
    <row r="343" spans="1:15" x14ac:dyDescent="0.25">
      <c r="A343" s="220" t="s">
        <v>362</v>
      </c>
      <c r="B343" s="164">
        <v>46098</v>
      </c>
      <c r="C343" s="212">
        <v>46082</v>
      </c>
      <c r="D343" s="134" t="s">
        <v>410</v>
      </c>
      <c r="E343" s="134" t="s">
        <v>1696</v>
      </c>
      <c r="F343" s="89" t="s">
        <v>6</v>
      </c>
      <c r="G343" s="134" t="s">
        <v>2056</v>
      </c>
      <c r="H343" s="134" t="s">
        <v>2062</v>
      </c>
      <c r="I343" s="284" t="s">
        <v>3267</v>
      </c>
      <c r="J343" s="285">
        <v>4.1666666666666664E-2</v>
      </c>
      <c r="K343" s="220" t="s">
        <v>362</v>
      </c>
      <c r="L343" s="220" t="s">
        <v>362</v>
      </c>
      <c r="M343" s="220" t="s">
        <v>362</v>
      </c>
      <c r="N343" s="220" t="s">
        <v>362</v>
      </c>
      <c r="O343" s="220" t="s">
        <v>362</v>
      </c>
    </row>
    <row r="344" spans="1:15" x14ac:dyDescent="0.25">
      <c r="A344" s="220" t="s">
        <v>362</v>
      </c>
      <c r="B344" s="164">
        <v>46099</v>
      </c>
      <c r="C344" s="212">
        <v>46082</v>
      </c>
      <c r="D344" s="134" t="s">
        <v>410</v>
      </c>
      <c r="E344" s="134" t="s">
        <v>1696</v>
      </c>
      <c r="F344" s="89" t="s">
        <v>6</v>
      </c>
      <c r="G344" s="134" t="s">
        <v>2063</v>
      </c>
      <c r="H344" s="134" t="s">
        <v>2064</v>
      </c>
      <c r="I344" s="284" t="s">
        <v>3267</v>
      </c>
      <c r="J344" s="285">
        <v>0.125</v>
      </c>
      <c r="K344" s="220" t="s">
        <v>362</v>
      </c>
      <c r="L344" s="220" t="s">
        <v>362</v>
      </c>
      <c r="M344" s="220" t="s">
        <v>362</v>
      </c>
      <c r="N344" s="220" t="s">
        <v>362</v>
      </c>
      <c r="O344" s="220" t="s">
        <v>362</v>
      </c>
    </row>
    <row r="345" spans="1:15" x14ac:dyDescent="0.25">
      <c r="A345" s="220" t="s">
        <v>362</v>
      </c>
      <c r="B345" s="164">
        <v>46100</v>
      </c>
      <c r="C345" s="212">
        <v>46082</v>
      </c>
      <c r="D345" s="134" t="s">
        <v>406</v>
      </c>
      <c r="E345" s="134" t="s">
        <v>1696</v>
      </c>
      <c r="F345" s="89" t="s">
        <v>6</v>
      </c>
      <c r="G345" s="134" t="s">
        <v>1911</v>
      </c>
      <c r="H345" s="134" t="s">
        <v>3272</v>
      </c>
      <c r="I345" s="284" t="s">
        <v>3267</v>
      </c>
      <c r="J345" s="285">
        <v>4.1666666666666664E-2</v>
      </c>
      <c r="K345" s="220" t="s">
        <v>362</v>
      </c>
      <c r="L345" s="220" t="s">
        <v>362</v>
      </c>
      <c r="M345" s="220" t="s">
        <v>362</v>
      </c>
      <c r="N345" s="220" t="s">
        <v>362</v>
      </c>
      <c r="O345" s="220" t="s">
        <v>362</v>
      </c>
    </row>
    <row r="346" spans="1:15" x14ac:dyDescent="0.25">
      <c r="A346" s="220" t="s">
        <v>362</v>
      </c>
      <c r="B346" s="164">
        <v>46100</v>
      </c>
      <c r="C346" s="212">
        <v>46082</v>
      </c>
      <c r="D346" s="134" t="s">
        <v>410</v>
      </c>
      <c r="E346" s="134" t="s">
        <v>1696</v>
      </c>
      <c r="F346" s="89" t="s">
        <v>6</v>
      </c>
      <c r="G346" s="134" t="s">
        <v>2063</v>
      </c>
      <c r="H346" s="134" t="s">
        <v>2065</v>
      </c>
      <c r="I346" s="284" t="s">
        <v>3267</v>
      </c>
      <c r="J346" s="285">
        <v>4.1666666666666664E-2</v>
      </c>
      <c r="K346" s="220" t="s">
        <v>362</v>
      </c>
      <c r="L346" s="220" t="s">
        <v>362</v>
      </c>
      <c r="M346" s="220" t="s">
        <v>362</v>
      </c>
      <c r="N346" s="220" t="s">
        <v>362</v>
      </c>
      <c r="O346" s="220" t="s">
        <v>362</v>
      </c>
    </row>
    <row r="347" spans="1:15" x14ac:dyDescent="0.25">
      <c r="A347" s="220" t="s">
        <v>362</v>
      </c>
      <c r="B347" s="164">
        <v>46100</v>
      </c>
      <c r="C347" s="212">
        <v>46082</v>
      </c>
      <c r="D347" s="134" t="s">
        <v>410</v>
      </c>
      <c r="E347" s="134" t="s">
        <v>1696</v>
      </c>
      <c r="F347" s="89" t="s">
        <v>6</v>
      </c>
      <c r="G347" s="134" t="s">
        <v>2063</v>
      </c>
      <c r="H347" s="134" t="s">
        <v>2066</v>
      </c>
      <c r="I347" s="284" t="s">
        <v>3267</v>
      </c>
      <c r="J347" s="285">
        <v>4.1666666666666664E-2</v>
      </c>
      <c r="K347" s="220" t="s">
        <v>362</v>
      </c>
      <c r="L347" s="220" t="s">
        <v>362</v>
      </c>
      <c r="M347" s="220" t="s">
        <v>362</v>
      </c>
      <c r="N347" s="220" t="s">
        <v>362</v>
      </c>
      <c r="O347" s="220" t="s">
        <v>362</v>
      </c>
    </row>
    <row r="348" spans="1:15" x14ac:dyDescent="0.25">
      <c r="A348" s="220" t="s">
        <v>362</v>
      </c>
      <c r="B348" s="164">
        <v>46101</v>
      </c>
      <c r="C348" s="212">
        <v>46082</v>
      </c>
      <c r="D348" s="134" t="s">
        <v>410</v>
      </c>
      <c r="E348" s="134" t="s">
        <v>1696</v>
      </c>
      <c r="F348" s="89" t="s">
        <v>6</v>
      </c>
      <c r="G348" s="134" t="s">
        <v>2063</v>
      </c>
      <c r="H348" s="134" t="s">
        <v>2066</v>
      </c>
      <c r="I348" s="284" t="s">
        <v>3267</v>
      </c>
      <c r="J348" s="285">
        <v>4.1666666666666664E-2</v>
      </c>
      <c r="K348" s="220" t="s">
        <v>362</v>
      </c>
      <c r="L348" s="220" t="s">
        <v>362</v>
      </c>
      <c r="M348" s="220" t="s">
        <v>362</v>
      </c>
      <c r="N348" s="220" t="s">
        <v>362</v>
      </c>
      <c r="O348" s="220" t="s">
        <v>362</v>
      </c>
    </row>
    <row r="349" spans="1:15" x14ac:dyDescent="0.25">
      <c r="A349" s="220" t="s">
        <v>362</v>
      </c>
      <c r="B349" s="164">
        <v>46101</v>
      </c>
      <c r="C349" s="212">
        <v>46082</v>
      </c>
      <c r="D349" s="134" t="s">
        <v>1780</v>
      </c>
      <c r="E349" s="134" t="s">
        <v>1696</v>
      </c>
      <c r="F349" s="89" t="s">
        <v>6</v>
      </c>
      <c r="G349" s="163" t="s">
        <v>2067</v>
      </c>
      <c r="H349" s="134" t="s">
        <v>3274</v>
      </c>
      <c r="I349" s="284" t="s">
        <v>3267</v>
      </c>
      <c r="J349" s="285">
        <v>7.2916666666666671E-2</v>
      </c>
      <c r="K349" s="220" t="s">
        <v>362</v>
      </c>
      <c r="L349" s="220" t="s">
        <v>362</v>
      </c>
      <c r="M349" s="220" t="s">
        <v>362</v>
      </c>
      <c r="N349" s="220" t="s">
        <v>362</v>
      </c>
      <c r="O349" s="220" t="s">
        <v>362</v>
      </c>
    </row>
    <row r="350" spans="1:15" x14ac:dyDescent="0.25">
      <c r="A350" s="220" t="s">
        <v>362</v>
      </c>
      <c r="B350" s="164">
        <v>46101</v>
      </c>
      <c r="C350" s="212">
        <v>46082</v>
      </c>
      <c r="D350" s="134" t="s">
        <v>1816</v>
      </c>
      <c r="E350" s="134" t="s">
        <v>1696</v>
      </c>
      <c r="F350" s="89" t="s">
        <v>6</v>
      </c>
      <c r="G350" s="134" t="s">
        <v>2068</v>
      </c>
      <c r="H350" s="134" t="s">
        <v>3275</v>
      </c>
      <c r="I350" s="284" t="s">
        <v>3267</v>
      </c>
      <c r="J350" s="285">
        <v>4.1666666666666664E-2</v>
      </c>
      <c r="K350" s="220" t="s">
        <v>362</v>
      </c>
      <c r="L350" s="220" t="s">
        <v>362</v>
      </c>
      <c r="M350" s="220" t="s">
        <v>362</v>
      </c>
      <c r="N350" s="220" t="s">
        <v>362</v>
      </c>
      <c r="O350" s="220" t="s">
        <v>362</v>
      </c>
    </row>
    <row r="351" spans="1:15" x14ac:dyDescent="0.25">
      <c r="B351" s="164">
        <v>46101</v>
      </c>
      <c r="C351" s="212">
        <v>46082</v>
      </c>
      <c r="D351" s="134" t="s">
        <v>2069</v>
      </c>
      <c r="E351" s="134" t="s">
        <v>1696</v>
      </c>
      <c r="F351" s="89" t="s">
        <v>6</v>
      </c>
      <c r="G351" s="134" t="s">
        <v>2070</v>
      </c>
      <c r="H351" s="233" t="s">
        <v>3276</v>
      </c>
      <c r="I351" s="284" t="s">
        <v>3267</v>
      </c>
      <c r="J351" s="285">
        <v>4.1666666666666664E-2</v>
      </c>
    </row>
    <row r="352" spans="1:15" x14ac:dyDescent="0.25">
      <c r="B352" s="164">
        <v>46101</v>
      </c>
      <c r="C352" s="212">
        <v>46082</v>
      </c>
      <c r="D352" s="134" t="s">
        <v>410</v>
      </c>
      <c r="E352" s="134" t="s">
        <v>1696</v>
      </c>
      <c r="F352" s="89" t="s">
        <v>6</v>
      </c>
      <c r="G352" s="134" t="s">
        <v>2063</v>
      </c>
      <c r="H352" s="134" t="s">
        <v>2066</v>
      </c>
      <c r="I352" s="284" t="s">
        <v>3267</v>
      </c>
      <c r="J352" s="285">
        <v>4.1666666666666664E-2</v>
      </c>
    </row>
    <row r="353" spans="2:10" x14ac:dyDescent="0.25">
      <c r="B353" s="164">
        <v>46101</v>
      </c>
      <c r="C353" s="212">
        <v>46082</v>
      </c>
      <c r="D353" s="233" t="s">
        <v>2058</v>
      </c>
      <c r="E353" s="134" t="s">
        <v>1696</v>
      </c>
      <c r="F353" s="89" t="s">
        <v>6</v>
      </c>
      <c r="G353" s="134" t="s">
        <v>2071</v>
      </c>
      <c r="H353" s="134" t="s">
        <v>3373</v>
      </c>
      <c r="I353" s="284" t="s">
        <v>3267</v>
      </c>
      <c r="J353" s="285">
        <v>4.1666666666666664E-2</v>
      </c>
    </row>
    <row r="354" spans="2:10" x14ac:dyDescent="0.25">
      <c r="B354" s="164">
        <v>46101</v>
      </c>
      <c r="C354" s="212">
        <v>46082</v>
      </c>
      <c r="D354" s="134" t="s">
        <v>410</v>
      </c>
      <c r="E354" s="134" t="s">
        <v>1696</v>
      </c>
      <c r="F354" s="89" t="s">
        <v>6</v>
      </c>
      <c r="G354" s="134" t="s">
        <v>3251</v>
      </c>
      <c r="H354" s="134" t="s">
        <v>2066</v>
      </c>
      <c r="I354" s="284" t="s">
        <v>3267</v>
      </c>
      <c r="J354" s="285">
        <v>4.1666666666666664E-2</v>
      </c>
    </row>
    <row r="355" spans="2:10" x14ac:dyDescent="0.25">
      <c r="B355" s="164">
        <v>46104</v>
      </c>
      <c r="C355" s="212">
        <v>46082</v>
      </c>
      <c r="D355" s="233" t="s">
        <v>1816</v>
      </c>
      <c r="E355" s="134" t="s">
        <v>1696</v>
      </c>
      <c r="F355" s="89" t="s">
        <v>6</v>
      </c>
      <c r="G355" s="134" t="s">
        <v>3242</v>
      </c>
      <c r="H355" s="134" t="s">
        <v>3275</v>
      </c>
      <c r="I355" s="284" t="s">
        <v>3267</v>
      </c>
      <c r="J355" s="285">
        <v>4.1666666666666664E-2</v>
      </c>
    </row>
    <row r="356" spans="2:10" x14ac:dyDescent="0.25">
      <c r="B356" s="164">
        <v>46104</v>
      </c>
      <c r="C356" s="212">
        <v>46082</v>
      </c>
      <c r="D356" s="233" t="s">
        <v>410</v>
      </c>
      <c r="E356" s="134" t="s">
        <v>1696</v>
      </c>
      <c r="F356" s="89" t="s">
        <v>6</v>
      </c>
      <c r="G356" s="134" t="s">
        <v>3251</v>
      </c>
      <c r="H356" s="134" t="s">
        <v>2066</v>
      </c>
      <c r="I356" s="284" t="s">
        <v>3267</v>
      </c>
      <c r="J356" s="285">
        <v>4.1666666666666664E-2</v>
      </c>
    </row>
    <row r="357" spans="2:10" x14ac:dyDescent="0.25">
      <c r="B357" s="164">
        <v>46104</v>
      </c>
      <c r="C357" s="212">
        <v>46082</v>
      </c>
      <c r="D357" s="233" t="s">
        <v>1780</v>
      </c>
      <c r="E357" s="134" t="s">
        <v>1696</v>
      </c>
      <c r="F357" s="89" t="s">
        <v>6</v>
      </c>
      <c r="G357" s="134" t="s">
        <v>3258</v>
      </c>
      <c r="H357" s="134" t="s">
        <v>3285</v>
      </c>
      <c r="I357" s="284" t="s">
        <v>3267</v>
      </c>
      <c r="J357" s="285">
        <v>2.0833333333333332E-2</v>
      </c>
    </row>
    <row r="358" spans="2:10" x14ac:dyDescent="0.25">
      <c r="B358" s="164">
        <v>46105</v>
      </c>
      <c r="C358" s="212">
        <v>46082</v>
      </c>
      <c r="D358" s="134" t="s">
        <v>406</v>
      </c>
      <c r="E358" s="134" t="s">
        <v>1696</v>
      </c>
      <c r="F358" s="89" t="s">
        <v>6</v>
      </c>
      <c r="G358" s="134" t="s">
        <v>1911</v>
      </c>
      <c r="H358" s="134" t="s">
        <v>3272</v>
      </c>
      <c r="I358" s="284" t="s">
        <v>3267</v>
      </c>
      <c r="J358" s="285">
        <v>4.1666666666666664E-2</v>
      </c>
    </row>
    <row r="359" spans="2:10" x14ac:dyDescent="0.25">
      <c r="B359" s="164">
        <v>46105</v>
      </c>
      <c r="C359" s="212">
        <v>46082</v>
      </c>
      <c r="D359" s="233" t="s">
        <v>410</v>
      </c>
      <c r="E359" s="233" t="s">
        <v>1696</v>
      </c>
      <c r="F359" s="89" t="s">
        <v>6</v>
      </c>
      <c r="G359" s="134" t="s">
        <v>3309</v>
      </c>
      <c r="H359" s="233" t="s">
        <v>3316</v>
      </c>
      <c r="I359" s="228" t="s">
        <v>3267</v>
      </c>
      <c r="J359" s="332">
        <v>0.16666666666666666</v>
      </c>
    </row>
    <row r="360" spans="2:10" x14ac:dyDescent="0.25">
      <c r="B360" s="164">
        <v>46106</v>
      </c>
      <c r="C360" s="212">
        <v>46082</v>
      </c>
      <c r="D360" s="233" t="s">
        <v>410</v>
      </c>
      <c r="E360" s="233" t="s">
        <v>1696</v>
      </c>
      <c r="F360" s="89" t="s">
        <v>6</v>
      </c>
      <c r="G360" s="134" t="s">
        <v>3309</v>
      </c>
      <c r="H360" s="233" t="s">
        <v>3316</v>
      </c>
      <c r="I360" s="228" t="s">
        <v>3267</v>
      </c>
      <c r="J360" s="332">
        <v>0.33333333333333331</v>
      </c>
    </row>
    <row r="361" spans="2:10" x14ac:dyDescent="0.25">
      <c r="B361" s="164">
        <v>46107</v>
      </c>
      <c r="C361" s="212">
        <v>46082</v>
      </c>
      <c r="D361" s="233" t="s">
        <v>410</v>
      </c>
      <c r="E361" s="233" t="s">
        <v>1696</v>
      </c>
      <c r="F361" s="89" t="s">
        <v>6</v>
      </c>
      <c r="G361" s="134" t="s">
        <v>3309</v>
      </c>
      <c r="H361" s="233" t="s">
        <v>3316</v>
      </c>
      <c r="I361" s="228" t="s">
        <v>3267</v>
      </c>
      <c r="J361" s="332">
        <v>0.33333333333333331</v>
      </c>
    </row>
    <row r="362" spans="2:10" x14ac:dyDescent="0.25">
      <c r="B362" s="164">
        <v>46108</v>
      </c>
      <c r="C362" s="212">
        <v>46082</v>
      </c>
      <c r="D362" s="233" t="s">
        <v>410</v>
      </c>
      <c r="E362" s="233" t="s">
        <v>1696</v>
      </c>
      <c r="F362" s="89" t="s">
        <v>6</v>
      </c>
      <c r="G362" s="134" t="s">
        <v>3309</v>
      </c>
      <c r="H362" s="233" t="s">
        <v>3316</v>
      </c>
      <c r="I362" s="228" t="s">
        <v>3267</v>
      </c>
      <c r="J362" s="332">
        <v>0.29166666666666669</v>
      </c>
    </row>
    <row r="363" spans="2:10" x14ac:dyDescent="0.25">
      <c r="B363" s="46">
        <v>46111</v>
      </c>
      <c r="C363" s="212">
        <v>46082</v>
      </c>
      <c r="D363" s="233" t="s">
        <v>332</v>
      </c>
      <c r="E363" s="233" t="s">
        <v>1696</v>
      </c>
      <c r="F363" s="89" t="s">
        <v>6</v>
      </c>
      <c r="G363" s="134" t="s">
        <v>3559</v>
      </c>
      <c r="H363" s="229"/>
      <c r="I363" s="228"/>
      <c r="J363" s="228"/>
    </row>
    <row r="364" spans="2:10" x14ac:dyDescent="0.25">
      <c r="B364" s="228"/>
      <c r="C364" s="228"/>
      <c r="D364" s="233"/>
      <c r="E364" s="233" t="s">
        <v>1696</v>
      </c>
      <c r="G364" s="134"/>
      <c r="H364" s="229"/>
      <c r="I364" s="228"/>
      <c r="J364" s="228"/>
    </row>
    <row r="365" spans="2:10" x14ac:dyDescent="0.25">
      <c r="B365" s="228"/>
      <c r="C365" s="228"/>
      <c r="D365" s="233"/>
      <c r="E365" s="233" t="s">
        <v>1696</v>
      </c>
      <c r="G365" s="134"/>
      <c r="H365" s="229"/>
      <c r="I365" s="228"/>
      <c r="J365" s="228"/>
    </row>
    <row r="366" spans="2:10" x14ac:dyDescent="0.25">
      <c r="B366" s="228"/>
      <c r="C366" s="228"/>
      <c r="D366" s="233"/>
      <c r="E366" s="229"/>
      <c r="G366" s="134"/>
      <c r="H366" s="229"/>
      <c r="I366" s="228"/>
      <c r="J366" s="228"/>
    </row>
    <row r="367" spans="2:10" x14ac:dyDescent="0.25">
      <c r="B367" s="228"/>
      <c r="C367" s="228"/>
      <c r="D367" s="233"/>
      <c r="E367" s="229"/>
      <c r="G367" s="134"/>
      <c r="H367" s="229"/>
      <c r="I367" s="228"/>
      <c r="J367" s="228"/>
    </row>
    <row r="368" spans="2:10" x14ac:dyDescent="0.25">
      <c r="B368" s="228"/>
      <c r="C368" s="228"/>
      <c r="D368" s="233"/>
      <c r="E368" s="229"/>
      <c r="G368" s="134"/>
      <c r="H368" s="229"/>
      <c r="I368" s="228"/>
      <c r="J368" s="228"/>
    </row>
    <row r="369" spans="2:10" x14ac:dyDescent="0.25">
      <c r="B369" s="228"/>
      <c r="C369" s="228"/>
      <c r="D369" s="233"/>
      <c r="E369" s="229"/>
      <c r="G369" s="134"/>
      <c r="H369" s="229"/>
      <c r="I369" s="228"/>
      <c r="J369" s="228"/>
    </row>
    <row r="370" spans="2:10" x14ac:dyDescent="0.25">
      <c r="B370" s="228"/>
      <c r="C370" s="228"/>
      <c r="D370" s="233"/>
      <c r="E370" s="229"/>
      <c r="G370" s="134"/>
      <c r="H370" s="229"/>
      <c r="I370" s="228"/>
      <c r="J370" s="228"/>
    </row>
    <row r="371" spans="2:10" x14ac:dyDescent="0.25">
      <c r="B371" s="228"/>
      <c r="C371" s="228"/>
      <c r="D371" s="233"/>
      <c r="E371" s="229"/>
      <c r="G371" s="134"/>
      <c r="H371" s="229"/>
      <c r="I371" s="228"/>
      <c r="J371" s="228"/>
    </row>
    <row r="372" spans="2:10" x14ac:dyDescent="0.25">
      <c r="B372" s="228"/>
      <c r="C372" s="228"/>
      <c r="D372" s="233"/>
      <c r="E372" s="229"/>
      <c r="G372" s="134"/>
      <c r="H372" s="229"/>
      <c r="I372" s="228"/>
      <c r="J372" s="228"/>
    </row>
    <row r="373" spans="2:10" x14ac:dyDescent="0.25">
      <c r="B373" s="228"/>
      <c r="C373" s="228"/>
      <c r="D373" s="233"/>
      <c r="E373" s="229"/>
      <c r="G373" s="134"/>
      <c r="H373" s="229"/>
      <c r="I373" s="228"/>
      <c r="J373" s="228"/>
    </row>
    <row r="374" spans="2:10" x14ac:dyDescent="0.25">
      <c r="B374" s="228"/>
      <c r="C374" s="228"/>
      <c r="D374" s="233"/>
      <c r="E374" s="229"/>
      <c r="G374" s="134"/>
      <c r="H374" s="229"/>
      <c r="I374" s="228"/>
      <c r="J374" s="228"/>
    </row>
    <row r="375" spans="2:10" x14ac:dyDescent="0.25">
      <c r="B375" s="228"/>
      <c r="C375" s="228"/>
      <c r="D375" s="233"/>
      <c r="E375" s="229"/>
      <c r="G375" s="134"/>
      <c r="H375" s="229"/>
      <c r="I375" s="228"/>
      <c r="J375" s="228"/>
    </row>
    <row r="376" spans="2:10" x14ac:dyDescent="0.25">
      <c r="B376" s="228"/>
      <c r="C376" s="228"/>
      <c r="D376" s="233"/>
      <c r="E376" s="229"/>
      <c r="G376" s="134"/>
      <c r="H376" s="229"/>
      <c r="I376" s="228"/>
      <c r="J376" s="228"/>
    </row>
    <row r="377" spans="2:10" x14ac:dyDescent="0.25">
      <c r="B377" s="228"/>
      <c r="C377" s="228"/>
      <c r="D377" s="233"/>
      <c r="E377" s="229"/>
      <c r="G377" s="134"/>
      <c r="H377" s="229"/>
      <c r="I377" s="228"/>
      <c r="J377" s="228"/>
    </row>
    <row r="378" spans="2:10" x14ac:dyDescent="0.25">
      <c r="B378" s="228"/>
      <c r="C378" s="228"/>
      <c r="D378" s="233"/>
      <c r="E378" s="229"/>
      <c r="G378" s="134"/>
      <c r="H378" s="229"/>
      <c r="I378" s="228"/>
      <c r="J378" s="228"/>
    </row>
    <row r="379" spans="2:10" x14ac:dyDescent="0.25">
      <c r="B379" s="228"/>
      <c r="C379" s="228"/>
      <c r="D379" s="233"/>
      <c r="E379" s="229"/>
      <c r="G379" s="134"/>
      <c r="H379" s="229"/>
      <c r="I379" s="228"/>
      <c r="J379" s="228"/>
    </row>
    <row r="380" spans="2:10" x14ac:dyDescent="0.25">
      <c r="B380" s="228"/>
      <c r="C380" s="228"/>
      <c r="D380" s="233"/>
      <c r="E380" s="229"/>
      <c r="G380" s="134"/>
      <c r="H380" s="229"/>
      <c r="I380" s="228"/>
      <c r="J380" s="228"/>
    </row>
    <row r="381" spans="2:10" x14ac:dyDescent="0.25">
      <c r="B381" s="228"/>
      <c r="C381" s="228"/>
      <c r="D381" s="233"/>
      <c r="E381" s="229"/>
      <c r="G381" s="134"/>
      <c r="H381" s="229"/>
      <c r="I381" s="228"/>
      <c r="J381" s="228"/>
    </row>
    <row r="382" spans="2:10" x14ac:dyDescent="0.25">
      <c r="B382" s="228"/>
      <c r="C382" s="228"/>
      <c r="D382" s="233"/>
      <c r="E382" s="229"/>
      <c r="G382" s="134"/>
      <c r="H382" s="229"/>
      <c r="I382" s="228"/>
      <c r="J382" s="228"/>
    </row>
    <row r="383" spans="2:10" x14ac:dyDescent="0.25">
      <c r="B383" s="228"/>
      <c r="C383" s="228"/>
      <c r="D383" s="233"/>
      <c r="E383" s="229"/>
      <c r="G383" s="134"/>
      <c r="H383" s="229"/>
      <c r="I383" s="228"/>
      <c r="J383" s="228"/>
    </row>
    <row r="384" spans="2:10" x14ac:dyDescent="0.25">
      <c r="B384" s="228"/>
      <c r="C384" s="228"/>
      <c r="D384" s="233"/>
      <c r="E384" s="229"/>
      <c r="G384" s="134"/>
      <c r="H384" s="229"/>
      <c r="I384" s="228"/>
      <c r="J384" s="228"/>
    </row>
    <row r="385" spans="2:10" x14ac:dyDescent="0.25">
      <c r="B385" s="228"/>
      <c r="C385" s="228"/>
      <c r="D385" s="233"/>
      <c r="E385" s="229"/>
      <c r="G385" s="134"/>
      <c r="H385" s="229"/>
      <c r="I385" s="228"/>
      <c r="J385" s="228"/>
    </row>
    <row r="386" spans="2:10" x14ac:dyDescent="0.25">
      <c r="B386" s="228"/>
      <c r="C386" s="228"/>
      <c r="D386" s="233"/>
      <c r="E386" s="229"/>
      <c r="G386" s="134"/>
      <c r="H386" s="229"/>
      <c r="I386" s="228"/>
      <c r="J386" s="228"/>
    </row>
    <row r="387" spans="2:10" x14ac:dyDescent="0.25">
      <c r="B387" s="228"/>
      <c r="C387" s="228"/>
      <c r="D387" s="233"/>
      <c r="E387" s="229"/>
      <c r="G387" s="134"/>
      <c r="H387" s="229"/>
      <c r="I387" s="228"/>
      <c r="J387" s="228"/>
    </row>
    <row r="388" spans="2:10" x14ac:dyDescent="0.25">
      <c r="B388" s="228"/>
      <c r="C388" s="228"/>
      <c r="D388" s="233"/>
      <c r="E388" s="229"/>
      <c r="G388" s="134"/>
      <c r="H388" s="229"/>
      <c r="I388" s="228"/>
      <c r="J388" s="228"/>
    </row>
    <row r="389" spans="2:10" x14ac:dyDescent="0.25">
      <c r="B389" s="228"/>
      <c r="C389" s="228"/>
      <c r="D389" s="233"/>
      <c r="E389" s="229"/>
      <c r="G389" s="134"/>
      <c r="H389" s="229"/>
      <c r="I389" s="228"/>
      <c r="J389" s="228"/>
    </row>
    <row r="390" spans="2:10" x14ac:dyDescent="0.25">
      <c r="B390" s="228"/>
      <c r="C390" s="228"/>
      <c r="D390" s="233"/>
      <c r="E390" s="229"/>
      <c r="G390" s="134"/>
      <c r="H390" s="229"/>
      <c r="I390" s="228"/>
      <c r="J390" s="228"/>
    </row>
    <row r="391" spans="2:10" x14ac:dyDescent="0.25">
      <c r="B391" s="228"/>
      <c r="C391" s="228"/>
      <c r="D391" s="233"/>
      <c r="E391" s="229"/>
      <c r="G391" s="134"/>
      <c r="H391" s="229"/>
      <c r="I391" s="228"/>
      <c r="J391" s="228"/>
    </row>
    <row r="392" spans="2:10" x14ac:dyDescent="0.25">
      <c r="B392" s="228"/>
      <c r="C392" s="228"/>
      <c r="D392" s="233"/>
      <c r="E392" s="229"/>
      <c r="G392" s="134"/>
      <c r="H392" s="229"/>
      <c r="I392" s="228"/>
      <c r="J392" s="228"/>
    </row>
    <row r="393" spans="2:10" x14ac:dyDescent="0.25">
      <c r="B393" s="228"/>
      <c r="C393" s="228"/>
      <c r="D393" s="233"/>
      <c r="E393" s="229"/>
      <c r="G393" s="134"/>
      <c r="H393" s="229"/>
      <c r="I393" s="228"/>
      <c r="J393" s="228"/>
    </row>
    <row r="394" spans="2:10" x14ac:dyDescent="0.25">
      <c r="B394" s="228"/>
      <c r="C394" s="228"/>
      <c r="D394" s="233"/>
      <c r="E394" s="229"/>
      <c r="G394" s="134"/>
      <c r="H394" s="229"/>
      <c r="I394" s="228"/>
      <c r="J394" s="228"/>
    </row>
    <row r="395" spans="2:10" x14ac:dyDescent="0.25">
      <c r="B395" s="228"/>
      <c r="C395" s="228"/>
      <c r="D395" s="233"/>
      <c r="E395" s="229"/>
      <c r="G395" s="134"/>
      <c r="H395" s="229"/>
      <c r="I395" s="228"/>
      <c r="J395" s="228"/>
    </row>
    <row r="396" spans="2:10" x14ac:dyDescent="0.25">
      <c r="B396" s="228"/>
      <c r="C396" s="228"/>
      <c r="D396" s="233"/>
      <c r="E396" s="229"/>
      <c r="G396" s="134"/>
      <c r="H396" s="229"/>
      <c r="I396" s="228"/>
      <c r="J396" s="228"/>
    </row>
    <row r="397" spans="2:10" x14ac:dyDescent="0.25">
      <c r="B397" s="228"/>
      <c r="C397" s="228"/>
      <c r="D397" s="233"/>
      <c r="E397" s="229"/>
      <c r="G397" s="134"/>
      <c r="H397" s="229"/>
      <c r="I397" s="228"/>
      <c r="J397" s="228"/>
    </row>
    <row r="398" spans="2:10" x14ac:dyDescent="0.25">
      <c r="B398" s="228"/>
      <c r="C398" s="228"/>
      <c r="D398" s="233"/>
      <c r="E398" s="229"/>
      <c r="G398" s="134"/>
      <c r="H398" s="229"/>
    </row>
    <row r="399" spans="2:10" x14ac:dyDescent="0.25">
      <c r="B399" s="228"/>
      <c r="C399" s="228"/>
      <c r="D399" s="233"/>
      <c r="E399" s="229"/>
      <c r="G399" s="134"/>
      <c r="H399" s="229"/>
    </row>
    <row r="400" spans="2:10" x14ac:dyDescent="0.25">
      <c r="B400" s="228"/>
      <c r="C400" s="228"/>
      <c r="D400" s="233"/>
      <c r="E400" s="229"/>
      <c r="G400" s="134"/>
      <c r="H400" s="229"/>
    </row>
    <row r="401" spans="2:8" x14ac:dyDescent="0.25">
      <c r="B401" s="228"/>
      <c r="C401" s="228"/>
      <c r="D401" s="233"/>
      <c r="E401" s="229"/>
      <c r="G401" s="134"/>
      <c r="H401" s="229"/>
    </row>
    <row r="402" spans="2:8" x14ac:dyDescent="0.25">
      <c r="B402" s="228"/>
      <c r="C402" s="228"/>
      <c r="D402" s="233"/>
      <c r="E402" s="229"/>
      <c r="G402" s="134"/>
      <c r="H402" s="229"/>
    </row>
    <row r="403" spans="2:8" x14ac:dyDescent="0.25">
      <c r="B403" s="228"/>
      <c r="C403" s="228"/>
      <c r="D403" s="233"/>
      <c r="E403" s="229"/>
      <c r="G403" s="134"/>
      <c r="H403" s="229"/>
    </row>
    <row r="404" spans="2:8" x14ac:dyDescent="0.25">
      <c r="B404" s="228"/>
      <c r="C404" s="228"/>
      <c r="D404" s="233"/>
      <c r="E404" s="229"/>
      <c r="G404" s="134"/>
      <c r="H404" s="229"/>
    </row>
    <row r="405" spans="2:8" x14ac:dyDescent="0.25">
      <c r="B405" s="228"/>
      <c r="C405" s="228"/>
      <c r="D405" s="233"/>
      <c r="E405" s="229"/>
      <c r="G405" s="134"/>
      <c r="H405" s="229"/>
    </row>
    <row r="406" spans="2:8" x14ac:dyDescent="0.25">
      <c r="B406" s="228"/>
      <c r="C406" s="228"/>
      <c r="D406" s="233"/>
      <c r="E406" s="229"/>
      <c r="G406" s="134"/>
      <c r="H406" s="229"/>
    </row>
    <row r="407" spans="2:8" x14ac:dyDescent="0.25">
      <c r="B407" s="228"/>
      <c r="C407" s="228"/>
      <c r="D407" s="233"/>
      <c r="E407" s="229"/>
      <c r="G407" s="134"/>
      <c r="H407" s="229"/>
    </row>
    <row r="408" spans="2:8" x14ac:dyDescent="0.25">
      <c r="B408" s="228"/>
      <c r="C408" s="228"/>
      <c r="D408" s="233"/>
      <c r="E408" s="229"/>
      <c r="G408" s="134"/>
      <c r="H408" s="229"/>
    </row>
    <row r="409" spans="2:8" x14ac:dyDescent="0.25">
      <c r="B409" s="228"/>
      <c r="C409" s="228"/>
      <c r="D409" s="233"/>
      <c r="E409" s="229"/>
      <c r="G409" s="134"/>
      <c r="H409" s="229"/>
    </row>
    <row r="410" spans="2:8" x14ac:dyDescent="0.25">
      <c r="B410" s="228"/>
      <c r="C410" s="228"/>
      <c r="D410" s="233"/>
      <c r="E410" s="229"/>
      <c r="G410" s="134"/>
      <c r="H410" s="229"/>
    </row>
    <row r="411" spans="2:8" x14ac:dyDescent="0.25">
      <c r="B411" s="228"/>
      <c r="C411" s="228"/>
      <c r="D411" s="233"/>
      <c r="E411" s="229"/>
      <c r="G411" s="134"/>
      <c r="H411" s="229"/>
    </row>
    <row r="412" spans="2:8" x14ac:dyDescent="0.25">
      <c r="B412" s="228"/>
      <c r="C412" s="228"/>
      <c r="D412" s="233"/>
      <c r="E412" s="229"/>
      <c r="G412" s="134"/>
      <c r="H412" s="229"/>
    </row>
    <row r="413" spans="2:8" x14ac:dyDescent="0.25">
      <c r="B413" s="228"/>
      <c r="C413" s="228"/>
      <c r="D413" s="233"/>
      <c r="E413" s="229"/>
      <c r="G413" s="134"/>
      <c r="H413" s="229"/>
    </row>
    <row r="414" spans="2:8" x14ac:dyDescent="0.25">
      <c r="B414" s="228"/>
      <c r="C414" s="228"/>
      <c r="D414" s="233"/>
      <c r="E414" s="229"/>
      <c r="G414" s="134"/>
      <c r="H414" s="229"/>
    </row>
    <row r="415" spans="2:8" x14ac:dyDescent="0.25">
      <c r="B415" s="228"/>
      <c r="C415" s="228"/>
      <c r="D415" s="233"/>
      <c r="E415" s="229"/>
      <c r="G415" s="134"/>
      <c r="H415" s="229"/>
    </row>
    <row r="416" spans="2:8" x14ac:dyDescent="0.25">
      <c r="B416" s="228"/>
      <c r="C416" s="228"/>
      <c r="D416" s="233"/>
      <c r="E416" s="229"/>
      <c r="G416" s="134"/>
      <c r="H416" s="229"/>
    </row>
    <row r="417" spans="2:8" x14ac:dyDescent="0.25">
      <c r="B417" s="228"/>
      <c r="C417" s="228"/>
      <c r="D417" s="233"/>
      <c r="E417" s="229"/>
      <c r="G417" s="134"/>
      <c r="H417" s="229"/>
    </row>
    <row r="418" spans="2:8" x14ac:dyDescent="0.25">
      <c r="B418" s="228"/>
      <c r="C418" s="228"/>
      <c r="D418" s="233"/>
      <c r="E418" s="229"/>
      <c r="G418" s="134"/>
      <c r="H418" s="229"/>
    </row>
    <row r="419" spans="2:8" x14ac:dyDescent="0.25">
      <c r="B419" s="228"/>
      <c r="C419" s="228"/>
      <c r="D419" s="233"/>
      <c r="E419" s="229"/>
      <c r="G419" s="134"/>
      <c r="H419" s="229"/>
    </row>
    <row r="420" spans="2:8" x14ac:dyDescent="0.25">
      <c r="B420" s="228"/>
      <c r="C420" s="228"/>
      <c r="D420" s="233"/>
      <c r="E420" s="229"/>
      <c r="G420" s="134"/>
      <c r="H420" s="229"/>
    </row>
    <row r="421" spans="2:8" x14ac:dyDescent="0.25">
      <c r="B421" s="228"/>
      <c r="C421" s="228"/>
      <c r="D421" s="233"/>
      <c r="E421" s="229"/>
      <c r="G421" s="134"/>
      <c r="H421" s="229"/>
    </row>
    <row r="422" spans="2:8" x14ac:dyDescent="0.25">
      <c r="B422" s="228"/>
      <c r="C422" s="228"/>
      <c r="D422" s="233"/>
      <c r="E422" s="229"/>
      <c r="G422" s="134"/>
      <c r="H422" s="229"/>
    </row>
    <row r="423" spans="2:8" x14ac:dyDescent="0.25">
      <c r="B423" s="228"/>
      <c r="C423" s="228"/>
      <c r="D423" s="233"/>
      <c r="E423" s="229"/>
      <c r="G423" s="134"/>
      <c r="H423" s="229"/>
    </row>
    <row r="424" spans="2:8" x14ac:dyDescent="0.25">
      <c r="B424" s="228"/>
      <c r="C424" s="228"/>
      <c r="D424" s="233"/>
      <c r="E424" s="229"/>
      <c r="G424" s="134"/>
      <c r="H424" s="229"/>
    </row>
    <row r="425" spans="2:8" x14ac:dyDescent="0.25">
      <c r="B425" s="228"/>
      <c r="C425" s="228"/>
      <c r="D425" s="233"/>
      <c r="E425" s="229"/>
      <c r="G425" s="134"/>
      <c r="H425" s="229"/>
    </row>
    <row r="426" spans="2:8" x14ac:dyDescent="0.25">
      <c r="B426" s="228"/>
      <c r="C426" s="228"/>
      <c r="D426" s="233"/>
      <c r="E426" s="229"/>
      <c r="G426" s="134"/>
      <c r="H426" s="229"/>
    </row>
    <row r="427" spans="2:8" x14ac:dyDescent="0.25">
      <c r="B427" s="228"/>
      <c r="C427" s="228"/>
      <c r="D427" s="233"/>
      <c r="E427" s="229"/>
      <c r="G427" s="134"/>
      <c r="H427" s="229"/>
    </row>
    <row r="428" spans="2:8" x14ac:dyDescent="0.25">
      <c r="B428" s="228"/>
      <c r="C428" s="228"/>
      <c r="D428" s="233"/>
      <c r="E428" s="229"/>
      <c r="G428" s="134"/>
      <c r="H428" s="229"/>
    </row>
    <row r="429" spans="2:8" x14ac:dyDescent="0.25">
      <c r="B429" s="228"/>
      <c r="C429" s="228"/>
      <c r="D429" s="233"/>
      <c r="E429" s="229"/>
      <c r="G429" s="134"/>
      <c r="H429" s="229"/>
    </row>
    <row r="430" spans="2:8" x14ac:dyDescent="0.25">
      <c r="B430" s="228"/>
      <c r="C430" s="228"/>
      <c r="D430" s="233"/>
      <c r="E430" s="229"/>
      <c r="G430" s="134"/>
      <c r="H430" s="229"/>
    </row>
    <row r="431" spans="2:8" x14ac:dyDescent="0.25">
      <c r="B431" s="228"/>
      <c r="C431" s="228"/>
      <c r="D431" s="233"/>
      <c r="E431" s="229"/>
      <c r="G431" s="134"/>
      <c r="H431" s="229"/>
    </row>
    <row r="432" spans="2:8" x14ac:dyDescent="0.25">
      <c r="B432" s="228"/>
      <c r="C432" s="228"/>
      <c r="D432" s="233"/>
      <c r="E432" s="229"/>
      <c r="G432" s="134"/>
      <c r="H432" s="229"/>
    </row>
    <row r="433" spans="2:8" x14ac:dyDescent="0.25">
      <c r="B433" s="228"/>
      <c r="C433" s="228"/>
      <c r="D433" s="233"/>
      <c r="E433" s="229"/>
      <c r="G433" s="134"/>
      <c r="H433" s="229"/>
    </row>
    <row r="434" spans="2:8" x14ac:dyDescent="0.25">
      <c r="B434" s="228"/>
      <c r="C434" s="228"/>
      <c r="D434" s="233"/>
      <c r="E434" s="229"/>
      <c r="G434" s="134"/>
      <c r="H434" s="229"/>
    </row>
    <row r="435" spans="2:8" x14ac:dyDescent="0.25">
      <c r="B435" s="228"/>
      <c r="C435" s="228"/>
      <c r="D435" s="233"/>
      <c r="E435" s="229"/>
      <c r="G435" s="134"/>
      <c r="H435" s="229"/>
    </row>
    <row r="436" spans="2:8" x14ac:dyDescent="0.25">
      <c r="B436" s="228"/>
      <c r="C436" s="228"/>
      <c r="D436" s="233"/>
      <c r="E436" s="229"/>
      <c r="G436" s="134"/>
      <c r="H436" s="229"/>
    </row>
    <row r="437" spans="2:8" x14ac:dyDescent="0.25">
      <c r="B437" s="228"/>
      <c r="C437" s="228"/>
      <c r="D437" s="233"/>
      <c r="E437" s="229"/>
      <c r="G437" s="134"/>
      <c r="H437" s="229"/>
    </row>
    <row r="438" spans="2:8" x14ac:dyDescent="0.25">
      <c r="B438" s="228"/>
      <c r="C438" s="228"/>
      <c r="D438" s="233"/>
      <c r="E438" s="229"/>
      <c r="G438" s="134"/>
      <c r="H438" s="229"/>
    </row>
    <row r="439" spans="2:8" x14ac:dyDescent="0.25">
      <c r="B439" s="228"/>
      <c r="C439" s="228"/>
      <c r="D439" s="233"/>
      <c r="E439" s="229"/>
      <c r="G439" s="134"/>
      <c r="H439" s="229"/>
    </row>
    <row r="440" spans="2:8" x14ac:dyDescent="0.25">
      <c r="B440" s="228"/>
      <c r="C440" s="228"/>
      <c r="D440" s="233"/>
      <c r="E440" s="229"/>
      <c r="G440" s="134"/>
      <c r="H440" s="229"/>
    </row>
    <row r="441" spans="2:8" x14ac:dyDescent="0.25">
      <c r="B441" s="228"/>
      <c r="C441" s="228"/>
      <c r="D441" s="233"/>
      <c r="E441" s="229"/>
      <c r="G441" s="134"/>
      <c r="H441" s="229"/>
    </row>
    <row r="442" spans="2:8" x14ac:dyDescent="0.25">
      <c r="B442" s="228"/>
      <c r="C442" s="228"/>
      <c r="D442" s="233"/>
      <c r="E442" s="229"/>
      <c r="G442" s="134"/>
      <c r="H442" s="229"/>
    </row>
    <row r="443" spans="2:8" x14ac:dyDescent="0.25">
      <c r="B443" s="228"/>
      <c r="C443" s="228"/>
      <c r="D443" s="233"/>
      <c r="E443" s="229"/>
      <c r="G443" s="134"/>
      <c r="H443" s="229"/>
    </row>
    <row r="444" spans="2:8" x14ac:dyDescent="0.25">
      <c r="B444" s="228"/>
      <c r="C444" s="228"/>
      <c r="D444" s="233"/>
      <c r="E444" s="229"/>
      <c r="G444" s="134"/>
      <c r="H444" s="229"/>
    </row>
    <row r="445" spans="2:8" x14ac:dyDescent="0.25">
      <c r="B445" s="228"/>
      <c r="C445" s="228"/>
      <c r="D445" s="233"/>
      <c r="E445" s="229"/>
      <c r="G445" s="134"/>
      <c r="H445" s="229"/>
    </row>
    <row r="446" spans="2:8" x14ac:dyDescent="0.25">
      <c r="B446" s="228"/>
      <c r="C446" s="228"/>
      <c r="D446" s="233"/>
      <c r="E446" s="229"/>
      <c r="G446" s="134"/>
      <c r="H446" s="229"/>
    </row>
    <row r="447" spans="2:8" x14ac:dyDescent="0.25">
      <c r="B447" s="228"/>
      <c r="C447" s="228"/>
      <c r="D447" s="233"/>
      <c r="E447" s="229"/>
      <c r="G447" s="134"/>
      <c r="H447" s="229"/>
    </row>
    <row r="448" spans="2:8" x14ac:dyDescent="0.25">
      <c r="B448" s="228"/>
      <c r="C448" s="228"/>
      <c r="D448" s="233"/>
      <c r="E448" s="229"/>
      <c r="G448" s="134"/>
      <c r="H448" s="229"/>
    </row>
    <row r="449" spans="2:8" x14ac:dyDescent="0.25">
      <c r="B449" s="228"/>
      <c r="C449" s="228"/>
      <c r="D449" s="233"/>
      <c r="E449" s="229"/>
      <c r="G449" s="134"/>
      <c r="H449" s="229"/>
    </row>
    <row r="450" spans="2:8" x14ac:dyDescent="0.25">
      <c r="B450" s="228"/>
      <c r="C450" s="228"/>
      <c r="D450" s="233"/>
      <c r="E450" s="229"/>
      <c r="G450" s="134"/>
      <c r="H450" s="229"/>
    </row>
    <row r="451" spans="2:8" x14ac:dyDescent="0.25">
      <c r="B451" s="228"/>
      <c r="C451" s="228"/>
      <c r="D451" s="233"/>
      <c r="E451" s="229"/>
      <c r="G451" s="134"/>
      <c r="H451" s="229"/>
    </row>
    <row r="452" spans="2:8" x14ac:dyDescent="0.25">
      <c r="B452" s="228"/>
      <c r="C452" s="228"/>
      <c r="D452" s="233"/>
      <c r="E452" s="229"/>
      <c r="G452" s="134"/>
      <c r="H452" s="229"/>
    </row>
    <row r="453" spans="2:8" x14ac:dyDescent="0.25">
      <c r="B453" s="228"/>
      <c r="C453" s="228"/>
      <c r="D453" s="233"/>
      <c r="E453" s="229"/>
      <c r="G453" s="134"/>
      <c r="H453" s="229"/>
    </row>
    <row r="454" spans="2:8" x14ac:dyDescent="0.25">
      <c r="B454" s="228"/>
      <c r="C454" s="228"/>
      <c r="D454" s="233"/>
      <c r="E454" s="229"/>
      <c r="G454" s="134"/>
      <c r="H454" s="229"/>
    </row>
    <row r="455" spans="2:8" x14ac:dyDescent="0.25">
      <c r="B455" s="228"/>
      <c r="C455" s="228"/>
      <c r="D455" s="233"/>
      <c r="E455" s="229"/>
      <c r="G455" s="134"/>
      <c r="H455" s="229"/>
    </row>
    <row r="456" spans="2:8" x14ac:dyDescent="0.25">
      <c r="B456" s="228"/>
      <c r="C456" s="228"/>
      <c r="D456" s="233"/>
      <c r="E456" s="229"/>
      <c r="G456" s="134"/>
      <c r="H456" s="229"/>
    </row>
    <row r="457" spans="2:8" x14ac:dyDescent="0.25">
      <c r="B457" s="228"/>
      <c r="C457" s="228"/>
      <c r="D457" s="233"/>
      <c r="E457" s="229"/>
      <c r="G457" s="134"/>
      <c r="H457" s="229"/>
    </row>
    <row r="458" spans="2:8" x14ac:dyDescent="0.25">
      <c r="B458" s="228"/>
      <c r="C458" s="228"/>
      <c r="D458" s="233"/>
      <c r="E458" s="229"/>
      <c r="G458" s="134"/>
      <c r="H458" s="229"/>
    </row>
    <row r="459" spans="2:8" x14ac:dyDescent="0.25">
      <c r="B459" s="228"/>
      <c r="C459" s="228"/>
      <c r="D459" s="233"/>
      <c r="E459" s="229"/>
      <c r="G459" s="134"/>
      <c r="H459" s="229"/>
    </row>
    <row r="460" spans="2:8" x14ac:dyDescent="0.25">
      <c r="B460" s="228"/>
      <c r="C460" s="228"/>
      <c r="D460" s="233"/>
      <c r="E460" s="229"/>
      <c r="G460" s="134"/>
      <c r="H460" s="229"/>
    </row>
    <row r="461" spans="2:8" x14ac:dyDescent="0.25">
      <c r="B461" s="228"/>
      <c r="C461" s="228"/>
      <c r="D461" s="233"/>
      <c r="E461" s="229"/>
      <c r="G461" s="134"/>
      <c r="H461" s="229"/>
    </row>
    <row r="462" spans="2:8" x14ac:dyDescent="0.25">
      <c r="B462" s="228"/>
      <c r="C462" s="228"/>
      <c r="D462" s="233"/>
      <c r="E462" s="229"/>
      <c r="G462" s="134"/>
      <c r="H462" s="229"/>
    </row>
    <row r="463" spans="2:8" x14ac:dyDescent="0.25">
      <c r="B463" s="228"/>
      <c r="C463" s="228"/>
      <c r="D463" s="233"/>
      <c r="E463" s="229"/>
      <c r="G463" s="134"/>
      <c r="H463" s="229"/>
    </row>
    <row r="464" spans="2:8" x14ac:dyDescent="0.25">
      <c r="B464" s="228"/>
      <c r="C464" s="228"/>
      <c r="D464" s="233"/>
      <c r="E464" s="229"/>
      <c r="G464" s="134"/>
      <c r="H464" s="229"/>
    </row>
    <row r="465" spans="2:8" x14ac:dyDescent="0.25">
      <c r="B465" s="228"/>
      <c r="C465" s="228"/>
      <c r="D465" s="233"/>
      <c r="E465" s="229"/>
      <c r="G465" s="134"/>
      <c r="H465" s="229"/>
    </row>
    <row r="466" spans="2:8" x14ac:dyDescent="0.25">
      <c r="B466" s="228"/>
      <c r="C466" s="228"/>
      <c r="D466" s="233"/>
      <c r="E466" s="229"/>
      <c r="G466" s="134"/>
      <c r="H466" s="229"/>
    </row>
    <row r="467" spans="2:8" x14ac:dyDescent="0.25">
      <c r="B467" s="228"/>
      <c r="C467" s="228"/>
      <c r="D467" s="233"/>
      <c r="E467" s="229"/>
      <c r="G467" s="134"/>
      <c r="H467" s="229"/>
    </row>
    <row r="468" spans="2:8" x14ac:dyDescent="0.25">
      <c r="B468" s="228"/>
      <c r="C468" s="228"/>
      <c r="D468" s="233"/>
      <c r="E468" s="229"/>
      <c r="G468" s="134"/>
      <c r="H468" s="229"/>
    </row>
    <row r="469" spans="2:8" x14ac:dyDescent="0.25">
      <c r="B469" s="228"/>
      <c r="C469" s="228"/>
      <c r="D469" s="233"/>
      <c r="E469" s="229"/>
      <c r="G469" s="134"/>
      <c r="H469" s="229"/>
    </row>
    <row r="470" spans="2:8" x14ac:dyDescent="0.25">
      <c r="B470" s="228"/>
      <c r="C470" s="228"/>
      <c r="D470" s="233"/>
      <c r="E470" s="229"/>
      <c r="G470" s="134"/>
      <c r="H470" s="229"/>
    </row>
    <row r="471" spans="2:8" x14ac:dyDescent="0.25">
      <c r="B471" s="228"/>
      <c r="C471" s="228"/>
      <c r="D471" s="233"/>
      <c r="E471" s="229"/>
      <c r="G471" s="134"/>
      <c r="H471" s="229"/>
    </row>
    <row r="472" spans="2:8" x14ac:dyDescent="0.25">
      <c r="B472" s="228"/>
      <c r="C472" s="228"/>
      <c r="D472" s="233"/>
      <c r="E472" s="229"/>
      <c r="G472" s="134"/>
      <c r="H472" s="229"/>
    </row>
    <row r="473" spans="2:8" x14ac:dyDescent="0.25">
      <c r="B473" s="228"/>
      <c r="C473" s="228"/>
      <c r="D473" s="233"/>
      <c r="E473" s="229"/>
      <c r="G473" s="134"/>
      <c r="H473" s="229"/>
    </row>
    <row r="474" spans="2:8" x14ac:dyDescent="0.25">
      <c r="B474" s="228"/>
      <c r="C474" s="228"/>
      <c r="D474" s="233"/>
      <c r="E474" s="229"/>
      <c r="G474" s="134"/>
      <c r="H474" s="229"/>
    </row>
    <row r="475" spans="2:8" x14ac:dyDescent="0.25">
      <c r="B475" s="228"/>
      <c r="C475" s="228"/>
      <c r="D475" s="233"/>
      <c r="E475" s="229"/>
      <c r="G475" s="134"/>
      <c r="H475" s="229"/>
    </row>
    <row r="476" spans="2:8" x14ac:dyDescent="0.25">
      <c r="B476" s="228"/>
      <c r="C476" s="228"/>
      <c r="D476" s="233"/>
      <c r="E476" s="229"/>
      <c r="G476" s="134"/>
      <c r="H476" s="229"/>
    </row>
    <row r="477" spans="2:8" x14ac:dyDescent="0.25">
      <c r="B477" s="228"/>
      <c r="C477" s="228"/>
      <c r="D477" s="233"/>
      <c r="E477" s="229"/>
      <c r="G477" s="229"/>
      <c r="H477" s="229"/>
    </row>
    <row r="478" spans="2:8" x14ac:dyDescent="0.25">
      <c r="B478" s="228"/>
      <c r="C478" s="228"/>
      <c r="D478" s="233"/>
      <c r="E478" s="229"/>
      <c r="G478" s="229"/>
      <c r="H478" s="229"/>
    </row>
    <row r="479" spans="2:8" x14ac:dyDescent="0.25">
      <c r="B479" s="228"/>
      <c r="C479" s="228"/>
      <c r="D479" s="233"/>
      <c r="E479" s="229"/>
      <c r="G479" s="229"/>
      <c r="H479" s="229"/>
    </row>
    <row r="480" spans="2:8" x14ac:dyDescent="0.25">
      <c r="B480" s="228"/>
      <c r="C480" s="228"/>
      <c r="D480" s="233"/>
      <c r="E480" s="229"/>
      <c r="G480" s="229"/>
      <c r="H480" s="229"/>
    </row>
    <row r="481" spans="4:4" x14ac:dyDescent="0.25">
      <c r="D481" s="233"/>
    </row>
  </sheetData>
  <autoFilter ref="B1:H1" xr:uid="{0AC8B5CF-0707-4E2D-A88E-77D720BE4DA7}"/>
  <conditionalFormatting sqref="F1">
    <cfRule type="cellIs" dxfId="52" priority="1" operator="equal">
      <formula>"WARNING"</formula>
    </cfRule>
    <cfRule type="cellIs" dxfId="51" priority="3" operator="equal">
      <formula>"INC"</formula>
    </cfRule>
  </conditionalFormatting>
  <conditionalFormatting sqref="F1:F2">
    <cfRule type="cellIs" dxfId="50" priority="2" operator="equal">
      <formula>"REQ"</formula>
    </cfRule>
  </conditionalFormatting>
  <conditionalFormatting sqref="F2">
    <cfRule type="cellIs" dxfId="49" priority="8" operator="equal">
      <formula>"INC"</formula>
    </cfRule>
  </conditionalFormatting>
  <conditionalFormatting sqref="F2:F298">
    <cfRule type="cellIs" dxfId="48" priority="4" operator="equal">
      <formula>"WARNING"</formula>
    </cfRule>
    <cfRule type="cellIs" dxfId="47" priority="5" operator="equal">
      <formula>"REQ"</formula>
    </cfRule>
    <cfRule type="cellIs" dxfId="46" priority="6" operator="equal">
      <formula>"INC"</formula>
    </cfRule>
  </conditionalFormatting>
  <pageMargins left="0.3" right="0.3" top="0.3" bottom="0.3" header="0" footer="0"/>
  <pageSetup scale="53" fitToHeight="0" orientation="landscape"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6AD9-3A74-4587-9A86-8719613AD3C5}">
  <sheetPr codeName="Hoja8">
    <tabColor rgb="FFFF0000"/>
    <pageSetUpPr fitToPage="1"/>
  </sheetPr>
  <dimension ref="A1:N388"/>
  <sheetViews>
    <sheetView showGridLines="0" zoomScale="90" zoomScaleNormal="90" workbookViewId="0">
      <pane xSplit="2" topLeftCell="E1" activePane="topRight" state="frozen"/>
      <selection pane="topRight" activeCell="B1" sqref="B1:J1"/>
    </sheetView>
  </sheetViews>
  <sheetFormatPr baseColWidth="10" defaultColWidth="11" defaultRowHeight="17.25" x14ac:dyDescent="0.3"/>
  <cols>
    <col min="1" max="1" width="3.375" style="1" customWidth="1"/>
    <col min="2" max="2" width="13.375" style="102" customWidth="1"/>
    <col min="3" max="3" width="16.875" style="11" customWidth="1"/>
    <col min="4" max="4" width="29.125" style="2" customWidth="1"/>
    <col min="5" max="5" width="20.875" style="2" customWidth="1"/>
    <col min="6" max="6" width="15.125" style="2" bestFit="1" customWidth="1"/>
    <col min="7" max="7" width="61.75" style="2" customWidth="1"/>
    <col min="8" max="8" width="102.5" style="2" customWidth="1"/>
    <col min="9" max="9" width="16.375" style="1" customWidth="1"/>
    <col min="10" max="10" width="11" style="1" customWidth="1"/>
    <col min="11" max="11" width="11" style="375" customWidth="1"/>
    <col min="12" max="12" width="21.5" style="371" customWidth="1"/>
    <col min="13" max="13" width="21.5" style="375" customWidth="1"/>
    <col min="14" max="14" width="11" style="1" customWidth="1"/>
    <col min="15" max="15" width="11" style="2" customWidth="1"/>
    <col min="16" max="16384" width="11" style="2"/>
  </cols>
  <sheetData>
    <row r="1" spans="1:14" s="4" customFormat="1" ht="35.1" customHeight="1" x14ac:dyDescent="0.25">
      <c r="A1" s="3"/>
      <c r="B1" s="8" t="s">
        <v>16</v>
      </c>
      <c r="C1" s="8" t="s">
        <v>17</v>
      </c>
      <c r="D1" s="8" t="s">
        <v>18</v>
      </c>
      <c r="E1" s="8" t="s">
        <v>19</v>
      </c>
      <c r="F1" s="8" t="s">
        <v>20</v>
      </c>
      <c r="G1" s="8" t="s">
        <v>21</v>
      </c>
      <c r="H1" s="8" t="s">
        <v>22</v>
      </c>
      <c r="I1" s="280" t="s">
        <v>3266</v>
      </c>
      <c r="J1" s="280" t="s">
        <v>3269</v>
      </c>
      <c r="K1" s="374"/>
      <c r="L1" s="370"/>
      <c r="M1" s="374"/>
      <c r="N1" s="3"/>
    </row>
    <row r="2" spans="1:14" x14ac:dyDescent="0.3">
      <c r="B2" s="13">
        <v>45726</v>
      </c>
      <c r="C2" s="14" t="s">
        <v>2124</v>
      </c>
      <c r="D2" s="7" t="s">
        <v>2565</v>
      </c>
      <c r="E2" s="7" t="s">
        <v>30</v>
      </c>
      <c r="F2" s="7" t="s">
        <v>6</v>
      </c>
      <c r="G2" s="7" t="s">
        <v>2566</v>
      </c>
      <c r="H2" s="7"/>
    </row>
    <row r="3" spans="1:14" x14ac:dyDescent="0.3">
      <c r="B3" s="13">
        <v>45727</v>
      </c>
      <c r="C3" s="14" t="s">
        <v>2124</v>
      </c>
      <c r="D3" s="7" t="s">
        <v>2565</v>
      </c>
      <c r="E3" s="7" t="s">
        <v>30</v>
      </c>
      <c r="F3" s="7" t="s">
        <v>6</v>
      </c>
      <c r="G3" s="7" t="s">
        <v>2566</v>
      </c>
      <c r="H3" s="7"/>
    </row>
    <row r="4" spans="1:14" x14ac:dyDescent="0.3">
      <c r="B4" s="13">
        <v>45728</v>
      </c>
      <c r="C4" s="14" t="s">
        <v>2124</v>
      </c>
      <c r="D4" s="7" t="s">
        <v>2565</v>
      </c>
      <c r="E4" s="7" t="s">
        <v>30</v>
      </c>
      <c r="F4" s="7" t="s">
        <v>6</v>
      </c>
      <c r="G4" s="7" t="s">
        <v>2566</v>
      </c>
      <c r="H4" s="7"/>
    </row>
    <row r="5" spans="1:14" x14ac:dyDescent="0.3">
      <c r="B5" s="13">
        <v>45729</v>
      </c>
      <c r="C5" s="14" t="s">
        <v>2124</v>
      </c>
      <c r="D5" s="7" t="s">
        <v>2565</v>
      </c>
      <c r="E5" s="7" t="s">
        <v>1816</v>
      </c>
      <c r="F5" s="7" t="s">
        <v>4</v>
      </c>
      <c r="G5" s="7" t="s">
        <v>2567</v>
      </c>
      <c r="H5" s="7"/>
    </row>
    <row r="6" spans="1:14" x14ac:dyDescent="0.3">
      <c r="B6" s="13">
        <v>45730</v>
      </c>
      <c r="C6" s="14" t="s">
        <v>2124</v>
      </c>
      <c r="D6" s="7" t="s">
        <v>2568</v>
      </c>
      <c r="E6" s="7" t="s">
        <v>2569</v>
      </c>
      <c r="F6" s="7" t="s">
        <v>4</v>
      </c>
      <c r="G6" s="7" t="s">
        <v>2570</v>
      </c>
      <c r="H6" s="7"/>
    </row>
    <row r="7" spans="1:14" x14ac:dyDescent="0.3">
      <c r="B7" s="13">
        <v>45733</v>
      </c>
      <c r="C7" s="14" t="s">
        <v>2124</v>
      </c>
      <c r="D7" s="7" t="s">
        <v>2568</v>
      </c>
      <c r="E7" s="7" t="s">
        <v>2569</v>
      </c>
      <c r="F7" s="7" t="s">
        <v>4</v>
      </c>
      <c r="G7" s="7" t="s">
        <v>2570</v>
      </c>
      <c r="H7" s="7"/>
    </row>
    <row r="8" spans="1:14" x14ac:dyDescent="0.3">
      <c r="B8" s="13">
        <v>45734</v>
      </c>
      <c r="C8" s="14" t="s">
        <v>2124</v>
      </c>
      <c r="D8" s="7" t="s">
        <v>2568</v>
      </c>
      <c r="E8" s="7" t="s">
        <v>2569</v>
      </c>
      <c r="F8" s="7" t="s">
        <v>4</v>
      </c>
      <c r="G8" s="7" t="s">
        <v>2570</v>
      </c>
      <c r="H8" s="7"/>
    </row>
    <row r="9" spans="1:14" x14ac:dyDescent="0.3">
      <c r="B9" s="13">
        <v>45735</v>
      </c>
      <c r="C9" s="14" t="s">
        <v>2124</v>
      </c>
      <c r="D9" s="7" t="s">
        <v>2568</v>
      </c>
      <c r="E9" s="7" t="s">
        <v>2569</v>
      </c>
      <c r="F9" s="7" t="s">
        <v>4</v>
      </c>
      <c r="G9" s="7" t="s">
        <v>2570</v>
      </c>
      <c r="H9" s="7"/>
    </row>
    <row r="10" spans="1:14" x14ac:dyDescent="0.3">
      <c r="B10" s="13">
        <v>45736</v>
      </c>
      <c r="C10" s="14" t="s">
        <v>2124</v>
      </c>
      <c r="D10" s="7" t="s">
        <v>2568</v>
      </c>
      <c r="E10" s="7" t="s">
        <v>2569</v>
      </c>
      <c r="F10" s="7" t="s">
        <v>4</v>
      </c>
      <c r="G10" s="7" t="s">
        <v>2570</v>
      </c>
      <c r="H10" s="7"/>
    </row>
    <row r="11" spans="1:14" x14ac:dyDescent="0.3">
      <c r="B11" s="13">
        <v>45737</v>
      </c>
      <c r="C11" s="14" t="s">
        <v>2124</v>
      </c>
      <c r="D11" s="7" t="s">
        <v>2568</v>
      </c>
      <c r="E11" s="7" t="s">
        <v>2569</v>
      </c>
      <c r="F11" s="7" t="s">
        <v>4</v>
      </c>
      <c r="G11" s="7" t="s">
        <v>2571</v>
      </c>
      <c r="H11" s="7"/>
    </row>
    <row r="12" spans="1:14" x14ac:dyDescent="0.3">
      <c r="B12" s="13">
        <v>45740</v>
      </c>
      <c r="C12" s="14" t="s">
        <v>2124</v>
      </c>
      <c r="D12" s="7" t="s">
        <v>2568</v>
      </c>
      <c r="E12" s="7" t="s">
        <v>2569</v>
      </c>
      <c r="F12" s="7" t="s">
        <v>4</v>
      </c>
      <c r="G12" s="7" t="s">
        <v>2572</v>
      </c>
      <c r="H12" s="7"/>
    </row>
    <row r="13" spans="1:14" x14ac:dyDescent="0.3">
      <c r="B13" s="13">
        <v>45741</v>
      </c>
      <c r="C13" s="14" t="s">
        <v>2124</v>
      </c>
      <c r="D13" s="7" t="s">
        <v>2568</v>
      </c>
      <c r="E13" s="7" t="s">
        <v>2569</v>
      </c>
      <c r="F13" s="7" t="s">
        <v>4</v>
      </c>
      <c r="G13" s="7" t="s">
        <v>2572</v>
      </c>
      <c r="H13" s="7"/>
    </row>
    <row r="14" spans="1:14" x14ac:dyDescent="0.3">
      <c r="B14" s="13">
        <v>45742</v>
      </c>
      <c r="C14" s="14" t="s">
        <v>2124</v>
      </c>
      <c r="D14" s="7" t="s">
        <v>2568</v>
      </c>
      <c r="E14" s="7" t="s">
        <v>2569</v>
      </c>
      <c r="F14" s="7" t="s">
        <v>4</v>
      </c>
      <c r="G14" s="7" t="s">
        <v>2573</v>
      </c>
      <c r="H14" s="7"/>
    </row>
    <row r="15" spans="1:14" x14ac:dyDescent="0.3">
      <c r="B15" s="13">
        <v>45743</v>
      </c>
      <c r="C15" s="14" t="s">
        <v>2124</v>
      </c>
      <c r="D15" s="7" t="s">
        <v>2568</v>
      </c>
      <c r="E15" s="7" t="s">
        <v>2569</v>
      </c>
      <c r="F15" s="7" t="s">
        <v>4</v>
      </c>
      <c r="G15" s="7" t="s">
        <v>2574</v>
      </c>
      <c r="H15" s="7"/>
    </row>
    <row r="16" spans="1:14" x14ac:dyDescent="0.3">
      <c r="B16" s="13">
        <v>45744</v>
      </c>
      <c r="C16" s="14" t="s">
        <v>2124</v>
      </c>
      <c r="D16" s="7" t="s">
        <v>2568</v>
      </c>
      <c r="E16" s="7" t="s">
        <v>2569</v>
      </c>
      <c r="F16" s="7" t="s">
        <v>4</v>
      </c>
      <c r="G16" s="7" t="s">
        <v>2575</v>
      </c>
      <c r="H16" s="7"/>
    </row>
    <row r="17" spans="2:8" x14ac:dyDescent="0.3">
      <c r="B17" s="13">
        <v>45747</v>
      </c>
      <c r="C17" s="14" t="s">
        <v>2124</v>
      </c>
      <c r="D17" s="7" t="s">
        <v>2568</v>
      </c>
      <c r="E17" s="7" t="s">
        <v>2569</v>
      </c>
      <c r="F17" s="7" t="s">
        <v>4</v>
      </c>
      <c r="G17" s="7" t="s">
        <v>2576</v>
      </c>
      <c r="H17" s="7"/>
    </row>
    <row r="18" spans="2:8" x14ac:dyDescent="0.3">
      <c r="B18" s="13">
        <v>45741</v>
      </c>
      <c r="C18" s="14" t="s">
        <v>2124</v>
      </c>
      <c r="D18" s="7" t="s">
        <v>2568</v>
      </c>
      <c r="E18" s="7" t="s">
        <v>2569</v>
      </c>
      <c r="F18" s="7" t="s">
        <v>4</v>
      </c>
      <c r="G18" s="7" t="s">
        <v>2577</v>
      </c>
      <c r="H18" s="7"/>
    </row>
    <row r="19" spans="2:8" x14ac:dyDescent="0.3">
      <c r="B19" s="13">
        <v>45742</v>
      </c>
      <c r="C19" s="14" t="s">
        <v>2124</v>
      </c>
      <c r="D19" s="7" t="s">
        <v>2568</v>
      </c>
      <c r="E19" s="7" t="s">
        <v>2569</v>
      </c>
      <c r="F19" s="7" t="s">
        <v>4</v>
      </c>
      <c r="G19" s="7" t="s">
        <v>2577</v>
      </c>
      <c r="H19" s="7"/>
    </row>
    <row r="20" spans="2:8" x14ac:dyDescent="0.3">
      <c r="B20" s="13">
        <v>45743</v>
      </c>
      <c r="C20" s="14" t="s">
        <v>2124</v>
      </c>
      <c r="D20" s="7" t="s">
        <v>2568</v>
      </c>
      <c r="E20" s="7" t="s">
        <v>2569</v>
      </c>
      <c r="F20" s="7" t="s">
        <v>4</v>
      </c>
      <c r="G20" s="7" t="s">
        <v>2578</v>
      </c>
      <c r="H20" s="7"/>
    </row>
    <row r="21" spans="2:8" x14ac:dyDescent="0.3">
      <c r="B21" s="13">
        <v>45744</v>
      </c>
      <c r="C21" s="14" t="s">
        <v>2124</v>
      </c>
      <c r="D21" s="7" t="s">
        <v>2568</v>
      </c>
      <c r="E21" s="7" t="s">
        <v>2569</v>
      </c>
      <c r="F21" s="7" t="s">
        <v>4</v>
      </c>
      <c r="G21" s="7" t="s">
        <v>2579</v>
      </c>
      <c r="H21" s="7"/>
    </row>
    <row r="22" spans="2:8" x14ac:dyDescent="0.3">
      <c r="B22" s="13">
        <v>45747</v>
      </c>
      <c r="C22" s="14" t="s">
        <v>2124</v>
      </c>
      <c r="D22" s="7" t="s">
        <v>2568</v>
      </c>
      <c r="E22" s="7" t="s">
        <v>2569</v>
      </c>
      <c r="F22" s="7" t="s">
        <v>4</v>
      </c>
      <c r="G22" s="7" t="s">
        <v>2580</v>
      </c>
      <c r="H22" s="7"/>
    </row>
    <row r="23" spans="2:8" x14ac:dyDescent="0.3">
      <c r="B23" s="43">
        <v>45748</v>
      </c>
      <c r="C23" s="14" t="s">
        <v>2124</v>
      </c>
      <c r="D23" s="7" t="s">
        <v>2568</v>
      </c>
      <c r="E23" s="7" t="s">
        <v>2569</v>
      </c>
      <c r="F23" s="7" t="s">
        <v>6</v>
      </c>
      <c r="G23" s="7" t="s">
        <v>2581</v>
      </c>
      <c r="H23" s="7"/>
    </row>
    <row r="24" spans="2:8" x14ac:dyDescent="0.3">
      <c r="B24" s="43">
        <v>45749</v>
      </c>
      <c r="C24" s="14" t="s">
        <v>2124</v>
      </c>
      <c r="D24" s="7" t="s">
        <v>2568</v>
      </c>
      <c r="E24" s="7" t="s">
        <v>2569</v>
      </c>
      <c r="F24" s="7" t="s">
        <v>6</v>
      </c>
      <c r="G24" s="7" t="s">
        <v>2581</v>
      </c>
      <c r="H24" s="7"/>
    </row>
    <row r="25" spans="2:8" x14ac:dyDescent="0.3">
      <c r="B25" s="43">
        <v>45750</v>
      </c>
      <c r="C25" s="14" t="s">
        <v>2124</v>
      </c>
      <c r="D25" s="7" t="s">
        <v>2568</v>
      </c>
      <c r="E25" s="7" t="s">
        <v>2569</v>
      </c>
      <c r="F25" s="7" t="s">
        <v>6</v>
      </c>
      <c r="G25" s="7" t="s">
        <v>2581</v>
      </c>
      <c r="H25" s="7"/>
    </row>
    <row r="26" spans="2:8" x14ac:dyDescent="0.3">
      <c r="B26" s="43">
        <v>45751</v>
      </c>
      <c r="C26" s="14" t="s">
        <v>2124</v>
      </c>
      <c r="D26" s="7" t="s">
        <v>2568</v>
      </c>
      <c r="E26" s="7" t="s">
        <v>2569</v>
      </c>
      <c r="F26" s="7" t="s">
        <v>6</v>
      </c>
      <c r="G26" s="7" t="s">
        <v>2581</v>
      </c>
      <c r="H26" s="7"/>
    </row>
    <row r="27" spans="2:8" x14ac:dyDescent="0.3">
      <c r="B27" s="43">
        <v>45754</v>
      </c>
      <c r="C27" s="14" t="s">
        <v>2124</v>
      </c>
      <c r="D27" s="7" t="s">
        <v>2582</v>
      </c>
      <c r="E27" s="7" t="s">
        <v>2583</v>
      </c>
      <c r="F27" s="7" t="s">
        <v>6</v>
      </c>
      <c r="G27" s="7" t="s">
        <v>2584</v>
      </c>
      <c r="H27" s="7"/>
    </row>
    <row r="28" spans="2:8" x14ac:dyDescent="0.3">
      <c r="B28" s="43">
        <v>45755</v>
      </c>
      <c r="C28" s="14" t="s">
        <v>2124</v>
      </c>
      <c r="D28" s="7" t="s">
        <v>2582</v>
      </c>
      <c r="E28" s="7" t="s">
        <v>2583</v>
      </c>
      <c r="F28" s="7" t="s">
        <v>6</v>
      </c>
      <c r="G28" s="7" t="s">
        <v>2584</v>
      </c>
      <c r="H28" s="7"/>
    </row>
    <row r="29" spans="2:8" x14ac:dyDescent="0.3">
      <c r="B29" s="43">
        <v>45756</v>
      </c>
      <c r="C29" s="14" t="s">
        <v>2124</v>
      </c>
      <c r="D29" s="7" t="s">
        <v>2568</v>
      </c>
      <c r="E29" s="7" t="s">
        <v>2569</v>
      </c>
      <c r="F29" s="7" t="s">
        <v>6</v>
      </c>
      <c r="G29" s="7" t="s">
        <v>2581</v>
      </c>
      <c r="H29" s="7"/>
    </row>
    <row r="30" spans="2:8" x14ac:dyDescent="0.3">
      <c r="B30" s="43">
        <v>45757</v>
      </c>
      <c r="C30" s="14" t="s">
        <v>2124</v>
      </c>
      <c r="D30" s="7" t="s">
        <v>2568</v>
      </c>
      <c r="E30" s="7" t="s">
        <v>2569</v>
      </c>
      <c r="F30" s="7" t="s">
        <v>6</v>
      </c>
      <c r="G30" s="7" t="s">
        <v>2585</v>
      </c>
      <c r="H30" s="7"/>
    </row>
    <row r="31" spans="2:8" x14ac:dyDescent="0.3">
      <c r="B31" s="43">
        <v>45758</v>
      </c>
      <c r="C31" s="14" t="s">
        <v>2124</v>
      </c>
      <c r="D31" s="7" t="s">
        <v>2568</v>
      </c>
      <c r="E31" s="7" t="s">
        <v>2569</v>
      </c>
      <c r="F31" s="7" t="s">
        <v>6</v>
      </c>
      <c r="G31" s="7" t="s">
        <v>2586</v>
      </c>
      <c r="H31" s="7"/>
    </row>
    <row r="32" spans="2:8" x14ac:dyDescent="0.3">
      <c r="B32" s="43">
        <v>45761</v>
      </c>
      <c r="C32" s="14" t="s">
        <v>2124</v>
      </c>
      <c r="D32" s="7" t="s">
        <v>2568</v>
      </c>
      <c r="E32" s="7" t="s">
        <v>2569</v>
      </c>
      <c r="F32" s="7" t="s">
        <v>6</v>
      </c>
      <c r="G32" s="7" t="s">
        <v>2586</v>
      </c>
      <c r="H32" s="7"/>
    </row>
    <row r="33" spans="2:8" x14ac:dyDescent="0.3">
      <c r="B33" s="43">
        <v>45762</v>
      </c>
      <c r="C33" s="14" t="s">
        <v>2124</v>
      </c>
      <c r="D33" s="7" t="s">
        <v>2568</v>
      </c>
      <c r="E33" s="7" t="s">
        <v>2569</v>
      </c>
      <c r="F33" s="7" t="s">
        <v>6</v>
      </c>
      <c r="G33" s="7" t="s">
        <v>2587</v>
      </c>
      <c r="H33" s="7"/>
    </row>
    <row r="34" spans="2:8" x14ac:dyDescent="0.3">
      <c r="B34" s="43">
        <v>45763</v>
      </c>
      <c r="C34" s="14" t="s">
        <v>2124</v>
      </c>
      <c r="D34" s="7" t="s">
        <v>2568</v>
      </c>
      <c r="E34" s="7" t="s">
        <v>2588</v>
      </c>
      <c r="F34" s="7" t="s">
        <v>6</v>
      </c>
      <c r="G34" s="7" t="s">
        <v>2589</v>
      </c>
      <c r="H34" s="7"/>
    </row>
    <row r="35" spans="2:8" x14ac:dyDescent="0.3">
      <c r="B35" s="43">
        <v>45764</v>
      </c>
      <c r="C35" s="14" t="s">
        <v>2124</v>
      </c>
      <c r="D35" s="7" t="s">
        <v>2568</v>
      </c>
      <c r="E35" s="7" t="s">
        <v>2569</v>
      </c>
      <c r="F35" s="7" t="s">
        <v>6</v>
      </c>
      <c r="G35" s="7" t="s">
        <v>2589</v>
      </c>
      <c r="H35" s="7"/>
    </row>
    <row r="36" spans="2:8" x14ac:dyDescent="0.3">
      <c r="B36" s="43">
        <v>45768</v>
      </c>
      <c r="C36" s="14" t="s">
        <v>2124</v>
      </c>
      <c r="D36" s="7" t="s">
        <v>2568</v>
      </c>
      <c r="E36" s="7" t="s">
        <v>2569</v>
      </c>
      <c r="F36" s="7" t="s">
        <v>6</v>
      </c>
      <c r="G36" s="7" t="s">
        <v>2589</v>
      </c>
      <c r="H36" s="7"/>
    </row>
    <row r="37" spans="2:8" x14ac:dyDescent="0.3">
      <c r="B37" s="43">
        <v>45769</v>
      </c>
      <c r="C37" s="14" t="s">
        <v>2124</v>
      </c>
      <c r="D37" s="7" t="s">
        <v>2568</v>
      </c>
      <c r="E37" s="7" t="s">
        <v>2569</v>
      </c>
      <c r="F37" s="7" t="s">
        <v>6</v>
      </c>
      <c r="G37" s="7" t="s">
        <v>2589</v>
      </c>
      <c r="H37" s="7"/>
    </row>
    <row r="38" spans="2:8" x14ac:dyDescent="0.3">
      <c r="B38" s="43">
        <v>45770</v>
      </c>
      <c r="C38" s="14" t="s">
        <v>2124</v>
      </c>
      <c r="D38" s="7" t="s">
        <v>2568</v>
      </c>
      <c r="E38" s="7" t="s">
        <v>2569</v>
      </c>
      <c r="F38" s="7" t="s">
        <v>6</v>
      </c>
      <c r="G38" s="7" t="s">
        <v>2589</v>
      </c>
      <c r="H38" s="7"/>
    </row>
    <row r="39" spans="2:8" x14ac:dyDescent="0.3">
      <c r="B39" s="43">
        <v>45771</v>
      </c>
      <c r="C39" s="14" t="s">
        <v>2124</v>
      </c>
      <c r="D39" s="7" t="s">
        <v>2568</v>
      </c>
      <c r="E39" s="7" t="s">
        <v>2569</v>
      </c>
      <c r="F39" s="7" t="s">
        <v>6</v>
      </c>
      <c r="G39" s="7" t="s">
        <v>2589</v>
      </c>
      <c r="H39" s="7"/>
    </row>
    <row r="40" spans="2:8" x14ac:dyDescent="0.3">
      <c r="B40" s="43">
        <v>45772</v>
      </c>
      <c r="C40" s="14" t="s">
        <v>2124</v>
      </c>
      <c r="D40" s="7" t="s">
        <v>2568</v>
      </c>
      <c r="E40" s="7" t="s">
        <v>332</v>
      </c>
      <c r="F40" s="7" t="s">
        <v>6</v>
      </c>
      <c r="G40" s="7" t="s">
        <v>2590</v>
      </c>
      <c r="H40" s="7"/>
    </row>
    <row r="41" spans="2:8" x14ac:dyDescent="0.3">
      <c r="B41" s="43">
        <v>45775</v>
      </c>
      <c r="C41" s="14" t="s">
        <v>2124</v>
      </c>
      <c r="D41" s="7" t="s">
        <v>2568</v>
      </c>
      <c r="E41" s="7" t="s">
        <v>332</v>
      </c>
      <c r="F41" s="7" t="s">
        <v>6</v>
      </c>
      <c r="G41" s="7" t="s">
        <v>2590</v>
      </c>
      <c r="H41" s="7"/>
    </row>
    <row r="42" spans="2:8" x14ac:dyDescent="0.3">
      <c r="B42" s="43">
        <v>45776</v>
      </c>
      <c r="C42" s="14" t="s">
        <v>2124</v>
      </c>
      <c r="D42" s="7" t="s">
        <v>2568</v>
      </c>
      <c r="E42" s="7" t="s">
        <v>332</v>
      </c>
      <c r="F42" s="7" t="s">
        <v>6</v>
      </c>
      <c r="G42" s="7" t="s">
        <v>2590</v>
      </c>
      <c r="H42" s="7"/>
    </row>
    <row r="43" spans="2:8" x14ac:dyDescent="0.3">
      <c r="B43" s="43">
        <v>45777</v>
      </c>
      <c r="C43" s="14" t="s">
        <v>2124</v>
      </c>
      <c r="D43" s="7" t="s">
        <v>2568</v>
      </c>
      <c r="E43" s="7" t="s">
        <v>332</v>
      </c>
      <c r="F43" s="7" t="s">
        <v>6</v>
      </c>
      <c r="G43" s="7" t="s">
        <v>2590</v>
      </c>
      <c r="H43" s="7"/>
    </row>
    <row r="44" spans="2:8" x14ac:dyDescent="0.3">
      <c r="B44" s="43">
        <v>45779</v>
      </c>
      <c r="C44" s="14" t="s">
        <v>2124</v>
      </c>
      <c r="D44" s="7" t="s">
        <v>2568</v>
      </c>
      <c r="E44" s="7" t="s">
        <v>2569</v>
      </c>
      <c r="F44" s="7" t="s">
        <v>4</v>
      </c>
      <c r="G44" s="7" t="s">
        <v>2591</v>
      </c>
      <c r="H44" s="7"/>
    </row>
    <row r="45" spans="2:8" x14ac:dyDescent="0.3">
      <c r="B45" s="43">
        <v>45782</v>
      </c>
      <c r="C45" s="14" t="s">
        <v>2124</v>
      </c>
      <c r="D45" s="7" t="s">
        <v>2568</v>
      </c>
      <c r="E45" s="7" t="s">
        <v>2569</v>
      </c>
      <c r="F45" s="7" t="s">
        <v>4</v>
      </c>
      <c r="G45" s="7" t="s">
        <v>2591</v>
      </c>
      <c r="H45" s="7"/>
    </row>
    <row r="46" spans="2:8" x14ac:dyDescent="0.3">
      <c r="B46" s="43">
        <v>45783</v>
      </c>
      <c r="C46" s="14" t="s">
        <v>2124</v>
      </c>
      <c r="D46" s="7" t="s">
        <v>2568</v>
      </c>
      <c r="E46" s="7" t="s">
        <v>2569</v>
      </c>
      <c r="F46" s="7" t="s">
        <v>4</v>
      </c>
      <c r="G46" s="7" t="s">
        <v>2591</v>
      </c>
      <c r="H46" s="7"/>
    </row>
    <row r="47" spans="2:8" x14ac:dyDescent="0.3">
      <c r="B47" s="43">
        <v>45784</v>
      </c>
      <c r="C47" s="14" t="s">
        <v>2124</v>
      </c>
      <c r="D47" s="7" t="s">
        <v>2568</v>
      </c>
      <c r="E47" s="7" t="s">
        <v>332</v>
      </c>
      <c r="F47" s="7" t="s">
        <v>4</v>
      </c>
      <c r="G47" s="7" t="s">
        <v>2592</v>
      </c>
      <c r="H47" s="7"/>
    </row>
    <row r="48" spans="2:8" x14ac:dyDescent="0.3">
      <c r="B48" s="43">
        <v>45785</v>
      </c>
      <c r="C48" s="14" t="s">
        <v>2124</v>
      </c>
      <c r="D48" s="7" t="s">
        <v>2568</v>
      </c>
      <c r="E48" s="7" t="s">
        <v>332</v>
      </c>
      <c r="F48" s="7" t="s">
        <v>4</v>
      </c>
      <c r="G48" s="7" t="s">
        <v>2592</v>
      </c>
      <c r="H48" s="7"/>
    </row>
    <row r="49" spans="2:8" x14ac:dyDescent="0.3">
      <c r="B49" s="43">
        <v>45786</v>
      </c>
      <c r="C49" s="14" t="s">
        <v>2124</v>
      </c>
      <c r="D49" s="7" t="s">
        <v>2582</v>
      </c>
      <c r="E49" s="7" t="s">
        <v>2593</v>
      </c>
      <c r="F49" s="7" t="s">
        <v>4</v>
      </c>
      <c r="G49" s="7" t="s">
        <v>2594</v>
      </c>
      <c r="H49" s="7"/>
    </row>
    <row r="50" spans="2:8" x14ac:dyDescent="0.3">
      <c r="B50" s="43">
        <v>45789</v>
      </c>
      <c r="C50" s="14" t="s">
        <v>2124</v>
      </c>
      <c r="D50" s="7" t="s">
        <v>2568</v>
      </c>
      <c r="E50" s="7" t="s">
        <v>2569</v>
      </c>
      <c r="F50" s="7" t="s">
        <v>4</v>
      </c>
      <c r="G50" s="7" t="s">
        <v>2595</v>
      </c>
      <c r="H50" s="7"/>
    </row>
    <row r="51" spans="2:8" x14ac:dyDescent="0.3">
      <c r="B51" s="43">
        <v>45790</v>
      </c>
      <c r="C51" s="14" t="s">
        <v>2124</v>
      </c>
      <c r="D51" s="7" t="s">
        <v>2568</v>
      </c>
      <c r="E51" s="7" t="s">
        <v>2569</v>
      </c>
      <c r="F51" s="7" t="s">
        <v>4</v>
      </c>
      <c r="G51" s="7" t="s">
        <v>2596</v>
      </c>
      <c r="H51" s="7"/>
    </row>
    <row r="52" spans="2:8" x14ac:dyDescent="0.3">
      <c r="B52" s="43">
        <v>45791</v>
      </c>
      <c r="C52" s="14" t="s">
        <v>2124</v>
      </c>
      <c r="D52" s="7" t="s">
        <v>2597</v>
      </c>
      <c r="E52" s="7" t="s">
        <v>1764</v>
      </c>
      <c r="F52" s="7" t="s">
        <v>4</v>
      </c>
      <c r="G52" s="7" t="s">
        <v>2598</v>
      </c>
      <c r="H52" s="7"/>
    </row>
    <row r="53" spans="2:8" x14ac:dyDescent="0.3">
      <c r="B53" s="43">
        <v>45792</v>
      </c>
      <c r="C53" s="14" t="s">
        <v>2124</v>
      </c>
      <c r="D53" s="7" t="s">
        <v>2597</v>
      </c>
      <c r="E53" s="7" t="s">
        <v>2151</v>
      </c>
      <c r="F53" s="7" t="s">
        <v>4</v>
      </c>
      <c r="G53" s="7" t="s">
        <v>2599</v>
      </c>
      <c r="H53" s="7"/>
    </row>
    <row r="54" spans="2:8" x14ac:dyDescent="0.3">
      <c r="B54" s="43">
        <v>45793</v>
      </c>
      <c r="C54" s="14" t="s">
        <v>2124</v>
      </c>
      <c r="D54" s="7" t="s">
        <v>2568</v>
      </c>
      <c r="E54" s="7" t="s">
        <v>2569</v>
      </c>
      <c r="F54" s="7" t="s">
        <v>4</v>
      </c>
      <c r="G54" s="7" t="s">
        <v>2600</v>
      </c>
      <c r="H54" s="7"/>
    </row>
    <row r="55" spans="2:8" x14ac:dyDescent="0.3">
      <c r="B55" s="43">
        <v>45796</v>
      </c>
      <c r="C55" s="14" t="s">
        <v>2124</v>
      </c>
      <c r="D55" s="7" t="s">
        <v>2568</v>
      </c>
      <c r="E55" s="7" t="s">
        <v>2569</v>
      </c>
      <c r="F55" s="7" t="s">
        <v>4</v>
      </c>
      <c r="G55" s="7" t="s">
        <v>2601</v>
      </c>
      <c r="H55" s="7"/>
    </row>
    <row r="56" spans="2:8" x14ac:dyDescent="0.3">
      <c r="B56" s="43">
        <v>45797</v>
      </c>
      <c r="C56" s="14" t="s">
        <v>2124</v>
      </c>
      <c r="D56" s="7" t="s">
        <v>2568</v>
      </c>
      <c r="E56" s="7" t="s">
        <v>332</v>
      </c>
      <c r="F56" s="7" t="s">
        <v>4</v>
      </c>
      <c r="G56" s="7" t="s">
        <v>2602</v>
      </c>
      <c r="H56" s="7"/>
    </row>
    <row r="57" spans="2:8" x14ac:dyDescent="0.3">
      <c r="B57" s="43">
        <v>45799</v>
      </c>
      <c r="C57" s="14" t="s">
        <v>2124</v>
      </c>
      <c r="D57" s="7" t="s">
        <v>2568</v>
      </c>
      <c r="E57" s="7" t="s">
        <v>2569</v>
      </c>
      <c r="F57" s="7" t="s">
        <v>4</v>
      </c>
      <c r="G57" s="7" t="s">
        <v>2603</v>
      </c>
      <c r="H57" s="7"/>
    </row>
    <row r="58" spans="2:8" x14ac:dyDescent="0.3">
      <c r="B58" s="43">
        <v>45800</v>
      </c>
      <c r="C58" s="14" t="s">
        <v>2124</v>
      </c>
      <c r="D58" s="7" t="s">
        <v>2568</v>
      </c>
      <c r="E58" s="7" t="s">
        <v>2569</v>
      </c>
      <c r="F58" s="7" t="s">
        <v>4</v>
      </c>
      <c r="G58" s="7" t="s">
        <v>2603</v>
      </c>
      <c r="H58" s="7"/>
    </row>
    <row r="59" spans="2:8" x14ac:dyDescent="0.3">
      <c r="B59" s="43">
        <v>45803</v>
      </c>
      <c r="C59" s="14" t="s">
        <v>2124</v>
      </c>
      <c r="D59" s="7" t="s">
        <v>2568</v>
      </c>
      <c r="E59" s="7" t="s">
        <v>2569</v>
      </c>
      <c r="F59" s="7" t="s">
        <v>4</v>
      </c>
      <c r="G59" s="7" t="s">
        <v>2603</v>
      </c>
      <c r="H59" s="7"/>
    </row>
    <row r="60" spans="2:8" x14ac:dyDescent="0.3">
      <c r="B60" s="43">
        <v>45804</v>
      </c>
      <c r="C60" s="14" t="s">
        <v>2124</v>
      </c>
      <c r="D60" s="7" t="s">
        <v>2568</v>
      </c>
      <c r="E60" s="7" t="s">
        <v>332</v>
      </c>
      <c r="F60" s="7" t="s">
        <v>4</v>
      </c>
      <c r="G60" s="7" t="s">
        <v>2604</v>
      </c>
      <c r="H60" s="7"/>
    </row>
    <row r="61" spans="2:8" x14ac:dyDescent="0.3">
      <c r="B61" s="43">
        <v>45805</v>
      </c>
      <c r="C61" s="14" t="s">
        <v>2124</v>
      </c>
      <c r="D61" s="7" t="s">
        <v>2568</v>
      </c>
      <c r="E61" s="7" t="s">
        <v>2569</v>
      </c>
      <c r="F61" s="7" t="s">
        <v>4</v>
      </c>
      <c r="G61" s="7" t="s">
        <v>2605</v>
      </c>
      <c r="H61" s="7"/>
    </row>
    <row r="62" spans="2:8" x14ac:dyDescent="0.3">
      <c r="B62" s="43">
        <v>45806</v>
      </c>
      <c r="C62" s="14" t="s">
        <v>2124</v>
      </c>
      <c r="D62" s="7" t="s">
        <v>2568</v>
      </c>
      <c r="E62" s="7" t="s">
        <v>2569</v>
      </c>
      <c r="F62" s="7" t="s">
        <v>4</v>
      </c>
      <c r="G62" s="7" t="s">
        <v>2606</v>
      </c>
      <c r="H62" s="7"/>
    </row>
    <row r="63" spans="2:8" x14ac:dyDescent="0.3">
      <c r="B63" s="43">
        <v>45807</v>
      </c>
      <c r="C63" s="14" t="s">
        <v>2124</v>
      </c>
      <c r="D63" s="7" t="s">
        <v>2568</v>
      </c>
      <c r="E63" s="7" t="s">
        <v>2569</v>
      </c>
      <c r="F63" s="7" t="s">
        <v>4</v>
      </c>
      <c r="G63" s="7" t="s">
        <v>2607</v>
      </c>
      <c r="H63" s="7"/>
    </row>
    <row r="64" spans="2:8" x14ac:dyDescent="0.3">
      <c r="B64" s="43">
        <v>45810</v>
      </c>
      <c r="C64" s="14" t="s">
        <v>2124</v>
      </c>
      <c r="D64" s="7" t="s">
        <v>2568</v>
      </c>
      <c r="E64" s="7" t="s">
        <v>2569</v>
      </c>
      <c r="F64" s="7" t="s">
        <v>4</v>
      </c>
      <c r="G64" s="7" t="s">
        <v>2608</v>
      </c>
      <c r="H64" s="7"/>
    </row>
    <row r="65" spans="2:8" x14ac:dyDescent="0.3">
      <c r="B65" s="43">
        <v>45811</v>
      </c>
      <c r="C65" s="14" t="s">
        <v>2124</v>
      </c>
      <c r="D65" s="7" t="s">
        <v>2568</v>
      </c>
      <c r="E65" s="7" t="s">
        <v>2569</v>
      </c>
      <c r="F65" s="7" t="s">
        <v>4</v>
      </c>
      <c r="G65" s="7" t="s">
        <v>2608</v>
      </c>
      <c r="H65" s="7"/>
    </row>
    <row r="66" spans="2:8" x14ac:dyDescent="0.3">
      <c r="B66" s="43">
        <v>45812</v>
      </c>
      <c r="C66" s="14" t="s">
        <v>2124</v>
      </c>
      <c r="D66" s="7" t="s">
        <v>2568</v>
      </c>
      <c r="E66" s="7" t="s">
        <v>332</v>
      </c>
      <c r="F66" s="7" t="s">
        <v>4</v>
      </c>
      <c r="G66" s="7" t="s">
        <v>2609</v>
      </c>
      <c r="H66" s="7"/>
    </row>
    <row r="67" spans="2:8" x14ac:dyDescent="0.3">
      <c r="B67" s="43">
        <v>45813</v>
      </c>
      <c r="C67" s="14" t="s">
        <v>2124</v>
      </c>
      <c r="D67" s="7" t="s">
        <v>2568</v>
      </c>
      <c r="E67" s="7" t="s">
        <v>332</v>
      </c>
      <c r="F67" s="7" t="s">
        <v>4</v>
      </c>
      <c r="G67" s="7" t="s">
        <v>2609</v>
      </c>
      <c r="H67" s="7"/>
    </row>
    <row r="68" spans="2:8" x14ac:dyDescent="0.3">
      <c r="B68" s="43">
        <v>45814</v>
      </c>
      <c r="C68" s="14" t="s">
        <v>2124</v>
      </c>
      <c r="D68" s="7" t="s">
        <v>2568</v>
      </c>
      <c r="E68" s="7" t="s">
        <v>2569</v>
      </c>
      <c r="F68" s="7" t="s">
        <v>4</v>
      </c>
      <c r="G68" s="7" t="s">
        <v>2608</v>
      </c>
      <c r="H68" s="7"/>
    </row>
    <row r="69" spans="2:8" x14ac:dyDescent="0.3">
      <c r="B69" s="43">
        <v>45817</v>
      </c>
      <c r="C69" s="14" t="s">
        <v>2124</v>
      </c>
      <c r="D69" s="7" t="s">
        <v>2588</v>
      </c>
      <c r="E69" s="7" t="s">
        <v>406</v>
      </c>
      <c r="F69" s="7" t="s">
        <v>4</v>
      </c>
      <c r="G69" s="7" t="s">
        <v>2610</v>
      </c>
      <c r="H69" s="7"/>
    </row>
    <row r="70" spans="2:8" x14ac:dyDescent="0.3">
      <c r="B70" s="43">
        <v>45818</v>
      </c>
      <c r="C70" s="14" t="s">
        <v>2124</v>
      </c>
      <c r="D70" s="7" t="s">
        <v>2568</v>
      </c>
      <c r="E70" s="7" t="s">
        <v>2078</v>
      </c>
      <c r="F70" s="7" t="s">
        <v>4</v>
      </c>
      <c r="G70" s="7" t="s">
        <v>2608</v>
      </c>
      <c r="H70" s="7"/>
    </row>
    <row r="71" spans="2:8" x14ac:dyDescent="0.3">
      <c r="B71" s="43">
        <v>45819</v>
      </c>
      <c r="C71" s="14" t="s">
        <v>2124</v>
      </c>
      <c r="D71" s="7" t="s">
        <v>2568</v>
      </c>
      <c r="E71" s="7" t="s">
        <v>332</v>
      </c>
      <c r="F71" s="7" t="s">
        <v>4</v>
      </c>
      <c r="G71" s="7" t="s">
        <v>2609</v>
      </c>
      <c r="H71" s="7"/>
    </row>
    <row r="72" spans="2:8" x14ac:dyDescent="0.3">
      <c r="B72" s="43">
        <v>45820</v>
      </c>
      <c r="C72" s="14" t="s">
        <v>2124</v>
      </c>
      <c r="D72" s="7" t="s">
        <v>2568</v>
      </c>
      <c r="E72" s="7" t="s">
        <v>332</v>
      </c>
      <c r="F72" s="7" t="s">
        <v>4</v>
      </c>
      <c r="G72" s="7" t="s">
        <v>2609</v>
      </c>
      <c r="H72" s="7"/>
    </row>
    <row r="73" spans="2:8" x14ac:dyDescent="0.3">
      <c r="B73" s="43">
        <v>45821</v>
      </c>
      <c r="C73" s="14" t="s">
        <v>2124</v>
      </c>
      <c r="D73" s="7" t="s">
        <v>2588</v>
      </c>
      <c r="E73" s="7" t="s">
        <v>1987</v>
      </c>
      <c r="F73" s="7" t="s">
        <v>4</v>
      </c>
      <c r="G73" s="7" t="s">
        <v>2611</v>
      </c>
      <c r="H73" s="7"/>
    </row>
    <row r="74" spans="2:8" x14ac:dyDescent="0.3">
      <c r="B74" s="43">
        <v>45824</v>
      </c>
      <c r="C74" s="14" t="s">
        <v>2124</v>
      </c>
      <c r="D74" s="7" t="s">
        <v>2568</v>
      </c>
      <c r="E74" s="7" t="s">
        <v>332</v>
      </c>
      <c r="F74" s="7" t="s">
        <v>4</v>
      </c>
      <c r="G74" s="7" t="s">
        <v>2609</v>
      </c>
      <c r="H74" s="7"/>
    </row>
    <row r="75" spans="2:8" x14ac:dyDescent="0.3">
      <c r="B75" s="43">
        <v>45825</v>
      </c>
      <c r="C75" s="14" t="s">
        <v>2124</v>
      </c>
      <c r="D75" s="7" t="s">
        <v>2568</v>
      </c>
      <c r="E75" s="7" t="s">
        <v>2078</v>
      </c>
      <c r="F75" s="7" t="s">
        <v>4</v>
      </c>
      <c r="G75" s="7" t="s">
        <v>2608</v>
      </c>
      <c r="H75" s="7"/>
    </row>
    <row r="76" spans="2:8" x14ac:dyDescent="0.3">
      <c r="B76" s="43">
        <v>45826</v>
      </c>
      <c r="C76" s="14" t="s">
        <v>2124</v>
      </c>
      <c r="D76" s="7" t="s">
        <v>2568</v>
      </c>
      <c r="E76" s="7" t="s">
        <v>2078</v>
      </c>
      <c r="F76" s="7" t="s">
        <v>4</v>
      </c>
      <c r="G76" s="7" t="s">
        <v>2608</v>
      </c>
      <c r="H76" s="7"/>
    </row>
    <row r="77" spans="2:8" x14ac:dyDescent="0.3">
      <c r="B77" s="43">
        <v>45827</v>
      </c>
      <c r="C77" s="14" t="s">
        <v>2124</v>
      </c>
      <c r="D77" s="7" t="s">
        <v>2568</v>
      </c>
      <c r="E77" s="7" t="s">
        <v>2078</v>
      </c>
      <c r="F77" s="7" t="s">
        <v>4</v>
      </c>
      <c r="G77" s="7" t="s">
        <v>2608</v>
      </c>
      <c r="H77" s="7"/>
    </row>
    <row r="78" spans="2:8" x14ac:dyDescent="0.3">
      <c r="B78" s="43">
        <v>45831</v>
      </c>
      <c r="C78" s="14" t="s">
        <v>2124</v>
      </c>
      <c r="D78" s="7" t="s">
        <v>2568</v>
      </c>
      <c r="E78" s="7" t="s">
        <v>1987</v>
      </c>
      <c r="F78" s="7" t="s">
        <v>4</v>
      </c>
      <c r="G78" s="7" t="s">
        <v>2611</v>
      </c>
      <c r="H78" s="7"/>
    </row>
    <row r="79" spans="2:8" x14ac:dyDescent="0.3">
      <c r="B79" s="43">
        <v>45832</v>
      </c>
      <c r="C79" s="14" t="s">
        <v>2124</v>
      </c>
      <c r="D79" s="7" t="s">
        <v>2568</v>
      </c>
      <c r="E79" s="7" t="s">
        <v>2078</v>
      </c>
      <c r="F79" s="7" t="s">
        <v>4</v>
      </c>
      <c r="G79" s="7" t="s">
        <v>2608</v>
      </c>
      <c r="H79" s="7"/>
    </row>
    <row r="80" spans="2:8" x14ac:dyDescent="0.3">
      <c r="B80" s="43">
        <v>45833</v>
      </c>
      <c r="C80" s="14" t="s">
        <v>2124</v>
      </c>
      <c r="D80" s="7" t="s">
        <v>2568</v>
      </c>
      <c r="E80" s="7" t="s">
        <v>332</v>
      </c>
      <c r="F80" s="7" t="s">
        <v>4</v>
      </c>
      <c r="G80" s="7" t="s">
        <v>2609</v>
      </c>
      <c r="H80" s="7"/>
    </row>
    <row r="81" spans="2:8" x14ac:dyDescent="0.3">
      <c r="B81" s="43">
        <v>45834</v>
      </c>
      <c r="C81" s="14" t="s">
        <v>2124</v>
      </c>
      <c r="D81" s="7" t="s">
        <v>2568</v>
      </c>
      <c r="E81" s="7" t="s">
        <v>2078</v>
      </c>
      <c r="F81" s="7" t="s">
        <v>4</v>
      </c>
      <c r="G81" s="7" t="s">
        <v>2608</v>
      </c>
      <c r="H81" s="7"/>
    </row>
    <row r="82" spans="2:8" x14ac:dyDescent="0.3">
      <c r="B82" s="43">
        <v>45835</v>
      </c>
      <c r="C82" s="14" t="s">
        <v>2124</v>
      </c>
      <c r="D82" s="7" t="s">
        <v>2568</v>
      </c>
      <c r="E82" s="7" t="s">
        <v>2078</v>
      </c>
      <c r="F82" s="7" t="s">
        <v>4</v>
      </c>
      <c r="G82" s="7" t="s">
        <v>2608</v>
      </c>
      <c r="H82" s="7"/>
    </row>
    <row r="83" spans="2:8" x14ac:dyDescent="0.3">
      <c r="B83" s="43">
        <v>45838</v>
      </c>
      <c r="C83" s="14" t="s">
        <v>2124</v>
      </c>
      <c r="D83" s="7" t="s">
        <v>2568</v>
      </c>
      <c r="E83" s="7" t="s">
        <v>2078</v>
      </c>
      <c r="F83" s="7" t="s">
        <v>4</v>
      </c>
      <c r="G83" s="7" t="s">
        <v>2608</v>
      </c>
      <c r="H83" s="7"/>
    </row>
    <row r="84" spans="2:8" x14ac:dyDescent="0.3">
      <c r="B84" s="43">
        <v>45839</v>
      </c>
      <c r="C84" s="14" t="s">
        <v>2124</v>
      </c>
      <c r="D84" s="7" t="s">
        <v>2568</v>
      </c>
      <c r="E84" s="7" t="s">
        <v>2569</v>
      </c>
      <c r="F84" s="7" t="s">
        <v>4</v>
      </c>
      <c r="G84" s="7" t="s">
        <v>2612</v>
      </c>
      <c r="H84" s="7"/>
    </row>
    <row r="85" spans="2:8" x14ac:dyDescent="0.3">
      <c r="B85" s="43">
        <v>45840</v>
      </c>
      <c r="C85" s="14" t="s">
        <v>2124</v>
      </c>
      <c r="D85" s="7" t="s">
        <v>2568</v>
      </c>
      <c r="E85" s="7" t="s">
        <v>2569</v>
      </c>
      <c r="F85" s="7" t="s">
        <v>4</v>
      </c>
      <c r="G85" s="7" t="s">
        <v>2612</v>
      </c>
      <c r="H85" s="7"/>
    </row>
    <row r="86" spans="2:8" x14ac:dyDescent="0.3">
      <c r="B86" s="43">
        <v>45841</v>
      </c>
      <c r="C86" s="14" t="s">
        <v>2124</v>
      </c>
      <c r="D86" s="7" t="s">
        <v>2568</v>
      </c>
      <c r="E86" s="7" t="s">
        <v>1764</v>
      </c>
      <c r="F86" s="7" t="s">
        <v>4</v>
      </c>
      <c r="G86" s="7" t="s">
        <v>2613</v>
      </c>
      <c r="H86" s="7"/>
    </row>
    <row r="87" spans="2:8" x14ac:dyDescent="0.3">
      <c r="B87" s="43">
        <v>45842</v>
      </c>
      <c r="C87" s="14" t="s">
        <v>2124</v>
      </c>
      <c r="D87" s="7" t="s">
        <v>2568</v>
      </c>
      <c r="E87" s="7" t="s">
        <v>2569</v>
      </c>
      <c r="F87" s="7" t="s">
        <v>4</v>
      </c>
      <c r="G87" s="7" t="s">
        <v>2614</v>
      </c>
      <c r="H87" s="7"/>
    </row>
    <row r="88" spans="2:8" x14ac:dyDescent="0.3">
      <c r="B88" s="43">
        <v>45845</v>
      </c>
      <c r="C88" s="14" t="s">
        <v>2124</v>
      </c>
      <c r="D88" s="7" t="s">
        <v>2568</v>
      </c>
      <c r="E88" s="7" t="s">
        <v>2615</v>
      </c>
      <c r="F88" s="7" t="s">
        <v>4</v>
      </c>
      <c r="G88" s="7" t="s">
        <v>2614</v>
      </c>
      <c r="H88" s="7"/>
    </row>
    <row r="89" spans="2:8" x14ac:dyDescent="0.3">
      <c r="B89" s="43">
        <v>45846</v>
      </c>
      <c r="C89" s="14" t="s">
        <v>2124</v>
      </c>
      <c r="D89" s="7" t="s">
        <v>2568</v>
      </c>
      <c r="E89" s="7" t="s">
        <v>2615</v>
      </c>
      <c r="F89" s="7" t="s">
        <v>4</v>
      </c>
      <c r="G89" s="7" t="s">
        <v>2614</v>
      </c>
      <c r="H89" s="7"/>
    </row>
    <row r="90" spans="2:8" x14ac:dyDescent="0.3">
      <c r="B90" s="43">
        <v>45847</v>
      </c>
      <c r="C90" s="14" t="s">
        <v>2124</v>
      </c>
      <c r="D90" s="7" t="s">
        <v>2565</v>
      </c>
      <c r="E90" s="7" t="s">
        <v>1816</v>
      </c>
      <c r="F90" s="7" t="s">
        <v>4</v>
      </c>
      <c r="G90" s="7" t="s">
        <v>2616</v>
      </c>
      <c r="H90" s="7"/>
    </row>
    <row r="91" spans="2:8" x14ac:dyDescent="0.3">
      <c r="B91" s="43">
        <v>45848</v>
      </c>
      <c r="C91" s="14" t="s">
        <v>2124</v>
      </c>
      <c r="D91" s="7" t="s">
        <v>2568</v>
      </c>
      <c r="E91" s="7" t="s">
        <v>2615</v>
      </c>
      <c r="F91" s="7" t="s">
        <v>4</v>
      </c>
      <c r="G91" s="7" t="s">
        <v>2617</v>
      </c>
      <c r="H91" s="7"/>
    </row>
    <row r="92" spans="2:8" x14ac:dyDescent="0.3">
      <c r="B92" s="43">
        <v>45849</v>
      </c>
      <c r="C92" s="14" t="s">
        <v>2124</v>
      </c>
      <c r="D92" s="7" t="s">
        <v>2568</v>
      </c>
      <c r="E92" s="7" t="s">
        <v>2615</v>
      </c>
      <c r="F92" s="7" t="s">
        <v>4</v>
      </c>
      <c r="G92" s="7" t="s">
        <v>2617</v>
      </c>
      <c r="H92" s="7"/>
    </row>
    <row r="93" spans="2:8" x14ac:dyDescent="0.3">
      <c r="B93" s="43">
        <v>45852</v>
      </c>
      <c r="C93" s="14" t="s">
        <v>2124</v>
      </c>
      <c r="D93" s="7" t="s">
        <v>2568</v>
      </c>
      <c r="E93" s="7" t="s">
        <v>2615</v>
      </c>
      <c r="F93" s="7" t="s">
        <v>4</v>
      </c>
      <c r="G93" s="7" t="s">
        <v>2617</v>
      </c>
      <c r="H93" s="7"/>
    </row>
    <row r="94" spans="2:8" x14ac:dyDescent="0.3">
      <c r="B94" s="43">
        <v>45853</v>
      </c>
      <c r="C94" s="14" t="s">
        <v>2124</v>
      </c>
      <c r="D94" s="7" t="s">
        <v>2568</v>
      </c>
      <c r="E94" s="7" t="s">
        <v>2615</v>
      </c>
      <c r="F94" s="7" t="s">
        <v>4</v>
      </c>
      <c r="G94" s="7" t="s">
        <v>2617</v>
      </c>
      <c r="H94" s="7"/>
    </row>
    <row r="95" spans="2:8" x14ac:dyDescent="0.3">
      <c r="B95" s="43">
        <v>45855</v>
      </c>
      <c r="C95" s="14" t="s">
        <v>2124</v>
      </c>
      <c r="D95" s="7" t="s">
        <v>2568</v>
      </c>
      <c r="E95" s="7" t="s">
        <v>277</v>
      </c>
      <c r="F95" s="7" t="s">
        <v>4</v>
      </c>
      <c r="G95" s="7" t="s">
        <v>2618</v>
      </c>
      <c r="H95" s="7"/>
    </row>
    <row r="96" spans="2:8" x14ac:dyDescent="0.3">
      <c r="B96" s="43">
        <v>45856</v>
      </c>
      <c r="C96" s="14" t="s">
        <v>2124</v>
      </c>
      <c r="D96" s="7" t="s">
        <v>2568</v>
      </c>
      <c r="E96" s="7" t="s">
        <v>277</v>
      </c>
      <c r="F96" s="7" t="s">
        <v>4</v>
      </c>
      <c r="G96" s="7" t="s">
        <v>2618</v>
      </c>
      <c r="H96" s="7"/>
    </row>
    <row r="97" spans="2:8" x14ac:dyDescent="0.3">
      <c r="B97" s="43">
        <v>45857</v>
      </c>
      <c r="C97" s="14" t="s">
        <v>2124</v>
      </c>
      <c r="D97" s="7" t="s">
        <v>2568</v>
      </c>
      <c r="E97" s="7" t="s">
        <v>277</v>
      </c>
      <c r="F97" s="7" t="s">
        <v>4</v>
      </c>
      <c r="G97" s="7" t="s">
        <v>2618</v>
      </c>
      <c r="H97" s="7"/>
    </row>
    <row r="98" spans="2:8" x14ac:dyDescent="0.3">
      <c r="B98" s="43">
        <v>45858</v>
      </c>
      <c r="C98" s="14" t="s">
        <v>2124</v>
      </c>
      <c r="D98" s="7" t="s">
        <v>2568</v>
      </c>
      <c r="E98" s="7" t="s">
        <v>277</v>
      </c>
      <c r="F98" s="7" t="s">
        <v>4</v>
      </c>
      <c r="G98" s="7" t="s">
        <v>2618</v>
      </c>
      <c r="H98" s="7"/>
    </row>
    <row r="99" spans="2:8" x14ac:dyDescent="0.3">
      <c r="B99" s="43">
        <v>45859</v>
      </c>
      <c r="C99" s="14" t="s">
        <v>2124</v>
      </c>
      <c r="D99" s="7" t="s">
        <v>659</v>
      </c>
      <c r="E99" s="7" t="s">
        <v>406</v>
      </c>
      <c r="F99" s="7" t="s">
        <v>6</v>
      </c>
      <c r="G99" s="7" t="s">
        <v>2619</v>
      </c>
      <c r="H99" s="7"/>
    </row>
    <row r="100" spans="2:8" x14ac:dyDescent="0.3">
      <c r="B100" s="43">
        <v>45860</v>
      </c>
      <c r="C100" s="14" t="s">
        <v>2124</v>
      </c>
      <c r="D100" s="7" t="s">
        <v>659</v>
      </c>
      <c r="E100" s="7" t="s">
        <v>2620</v>
      </c>
      <c r="F100" s="7" t="s">
        <v>4</v>
      </c>
      <c r="G100" s="7" t="s">
        <v>2621</v>
      </c>
      <c r="H100" s="7"/>
    </row>
    <row r="101" spans="2:8" x14ac:dyDescent="0.3">
      <c r="B101" s="43">
        <v>45861</v>
      </c>
      <c r="C101" s="14" t="s">
        <v>2124</v>
      </c>
      <c r="D101" s="7" t="s">
        <v>2568</v>
      </c>
      <c r="E101" s="7" t="s">
        <v>2569</v>
      </c>
      <c r="F101" s="7" t="s">
        <v>4</v>
      </c>
      <c r="G101" s="7" t="s">
        <v>2622</v>
      </c>
      <c r="H101" s="7"/>
    </row>
    <row r="102" spans="2:8" x14ac:dyDescent="0.3">
      <c r="B102" s="43">
        <v>45862</v>
      </c>
      <c r="C102" s="14" t="s">
        <v>2124</v>
      </c>
      <c r="D102" s="7" t="s">
        <v>2568</v>
      </c>
      <c r="E102" s="7" t="s">
        <v>2569</v>
      </c>
      <c r="F102" s="7" t="s">
        <v>4</v>
      </c>
      <c r="G102" s="7" t="s">
        <v>2622</v>
      </c>
      <c r="H102" s="7"/>
    </row>
    <row r="103" spans="2:8" x14ac:dyDescent="0.3">
      <c r="B103" s="43">
        <v>45863</v>
      </c>
      <c r="C103" s="14" t="s">
        <v>2124</v>
      </c>
      <c r="D103" s="7" t="s">
        <v>2568</v>
      </c>
      <c r="E103" s="7" t="s">
        <v>2569</v>
      </c>
      <c r="F103" s="7" t="s">
        <v>4</v>
      </c>
      <c r="G103" s="7" t="s">
        <v>2623</v>
      </c>
      <c r="H103" s="7"/>
    </row>
    <row r="104" spans="2:8" x14ac:dyDescent="0.3">
      <c r="B104" s="43">
        <v>45866</v>
      </c>
      <c r="C104" s="14" t="s">
        <v>2124</v>
      </c>
      <c r="D104" s="7" t="s">
        <v>2568</v>
      </c>
      <c r="E104" s="7" t="s">
        <v>2569</v>
      </c>
      <c r="F104" s="7" t="s">
        <v>4</v>
      </c>
      <c r="G104" s="7" t="s">
        <v>2623</v>
      </c>
      <c r="H104" s="7"/>
    </row>
    <row r="105" spans="2:8" x14ac:dyDescent="0.3">
      <c r="B105" s="43">
        <v>45867</v>
      </c>
      <c r="C105" s="14" t="s">
        <v>2124</v>
      </c>
      <c r="D105" s="7" t="s">
        <v>2568</v>
      </c>
      <c r="E105" s="7" t="s">
        <v>2569</v>
      </c>
      <c r="F105" s="7" t="s">
        <v>4</v>
      </c>
      <c r="G105" s="7" t="s">
        <v>2624</v>
      </c>
      <c r="H105" s="7"/>
    </row>
    <row r="106" spans="2:8" x14ac:dyDescent="0.3">
      <c r="B106" s="43">
        <v>45868</v>
      </c>
      <c r="C106" s="14" t="s">
        <v>2124</v>
      </c>
      <c r="D106" s="7" t="s">
        <v>2568</v>
      </c>
      <c r="E106" s="7" t="s">
        <v>2569</v>
      </c>
      <c r="F106" s="7" t="s">
        <v>4</v>
      </c>
      <c r="G106" s="7" t="s">
        <v>2624</v>
      </c>
      <c r="H106" s="7"/>
    </row>
    <row r="107" spans="2:8" x14ac:dyDescent="0.3">
      <c r="B107" s="43">
        <v>45869</v>
      </c>
      <c r="C107" s="14" t="s">
        <v>2124</v>
      </c>
      <c r="D107" s="7" t="s">
        <v>2568</v>
      </c>
      <c r="E107" s="7" t="s">
        <v>2569</v>
      </c>
      <c r="F107" s="7" t="s">
        <v>4</v>
      </c>
      <c r="G107" s="7" t="s">
        <v>2624</v>
      </c>
      <c r="H107" s="7"/>
    </row>
    <row r="108" spans="2:8" x14ac:dyDescent="0.3">
      <c r="B108" s="43">
        <v>45870</v>
      </c>
      <c r="C108" s="14" t="s">
        <v>2124</v>
      </c>
      <c r="D108" s="7" t="s">
        <v>2625</v>
      </c>
      <c r="E108" s="7" t="s">
        <v>2626</v>
      </c>
      <c r="F108" s="7" t="s">
        <v>6</v>
      </c>
      <c r="G108" s="7" t="s">
        <v>2627</v>
      </c>
      <c r="H108" s="7"/>
    </row>
    <row r="109" spans="2:8" x14ac:dyDescent="0.3">
      <c r="B109" s="43">
        <v>45873</v>
      </c>
      <c r="C109" s="14" t="s">
        <v>2124</v>
      </c>
      <c r="D109" s="7" t="s">
        <v>2625</v>
      </c>
      <c r="E109" s="7" t="s">
        <v>2626</v>
      </c>
      <c r="F109" s="7" t="s">
        <v>6</v>
      </c>
      <c r="G109" s="7" t="s">
        <v>2627</v>
      </c>
      <c r="H109" s="7"/>
    </row>
    <row r="110" spans="2:8" x14ac:dyDescent="0.3">
      <c r="B110" s="43">
        <v>45874</v>
      </c>
      <c r="C110" s="14" t="s">
        <v>2124</v>
      </c>
      <c r="D110" s="7" t="s">
        <v>2625</v>
      </c>
      <c r="E110" s="7" t="s">
        <v>2626</v>
      </c>
      <c r="F110" s="7" t="s">
        <v>6</v>
      </c>
      <c r="G110" s="7" t="s">
        <v>2627</v>
      </c>
      <c r="H110" s="7"/>
    </row>
    <row r="111" spans="2:8" x14ac:dyDescent="0.3">
      <c r="B111" s="43">
        <v>45875</v>
      </c>
      <c r="C111" s="14" t="s">
        <v>2124</v>
      </c>
      <c r="D111" s="7" t="s">
        <v>2568</v>
      </c>
      <c r="E111" s="7" t="s">
        <v>2569</v>
      </c>
      <c r="F111" s="7" t="s">
        <v>4</v>
      </c>
      <c r="G111" s="7" t="s">
        <v>2628</v>
      </c>
      <c r="H111" s="7"/>
    </row>
    <row r="112" spans="2:8" x14ac:dyDescent="0.3">
      <c r="B112" s="43">
        <v>45876</v>
      </c>
      <c r="C112" s="14" t="s">
        <v>2124</v>
      </c>
      <c r="D112" s="7" t="s">
        <v>2568</v>
      </c>
      <c r="E112" s="7" t="s">
        <v>2569</v>
      </c>
      <c r="F112" s="7" t="s">
        <v>4</v>
      </c>
      <c r="G112" s="7" t="s">
        <v>2628</v>
      </c>
      <c r="H112" s="7"/>
    </row>
    <row r="113" spans="2:8" x14ac:dyDescent="0.3">
      <c r="B113" s="43">
        <v>45877</v>
      </c>
      <c r="C113" s="14" t="s">
        <v>2124</v>
      </c>
      <c r="D113" s="7" t="s">
        <v>2568</v>
      </c>
      <c r="E113" s="7" t="s">
        <v>2629</v>
      </c>
      <c r="F113" s="7" t="s">
        <v>4</v>
      </c>
      <c r="G113" s="7" t="s">
        <v>2630</v>
      </c>
      <c r="H113" s="7"/>
    </row>
    <row r="114" spans="2:8" x14ac:dyDescent="0.3">
      <c r="B114" s="43">
        <v>45880</v>
      </c>
      <c r="C114" s="14" t="s">
        <v>2124</v>
      </c>
      <c r="D114" s="7" t="s">
        <v>2568</v>
      </c>
      <c r="E114" s="7" t="s">
        <v>2569</v>
      </c>
      <c r="F114" s="7" t="s">
        <v>4</v>
      </c>
      <c r="G114" s="7" t="s">
        <v>2631</v>
      </c>
      <c r="H114" s="7"/>
    </row>
    <row r="115" spans="2:8" x14ac:dyDescent="0.3">
      <c r="B115" s="43">
        <v>45881</v>
      </c>
      <c r="C115" s="14" t="s">
        <v>2124</v>
      </c>
      <c r="D115" s="7" t="s">
        <v>2632</v>
      </c>
      <c r="E115" s="7" t="s">
        <v>301</v>
      </c>
      <c r="F115" s="7" t="s">
        <v>4</v>
      </c>
      <c r="G115" s="7" t="s">
        <v>1705</v>
      </c>
      <c r="H115" s="7"/>
    </row>
    <row r="116" spans="2:8" x14ac:dyDescent="0.3">
      <c r="B116" s="43">
        <v>45882</v>
      </c>
      <c r="C116" s="14" t="s">
        <v>2124</v>
      </c>
      <c r="D116" s="7" t="s">
        <v>2568</v>
      </c>
      <c r="E116" s="7" t="s">
        <v>2633</v>
      </c>
      <c r="F116" s="7" t="s">
        <v>4</v>
      </c>
      <c r="G116" s="7" t="s">
        <v>2634</v>
      </c>
      <c r="H116" s="7"/>
    </row>
    <row r="117" spans="2:8" x14ac:dyDescent="0.3">
      <c r="B117" s="43">
        <v>45883</v>
      </c>
      <c r="C117" s="14" t="s">
        <v>2124</v>
      </c>
      <c r="D117" s="7" t="s">
        <v>2568</v>
      </c>
      <c r="E117" s="7" t="s">
        <v>2635</v>
      </c>
      <c r="F117" s="7" t="s">
        <v>4</v>
      </c>
      <c r="G117" s="7" t="s">
        <v>2636</v>
      </c>
      <c r="H117" s="7"/>
    </row>
    <row r="118" spans="2:8" x14ac:dyDescent="0.3">
      <c r="B118" s="43">
        <v>45887</v>
      </c>
      <c r="C118" s="14" t="s">
        <v>2124</v>
      </c>
      <c r="D118" s="7" t="s">
        <v>2568</v>
      </c>
      <c r="E118" s="7" t="s">
        <v>2635</v>
      </c>
      <c r="F118" s="7" t="s">
        <v>4</v>
      </c>
      <c r="G118" s="7" t="s">
        <v>2637</v>
      </c>
      <c r="H118" s="7"/>
    </row>
    <row r="119" spans="2:8" x14ac:dyDescent="0.3">
      <c r="B119" s="43">
        <v>45888</v>
      </c>
      <c r="C119" s="14" t="s">
        <v>2124</v>
      </c>
      <c r="D119" s="7" t="s">
        <v>2568</v>
      </c>
      <c r="E119" s="7" t="s">
        <v>301</v>
      </c>
      <c r="F119" s="7" t="s">
        <v>4</v>
      </c>
      <c r="G119" s="7" t="s">
        <v>2638</v>
      </c>
      <c r="H119" s="7"/>
    </row>
    <row r="120" spans="2:8" x14ac:dyDescent="0.3">
      <c r="B120" s="43">
        <v>45889</v>
      </c>
      <c r="C120" s="14" t="s">
        <v>2124</v>
      </c>
      <c r="D120" s="7" t="s">
        <v>2568</v>
      </c>
      <c r="E120" s="7" t="s">
        <v>2635</v>
      </c>
      <c r="F120" s="7" t="s">
        <v>4</v>
      </c>
      <c r="G120" s="7" t="s">
        <v>2639</v>
      </c>
      <c r="H120" s="7"/>
    </row>
    <row r="121" spans="2:8" x14ac:dyDescent="0.3">
      <c r="B121" s="43">
        <v>45890</v>
      </c>
      <c r="C121" s="14" t="s">
        <v>2124</v>
      </c>
      <c r="D121" s="7" t="s">
        <v>2640</v>
      </c>
      <c r="E121" s="7" t="s">
        <v>2641</v>
      </c>
      <c r="F121" s="7" t="s">
        <v>6</v>
      </c>
      <c r="G121" s="7" t="s">
        <v>2642</v>
      </c>
      <c r="H121" s="7"/>
    </row>
    <row r="122" spans="2:8" x14ac:dyDescent="0.3">
      <c r="B122" s="43">
        <v>45891</v>
      </c>
      <c r="C122" s="14" t="s">
        <v>2124</v>
      </c>
      <c r="D122" s="7" t="s">
        <v>2568</v>
      </c>
      <c r="E122" s="7" t="s">
        <v>2633</v>
      </c>
      <c r="F122" s="7" t="s">
        <v>4</v>
      </c>
      <c r="G122" s="7" t="s">
        <v>2634</v>
      </c>
      <c r="H122" s="7"/>
    </row>
    <row r="123" spans="2:8" x14ac:dyDescent="0.3">
      <c r="B123" s="43">
        <v>45894</v>
      </c>
      <c r="C123" s="14" t="s">
        <v>2124</v>
      </c>
      <c r="D123" s="7" t="s">
        <v>2568</v>
      </c>
      <c r="E123" s="7" t="s">
        <v>2635</v>
      </c>
      <c r="F123" s="7" t="s">
        <v>4</v>
      </c>
      <c r="G123" s="7" t="s">
        <v>2643</v>
      </c>
      <c r="H123" s="7"/>
    </row>
    <row r="124" spans="2:8" x14ac:dyDescent="0.3">
      <c r="B124" s="43">
        <v>45895</v>
      </c>
      <c r="C124" s="14" t="s">
        <v>2124</v>
      </c>
      <c r="D124" s="7" t="s">
        <v>2568</v>
      </c>
      <c r="E124" s="7" t="s">
        <v>2644</v>
      </c>
      <c r="F124" s="7" t="s">
        <v>4</v>
      </c>
      <c r="G124" s="7" t="s">
        <v>2645</v>
      </c>
      <c r="H124" s="7"/>
    </row>
    <row r="125" spans="2:8" x14ac:dyDescent="0.3">
      <c r="B125" s="43">
        <v>45896</v>
      </c>
      <c r="C125" s="14" t="s">
        <v>2124</v>
      </c>
      <c r="D125" s="7" t="s">
        <v>2568</v>
      </c>
      <c r="E125" s="7" t="s">
        <v>2633</v>
      </c>
      <c r="F125" s="7" t="s">
        <v>4</v>
      </c>
      <c r="G125" s="7" t="s">
        <v>2634</v>
      </c>
      <c r="H125" s="7"/>
    </row>
    <row r="126" spans="2:8" x14ac:dyDescent="0.3">
      <c r="B126" s="43">
        <v>45897</v>
      </c>
      <c r="C126" s="14" t="s">
        <v>2124</v>
      </c>
      <c r="D126" s="7" t="s">
        <v>2568</v>
      </c>
      <c r="E126" s="7" t="s">
        <v>2633</v>
      </c>
      <c r="F126" s="7" t="s">
        <v>4</v>
      </c>
      <c r="G126" s="7" t="s">
        <v>2634</v>
      </c>
      <c r="H126" s="7"/>
    </row>
    <row r="127" spans="2:8" x14ac:dyDescent="0.3">
      <c r="B127" s="43">
        <v>45898</v>
      </c>
      <c r="C127" s="14" t="s">
        <v>2124</v>
      </c>
      <c r="D127" s="7" t="s">
        <v>2625</v>
      </c>
      <c r="E127" s="7" t="s">
        <v>2646</v>
      </c>
      <c r="F127" s="7" t="s">
        <v>4</v>
      </c>
      <c r="G127" s="7" t="s">
        <v>2647</v>
      </c>
      <c r="H127" s="7"/>
    </row>
    <row r="128" spans="2:8" x14ac:dyDescent="0.3">
      <c r="B128" s="43">
        <v>45901</v>
      </c>
      <c r="C128" s="14" t="s">
        <v>2124</v>
      </c>
      <c r="D128" s="7" t="s">
        <v>2568</v>
      </c>
      <c r="E128" s="7" t="s">
        <v>2635</v>
      </c>
      <c r="F128" s="81" t="s">
        <v>6</v>
      </c>
      <c r="G128" s="56" t="s">
        <v>2648</v>
      </c>
      <c r="H128" s="66"/>
    </row>
    <row r="129" spans="2:8" x14ac:dyDescent="0.3">
      <c r="B129" s="43">
        <v>45902</v>
      </c>
      <c r="C129" s="14" t="s">
        <v>2124</v>
      </c>
      <c r="D129" s="7" t="s">
        <v>2568</v>
      </c>
      <c r="E129" s="7" t="s">
        <v>2635</v>
      </c>
      <c r="F129" s="81" t="s">
        <v>6</v>
      </c>
      <c r="G129" s="56" t="s">
        <v>2648</v>
      </c>
      <c r="H129" s="66"/>
    </row>
    <row r="130" spans="2:8" x14ac:dyDescent="0.3">
      <c r="B130" s="43">
        <v>45903</v>
      </c>
      <c r="C130" s="14" t="s">
        <v>2124</v>
      </c>
      <c r="D130" s="7" t="s">
        <v>2568</v>
      </c>
      <c r="E130" s="7" t="s">
        <v>2635</v>
      </c>
      <c r="F130" s="81" t="s">
        <v>6</v>
      </c>
      <c r="G130" s="56" t="s">
        <v>2648</v>
      </c>
      <c r="H130" s="66"/>
    </row>
    <row r="131" spans="2:8" x14ac:dyDescent="0.3">
      <c r="B131" s="43">
        <v>45904</v>
      </c>
      <c r="C131" s="14" t="s">
        <v>2124</v>
      </c>
      <c r="D131" s="7" t="s">
        <v>2640</v>
      </c>
      <c r="E131" s="7" t="s">
        <v>2641</v>
      </c>
      <c r="F131" s="81" t="s">
        <v>6</v>
      </c>
      <c r="G131" s="83" t="s">
        <v>2649</v>
      </c>
      <c r="H131" s="66"/>
    </row>
    <row r="132" spans="2:8" x14ac:dyDescent="0.3">
      <c r="B132" s="43">
        <v>45905</v>
      </c>
      <c r="C132" s="14" t="s">
        <v>2124</v>
      </c>
      <c r="D132" s="7" t="s">
        <v>2640</v>
      </c>
      <c r="E132" s="7" t="s">
        <v>2641</v>
      </c>
      <c r="F132" s="81" t="s">
        <v>6</v>
      </c>
      <c r="G132" s="80" t="s">
        <v>2650</v>
      </c>
      <c r="H132" s="66"/>
    </row>
    <row r="133" spans="2:8" x14ac:dyDescent="0.3">
      <c r="B133" s="43">
        <v>45908</v>
      </c>
      <c r="C133" s="14" t="s">
        <v>2124</v>
      </c>
      <c r="D133" s="7" t="s">
        <v>2640</v>
      </c>
      <c r="E133" s="7" t="s">
        <v>2641</v>
      </c>
      <c r="F133" s="7" t="s">
        <v>6</v>
      </c>
      <c r="G133" s="15" t="s">
        <v>2649</v>
      </c>
      <c r="H133" s="7"/>
    </row>
    <row r="134" spans="2:8" x14ac:dyDescent="0.3">
      <c r="B134" s="43">
        <v>45909</v>
      </c>
      <c r="C134" s="14" t="s">
        <v>2124</v>
      </c>
      <c r="D134" s="7" t="s">
        <v>2568</v>
      </c>
      <c r="E134" s="7" t="s">
        <v>2635</v>
      </c>
      <c r="F134" s="7" t="s">
        <v>6</v>
      </c>
      <c r="G134" s="7" t="s">
        <v>2651</v>
      </c>
      <c r="H134" s="7"/>
    </row>
    <row r="135" spans="2:8" x14ac:dyDescent="0.3">
      <c r="B135" s="43">
        <v>45910</v>
      </c>
      <c r="C135" s="14" t="s">
        <v>2124</v>
      </c>
      <c r="D135" s="7" t="s">
        <v>2640</v>
      </c>
      <c r="E135" s="7" t="s">
        <v>2635</v>
      </c>
      <c r="F135" s="7" t="s">
        <v>6</v>
      </c>
      <c r="G135" s="82" t="s">
        <v>2649</v>
      </c>
      <c r="H135" s="7"/>
    </row>
    <row r="136" spans="2:8" x14ac:dyDescent="0.3">
      <c r="B136" s="43">
        <v>45911</v>
      </c>
      <c r="C136" s="14" t="s">
        <v>2124</v>
      </c>
      <c r="D136" s="7" t="s">
        <v>2568</v>
      </c>
      <c r="E136" s="7" t="s">
        <v>2652</v>
      </c>
      <c r="F136" s="81" t="s">
        <v>4</v>
      </c>
      <c r="G136" s="56" t="s">
        <v>2653</v>
      </c>
      <c r="H136" s="66"/>
    </row>
    <row r="137" spans="2:8" x14ac:dyDescent="0.3">
      <c r="B137" s="43">
        <v>45912</v>
      </c>
      <c r="C137" s="14" t="s">
        <v>2124</v>
      </c>
      <c r="D137" s="7" t="s">
        <v>2568</v>
      </c>
      <c r="E137" s="7" t="s">
        <v>2652</v>
      </c>
      <c r="F137" s="81" t="s">
        <v>4</v>
      </c>
      <c r="G137" s="56" t="s">
        <v>2653</v>
      </c>
      <c r="H137" s="66"/>
    </row>
    <row r="138" spans="2:8" x14ac:dyDescent="0.3">
      <c r="B138" s="43">
        <v>45915</v>
      </c>
      <c r="C138" s="14" t="s">
        <v>2124</v>
      </c>
      <c r="D138" s="7" t="s">
        <v>2568</v>
      </c>
      <c r="E138" s="7" t="s">
        <v>2652</v>
      </c>
      <c r="F138" s="81" t="s">
        <v>4</v>
      </c>
      <c r="G138" s="56" t="s">
        <v>2653</v>
      </c>
      <c r="H138" s="66"/>
    </row>
    <row r="139" spans="2:8" x14ac:dyDescent="0.3">
      <c r="B139" s="43">
        <v>45916</v>
      </c>
      <c r="C139" s="14" t="s">
        <v>2124</v>
      </c>
      <c r="D139" s="7" t="s">
        <v>2568</v>
      </c>
      <c r="E139" s="7" t="s">
        <v>2654</v>
      </c>
      <c r="F139" s="81" t="s">
        <v>4</v>
      </c>
      <c r="G139" s="56" t="s">
        <v>2655</v>
      </c>
      <c r="H139" s="66"/>
    </row>
    <row r="140" spans="2:8" x14ac:dyDescent="0.3">
      <c r="B140" s="43">
        <v>45917</v>
      </c>
      <c r="C140" s="14" t="s">
        <v>2124</v>
      </c>
      <c r="D140" s="7" t="s">
        <v>2568</v>
      </c>
      <c r="E140" s="7" t="s">
        <v>2654</v>
      </c>
      <c r="F140" s="81" t="s">
        <v>4</v>
      </c>
      <c r="G140" s="56" t="s">
        <v>2656</v>
      </c>
      <c r="H140" s="66"/>
    </row>
    <row r="141" spans="2:8" x14ac:dyDescent="0.3">
      <c r="B141" s="43">
        <v>45922</v>
      </c>
      <c r="C141" s="14" t="s">
        <v>2124</v>
      </c>
      <c r="D141" s="7" t="s">
        <v>2568</v>
      </c>
      <c r="E141" s="7" t="s">
        <v>2652</v>
      </c>
      <c r="F141" s="81" t="s">
        <v>4</v>
      </c>
      <c r="G141" s="56" t="s">
        <v>2653</v>
      </c>
      <c r="H141" s="66"/>
    </row>
    <row r="142" spans="2:8" x14ac:dyDescent="0.3">
      <c r="B142" s="43">
        <v>45923</v>
      </c>
      <c r="C142" s="14" t="s">
        <v>2124</v>
      </c>
      <c r="D142" s="7" t="s">
        <v>2640</v>
      </c>
      <c r="E142" s="7" t="s">
        <v>2641</v>
      </c>
      <c r="F142" s="81" t="s">
        <v>6</v>
      </c>
      <c r="G142" s="88" t="s">
        <v>2649</v>
      </c>
      <c r="H142" s="66"/>
    </row>
    <row r="143" spans="2:8" x14ac:dyDescent="0.3">
      <c r="B143" s="43">
        <v>45924</v>
      </c>
      <c r="C143" s="14" t="s">
        <v>2124</v>
      </c>
      <c r="D143" s="7" t="s">
        <v>2640</v>
      </c>
      <c r="E143" s="7" t="s">
        <v>2641</v>
      </c>
      <c r="F143" s="7" t="s">
        <v>6</v>
      </c>
      <c r="G143" s="15" t="s">
        <v>2649</v>
      </c>
      <c r="H143" s="7"/>
    </row>
    <row r="144" spans="2:8" x14ac:dyDescent="0.3">
      <c r="B144" s="43">
        <v>45925</v>
      </c>
      <c r="C144" s="14" t="s">
        <v>2124</v>
      </c>
      <c r="D144" s="7" t="s">
        <v>2640</v>
      </c>
      <c r="E144" s="7" t="s">
        <v>2641</v>
      </c>
      <c r="F144" s="7" t="s">
        <v>6</v>
      </c>
      <c r="G144" s="7" t="s">
        <v>2649</v>
      </c>
      <c r="H144" s="7"/>
    </row>
    <row r="145" spans="2:8" x14ac:dyDescent="0.3">
      <c r="B145" s="43">
        <v>45926</v>
      </c>
      <c r="C145" s="14" t="s">
        <v>2124</v>
      </c>
      <c r="D145" s="7" t="s">
        <v>2640</v>
      </c>
      <c r="E145" s="7" t="s">
        <v>2641</v>
      </c>
      <c r="F145" s="7" t="s">
        <v>6</v>
      </c>
      <c r="G145" s="7" t="s">
        <v>2649</v>
      </c>
      <c r="H145" s="7"/>
    </row>
    <row r="146" spans="2:8" x14ac:dyDescent="0.3">
      <c r="B146" s="43">
        <v>45929</v>
      </c>
      <c r="C146" s="14" t="s">
        <v>2124</v>
      </c>
      <c r="D146" s="7" t="s">
        <v>2640</v>
      </c>
      <c r="E146" s="7" t="s">
        <v>2641</v>
      </c>
      <c r="F146" s="7" t="s">
        <v>6</v>
      </c>
      <c r="G146" s="7" t="s">
        <v>2649</v>
      </c>
      <c r="H146" s="7"/>
    </row>
    <row r="147" spans="2:8" x14ac:dyDescent="0.3">
      <c r="B147" s="43">
        <v>45930</v>
      </c>
      <c r="C147" s="14" t="s">
        <v>2124</v>
      </c>
      <c r="D147" s="7" t="s">
        <v>2568</v>
      </c>
      <c r="E147" s="7" t="s">
        <v>2652</v>
      </c>
      <c r="F147" s="7" t="s">
        <v>4</v>
      </c>
      <c r="G147" s="7" t="s">
        <v>2653</v>
      </c>
      <c r="H147" s="7"/>
    </row>
    <row r="148" spans="2:8" x14ac:dyDescent="0.3">
      <c r="B148" s="43">
        <v>45931</v>
      </c>
      <c r="C148" s="14" t="s">
        <v>2124</v>
      </c>
      <c r="D148" s="7" t="s">
        <v>2640</v>
      </c>
      <c r="E148" s="7" t="s">
        <v>2641</v>
      </c>
      <c r="F148" s="7" t="s">
        <v>6</v>
      </c>
      <c r="G148" s="7" t="s">
        <v>2649</v>
      </c>
      <c r="H148" s="7"/>
    </row>
    <row r="149" spans="2:8" x14ac:dyDescent="0.3">
      <c r="B149" s="43">
        <v>45932</v>
      </c>
      <c r="C149" s="14" t="s">
        <v>2124</v>
      </c>
      <c r="D149" s="7" t="s">
        <v>2640</v>
      </c>
      <c r="E149" s="7" t="s">
        <v>2641</v>
      </c>
      <c r="F149" s="7" t="s">
        <v>6</v>
      </c>
      <c r="G149" s="7" t="s">
        <v>2649</v>
      </c>
      <c r="H149" s="7"/>
    </row>
    <row r="150" spans="2:8" x14ac:dyDescent="0.3">
      <c r="B150" s="43">
        <v>45933</v>
      </c>
      <c r="C150" s="14" t="s">
        <v>2124</v>
      </c>
      <c r="D150" s="7" t="s">
        <v>2640</v>
      </c>
      <c r="E150" s="7" t="s">
        <v>2641</v>
      </c>
      <c r="F150" s="7" t="s">
        <v>6</v>
      </c>
      <c r="G150" s="7" t="s">
        <v>2649</v>
      </c>
      <c r="H150" s="7"/>
    </row>
    <row r="151" spans="2:8" x14ac:dyDescent="0.3">
      <c r="B151" s="43">
        <v>45936</v>
      </c>
      <c r="C151" s="14" t="s">
        <v>2124</v>
      </c>
      <c r="D151" s="7" t="s">
        <v>2640</v>
      </c>
      <c r="E151" s="7" t="s">
        <v>2641</v>
      </c>
      <c r="F151" s="7" t="s">
        <v>6</v>
      </c>
      <c r="G151" s="7" t="s">
        <v>2649</v>
      </c>
      <c r="H151" s="7"/>
    </row>
    <row r="152" spans="2:8" x14ac:dyDescent="0.3">
      <c r="B152" s="43">
        <v>45937</v>
      </c>
      <c r="C152" s="14" t="s">
        <v>2124</v>
      </c>
      <c r="D152" s="7" t="s">
        <v>2568</v>
      </c>
      <c r="E152" s="7" t="s">
        <v>2657</v>
      </c>
      <c r="F152" s="7" t="s">
        <v>4</v>
      </c>
      <c r="G152" s="7" t="s">
        <v>2658</v>
      </c>
      <c r="H152" s="7"/>
    </row>
    <row r="153" spans="2:8" x14ac:dyDescent="0.3">
      <c r="B153" s="43">
        <v>45938</v>
      </c>
      <c r="C153" s="14" t="s">
        <v>2124</v>
      </c>
      <c r="D153" s="7" t="s">
        <v>2568</v>
      </c>
      <c r="E153" s="7" t="s">
        <v>2657</v>
      </c>
      <c r="F153" s="7" t="s">
        <v>4</v>
      </c>
      <c r="G153" s="7" t="s">
        <v>2658</v>
      </c>
      <c r="H153" s="7"/>
    </row>
    <row r="154" spans="2:8" x14ac:dyDescent="0.3">
      <c r="B154" s="43">
        <v>45939</v>
      </c>
      <c r="C154" s="14" t="s">
        <v>2124</v>
      </c>
      <c r="D154" s="7" t="s">
        <v>2568</v>
      </c>
      <c r="E154" s="7" t="s">
        <v>2657</v>
      </c>
      <c r="F154" s="7" t="s">
        <v>4</v>
      </c>
      <c r="G154" s="7" t="s">
        <v>2658</v>
      </c>
      <c r="H154" s="7"/>
    </row>
    <row r="155" spans="2:8" x14ac:dyDescent="0.3">
      <c r="B155" s="43">
        <v>45940</v>
      </c>
      <c r="C155" s="14" t="s">
        <v>2124</v>
      </c>
      <c r="D155" s="7" t="s">
        <v>2568</v>
      </c>
      <c r="E155" s="7" t="s">
        <v>2657</v>
      </c>
      <c r="F155" s="7" t="s">
        <v>4</v>
      </c>
      <c r="G155" s="7" t="s">
        <v>2658</v>
      </c>
      <c r="H155" s="7"/>
    </row>
    <row r="156" spans="2:8" x14ac:dyDescent="0.3">
      <c r="B156" s="43">
        <v>45943</v>
      </c>
      <c r="C156" s="14" t="s">
        <v>2124</v>
      </c>
      <c r="D156" s="7" t="s">
        <v>2640</v>
      </c>
      <c r="E156" s="7" t="s">
        <v>2641</v>
      </c>
      <c r="F156" s="7" t="s">
        <v>6</v>
      </c>
      <c r="G156" s="7" t="s">
        <v>2649</v>
      </c>
      <c r="H156" s="7"/>
    </row>
    <row r="157" spans="2:8" x14ac:dyDescent="0.3">
      <c r="B157" s="43">
        <v>45944</v>
      </c>
      <c r="C157" s="14" t="s">
        <v>2124</v>
      </c>
      <c r="D157" s="7" t="s">
        <v>2640</v>
      </c>
      <c r="E157" s="7" t="s">
        <v>2641</v>
      </c>
      <c r="F157" s="7" t="s">
        <v>6</v>
      </c>
      <c r="G157" s="7" t="s">
        <v>2649</v>
      </c>
      <c r="H157" s="7"/>
    </row>
    <row r="158" spans="2:8" x14ac:dyDescent="0.3">
      <c r="B158" s="43">
        <v>45945</v>
      </c>
      <c r="C158" s="14" t="s">
        <v>2124</v>
      </c>
      <c r="D158" s="7" t="s">
        <v>2568</v>
      </c>
      <c r="E158" s="7" t="s">
        <v>2657</v>
      </c>
      <c r="F158" s="7" t="s">
        <v>4</v>
      </c>
      <c r="G158" s="7" t="s">
        <v>2658</v>
      </c>
      <c r="H158" s="7"/>
    </row>
    <row r="159" spans="2:8" x14ac:dyDescent="0.3">
      <c r="B159" s="43">
        <v>45946</v>
      </c>
      <c r="C159" s="14" t="s">
        <v>2124</v>
      </c>
      <c r="D159" s="7" t="s">
        <v>2568</v>
      </c>
      <c r="E159" s="7" t="s">
        <v>2657</v>
      </c>
      <c r="F159" s="7" t="s">
        <v>4</v>
      </c>
      <c r="G159" s="7" t="s">
        <v>2658</v>
      </c>
      <c r="H159" s="7"/>
    </row>
    <row r="160" spans="2:8" x14ac:dyDescent="0.3">
      <c r="B160" s="43">
        <v>45947</v>
      </c>
      <c r="C160" s="14" t="s">
        <v>2124</v>
      </c>
      <c r="D160" s="7" t="s">
        <v>2568</v>
      </c>
      <c r="E160" s="7" t="s">
        <v>2652</v>
      </c>
      <c r="F160" s="7" t="s">
        <v>4</v>
      </c>
      <c r="G160" s="7" t="s">
        <v>2659</v>
      </c>
      <c r="H160" s="7"/>
    </row>
    <row r="161" spans="2:8" x14ac:dyDescent="0.3">
      <c r="B161" s="43">
        <v>45950</v>
      </c>
      <c r="C161" s="14" t="s">
        <v>2124</v>
      </c>
      <c r="D161" s="7" t="s">
        <v>2640</v>
      </c>
      <c r="E161" s="7" t="s">
        <v>2641</v>
      </c>
      <c r="F161" s="7" t="s">
        <v>6</v>
      </c>
      <c r="G161" s="7" t="s">
        <v>2649</v>
      </c>
      <c r="H161" s="7"/>
    </row>
    <row r="162" spans="2:8" x14ac:dyDescent="0.3">
      <c r="B162" s="43">
        <v>45951</v>
      </c>
      <c r="C162" s="14" t="s">
        <v>2124</v>
      </c>
      <c r="D162" s="7" t="s">
        <v>2640</v>
      </c>
      <c r="E162" s="7" t="s">
        <v>2641</v>
      </c>
      <c r="F162" s="7" t="s">
        <v>6</v>
      </c>
      <c r="G162" s="7" t="s">
        <v>2649</v>
      </c>
      <c r="H162" s="7"/>
    </row>
    <row r="163" spans="2:8" x14ac:dyDescent="0.3">
      <c r="B163" s="43">
        <v>45952</v>
      </c>
      <c r="C163" s="14" t="s">
        <v>2124</v>
      </c>
      <c r="D163" s="7" t="s">
        <v>2640</v>
      </c>
      <c r="E163" s="7" t="s">
        <v>2641</v>
      </c>
      <c r="F163" s="7" t="s">
        <v>6</v>
      </c>
      <c r="G163" s="7" t="s">
        <v>2649</v>
      </c>
      <c r="H163" s="7"/>
    </row>
    <row r="164" spans="2:8" x14ac:dyDescent="0.3">
      <c r="B164" s="43">
        <v>45953</v>
      </c>
      <c r="C164" s="14" t="s">
        <v>2124</v>
      </c>
      <c r="D164" s="7" t="s">
        <v>2640</v>
      </c>
      <c r="E164" s="7" t="s">
        <v>2641</v>
      </c>
      <c r="F164" s="7" t="s">
        <v>6</v>
      </c>
      <c r="G164" s="7" t="s">
        <v>2649</v>
      </c>
      <c r="H164" s="7"/>
    </row>
    <row r="165" spans="2:8" x14ac:dyDescent="0.3">
      <c r="B165" s="43">
        <v>45954</v>
      </c>
      <c r="C165" s="14" t="s">
        <v>2124</v>
      </c>
      <c r="D165" s="7" t="s">
        <v>2568</v>
      </c>
      <c r="E165" s="7" t="s">
        <v>2652</v>
      </c>
      <c r="F165" s="7" t="s">
        <v>6</v>
      </c>
      <c r="G165" s="7" t="s">
        <v>2659</v>
      </c>
      <c r="H165" s="7"/>
    </row>
    <row r="166" spans="2:8" x14ac:dyDescent="0.3">
      <c r="B166" s="43">
        <v>45957</v>
      </c>
      <c r="C166" s="14" t="s">
        <v>2124</v>
      </c>
      <c r="D166" s="7" t="s">
        <v>2640</v>
      </c>
      <c r="E166" s="7" t="s">
        <v>2641</v>
      </c>
      <c r="F166" s="7" t="s">
        <v>6</v>
      </c>
      <c r="G166" s="7" t="s">
        <v>2649</v>
      </c>
      <c r="H166" s="7"/>
    </row>
    <row r="167" spans="2:8" x14ac:dyDescent="0.3">
      <c r="B167" s="43">
        <v>45958</v>
      </c>
      <c r="C167" s="14" t="s">
        <v>2124</v>
      </c>
      <c r="D167" s="7" t="s">
        <v>2640</v>
      </c>
      <c r="E167" s="7" t="s">
        <v>2641</v>
      </c>
      <c r="F167" s="7" t="s">
        <v>6</v>
      </c>
      <c r="G167" s="7" t="s">
        <v>2649</v>
      </c>
      <c r="H167" s="7"/>
    </row>
    <row r="168" spans="2:8" x14ac:dyDescent="0.3">
      <c r="B168" s="43">
        <v>45959</v>
      </c>
      <c r="C168" s="14" t="s">
        <v>2124</v>
      </c>
      <c r="D168" s="7" t="s">
        <v>2640</v>
      </c>
      <c r="E168" s="7" t="s">
        <v>2641</v>
      </c>
      <c r="F168" s="7" t="s">
        <v>6</v>
      </c>
      <c r="G168" s="7" t="s">
        <v>2649</v>
      </c>
      <c r="H168" s="7"/>
    </row>
    <row r="169" spans="2:8" x14ac:dyDescent="0.3">
      <c r="B169" s="43">
        <v>45960</v>
      </c>
      <c r="C169" s="14" t="s">
        <v>2124</v>
      </c>
      <c r="D169" s="7" t="s">
        <v>2640</v>
      </c>
      <c r="E169" s="7" t="s">
        <v>2641</v>
      </c>
      <c r="F169" s="7" t="s">
        <v>6</v>
      </c>
      <c r="G169" s="7" t="s">
        <v>2649</v>
      </c>
      <c r="H169" s="7"/>
    </row>
    <row r="170" spans="2:8" x14ac:dyDescent="0.3">
      <c r="B170" s="43">
        <v>45962</v>
      </c>
      <c r="C170" s="14" t="s">
        <v>2124</v>
      </c>
      <c r="D170" s="7" t="s">
        <v>2568</v>
      </c>
      <c r="E170" s="7" t="s">
        <v>2652</v>
      </c>
      <c r="F170" s="7" t="s">
        <v>4</v>
      </c>
      <c r="G170" s="7" t="s">
        <v>2659</v>
      </c>
      <c r="H170" s="7"/>
    </row>
    <row r="171" spans="2:8" x14ac:dyDescent="0.3">
      <c r="B171" s="43">
        <v>45963</v>
      </c>
      <c r="C171" s="14" t="s">
        <v>2124</v>
      </c>
      <c r="D171" s="7" t="s">
        <v>2640</v>
      </c>
      <c r="E171" s="7" t="s">
        <v>2641</v>
      </c>
      <c r="F171" s="7" t="s">
        <v>6</v>
      </c>
      <c r="G171" s="7" t="s">
        <v>2660</v>
      </c>
      <c r="H171" s="7"/>
    </row>
    <row r="172" spans="2:8" x14ac:dyDescent="0.3">
      <c r="B172" s="43">
        <v>45964</v>
      </c>
      <c r="C172" s="14" t="s">
        <v>2124</v>
      </c>
      <c r="D172" s="7" t="s">
        <v>2640</v>
      </c>
      <c r="E172" s="7" t="s">
        <v>2641</v>
      </c>
      <c r="F172" s="7" t="s">
        <v>6</v>
      </c>
      <c r="G172" s="7" t="s">
        <v>2660</v>
      </c>
      <c r="H172" s="7"/>
    </row>
    <row r="173" spans="2:8" x14ac:dyDescent="0.3">
      <c r="B173" s="43">
        <v>45965</v>
      </c>
      <c r="C173" s="14" t="s">
        <v>2124</v>
      </c>
      <c r="D173" s="7" t="s">
        <v>2640</v>
      </c>
      <c r="E173" s="7" t="s">
        <v>2641</v>
      </c>
      <c r="F173" s="7" t="s">
        <v>6</v>
      </c>
      <c r="G173" s="7" t="s">
        <v>2660</v>
      </c>
      <c r="H173" s="7"/>
    </row>
    <row r="174" spans="2:8" x14ac:dyDescent="0.3">
      <c r="B174" s="43">
        <v>45966</v>
      </c>
      <c r="C174" s="14" t="s">
        <v>2124</v>
      </c>
      <c r="D174" s="7" t="s">
        <v>2568</v>
      </c>
      <c r="E174" s="7" t="s">
        <v>2654</v>
      </c>
      <c r="F174" s="7" t="s">
        <v>4</v>
      </c>
      <c r="G174" s="7" t="s">
        <v>2661</v>
      </c>
      <c r="H174" s="7"/>
    </row>
    <row r="175" spans="2:8" x14ac:dyDescent="0.3">
      <c r="B175" s="43">
        <v>45967</v>
      </c>
      <c r="C175" s="14" t="s">
        <v>2124</v>
      </c>
      <c r="D175" s="7" t="s">
        <v>2568</v>
      </c>
      <c r="E175" s="7" t="s">
        <v>2654</v>
      </c>
      <c r="F175" s="7" t="s">
        <v>4</v>
      </c>
      <c r="G175" s="7" t="s">
        <v>2661</v>
      </c>
      <c r="H175" s="7"/>
    </row>
    <row r="176" spans="2:8" x14ac:dyDescent="0.3">
      <c r="B176" s="43">
        <v>45968</v>
      </c>
      <c r="C176" s="14" t="s">
        <v>2124</v>
      </c>
      <c r="D176" s="7" t="s">
        <v>2640</v>
      </c>
      <c r="E176" s="7" t="s">
        <v>2641</v>
      </c>
      <c r="F176" s="7" t="s">
        <v>6</v>
      </c>
      <c r="G176" s="7" t="s">
        <v>2660</v>
      </c>
      <c r="H176" s="7"/>
    </row>
    <row r="177" spans="2:8" x14ac:dyDescent="0.3">
      <c r="B177" s="43">
        <v>45969</v>
      </c>
      <c r="C177" s="14" t="s">
        <v>2124</v>
      </c>
      <c r="D177" s="7" t="s">
        <v>2640</v>
      </c>
      <c r="E177" s="7" t="s">
        <v>2641</v>
      </c>
      <c r="F177" s="7" t="s">
        <v>6</v>
      </c>
      <c r="G177" s="7" t="s">
        <v>2660</v>
      </c>
      <c r="H177" s="7"/>
    </row>
    <row r="178" spans="2:8" x14ac:dyDescent="0.3">
      <c r="B178" s="43">
        <v>45970</v>
      </c>
      <c r="C178" s="14" t="s">
        <v>2124</v>
      </c>
      <c r="D178" s="7" t="s">
        <v>2640</v>
      </c>
      <c r="E178" s="7" t="s">
        <v>2641</v>
      </c>
      <c r="F178" s="7" t="s">
        <v>6</v>
      </c>
      <c r="G178" s="7" t="s">
        <v>2660</v>
      </c>
      <c r="H178" s="7"/>
    </row>
    <row r="179" spans="2:8" x14ac:dyDescent="0.3">
      <c r="B179" s="43">
        <v>45971</v>
      </c>
      <c r="C179" s="14" t="s">
        <v>2124</v>
      </c>
      <c r="D179" s="7" t="s">
        <v>2568</v>
      </c>
      <c r="E179" s="7" t="s">
        <v>2654</v>
      </c>
      <c r="F179" s="7" t="s">
        <v>4</v>
      </c>
      <c r="G179" s="7" t="s">
        <v>2662</v>
      </c>
      <c r="H179" s="7"/>
    </row>
    <row r="180" spans="2:8" x14ac:dyDescent="0.3">
      <c r="B180" s="43">
        <v>45972</v>
      </c>
      <c r="C180" s="14" t="s">
        <v>2124</v>
      </c>
      <c r="D180" s="7" t="s">
        <v>2568</v>
      </c>
      <c r="E180" s="7" t="s">
        <v>2654</v>
      </c>
      <c r="F180" s="7" t="s">
        <v>4</v>
      </c>
      <c r="G180" s="7" t="s">
        <v>2662</v>
      </c>
      <c r="H180" s="7"/>
    </row>
    <row r="181" spans="2:8" x14ac:dyDescent="0.3">
      <c r="B181" s="43">
        <v>45973</v>
      </c>
      <c r="C181" s="14" t="s">
        <v>2124</v>
      </c>
      <c r="D181" s="7" t="s">
        <v>2640</v>
      </c>
      <c r="E181" s="7" t="s">
        <v>2641</v>
      </c>
      <c r="F181" s="7" t="s">
        <v>6</v>
      </c>
      <c r="G181" s="7" t="s">
        <v>2663</v>
      </c>
      <c r="H181" s="7"/>
    </row>
    <row r="182" spans="2:8" x14ac:dyDescent="0.3">
      <c r="B182" s="43">
        <v>45974</v>
      </c>
      <c r="C182" s="14" t="s">
        <v>2124</v>
      </c>
      <c r="D182" s="7" t="s">
        <v>2640</v>
      </c>
      <c r="E182" s="7" t="s">
        <v>2641</v>
      </c>
      <c r="F182" s="7" t="s">
        <v>6</v>
      </c>
      <c r="G182" s="7" t="s">
        <v>2663</v>
      </c>
      <c r="H182" s="7"/>
    </row>
    <row r="183" spans="2:8" x14ac:dyDescent="0.3">
      <c r="B183" s="43">
        <v>45975</v>
      </c>
      <c r="C183" s="14" t="s">
        <v>2124</v>
      </c>
      <c r="D183" s="7" t="s">
        <v>2640</v>
      </c>
      <c r="E183" s="7" t="s">
        <v>2641</v>
      </c>
      <c r="F183" s="7" t="s">
        <v>6</v>
      </c>
      <c r="G183" s="7" t="s">
        <v>2663</v>
      </c>
      <c r="H183" s="7"/>
    </row>
    <row r="184" spans="2:8" x14ac:dyDescent="0.3">
      <c r="B184" s="43">
        <v>45978</v>
      </c>
      <c r="C184" s="14" t="s">
        <v>2124</v>
      </c>
      <c r="D184" s="7" t="s">
        <v>2664</v>
      </c>
      <c r="E184" s="7" t="s">
        <v>2641</v>
      </c>
      <c r="F184" s="7" t="s">
        <v>6</v>
      </c>
      <c r="G184" s="7" t="s">
        <v>2663</v>
      </c>
      <c r="H184" s="7"/>
    </row>
    <row r="185" spans="2:8" x14ac:dyDescent="0.3">
      <c r="B185" s="43">
        <v>45979</v>
      </c>
      <c r="C185" s="14" t="s">
        <v>2124</v>
      </c>
      <c r="D185" s="7" t="s">
        <v>2640</v>
      </c>
      <c r="E185" s="7" t="s">
        <v>2641</v>
      </c>
      <c r="F185" s="7" t="s">
        <v>6</v>
      </c>
      <c r="G185" s="7" t="s">
        <v>2663</v>
      </c>
      <c r="H185" s="7"/>
    </row>
    <row r="186" spans="2:8" x14ac:dyDescent="0.3">
      <c r="B186" s="43">
        <v>45980</v>
      </c>
      <c r="C186" s="14" t="s">
        <v>2124</v>
      </c>
      <c r="D186" s="7" t="s">
        <v>2640</v>
      </c>
      <c r="E186" s="7" t="s">
        <v>2641</v>
      </c>
      <c r="F186" s="7" t="s">
        <v>6</v>
      </c>
      <c r="G186" s="7" t="s">
        <v>2663</v>
      </c>
      <c r="H186" s="7"/>
    </row>
    <row r="187" spans="2:8" x14ac:dyDescent="0.3">
      <c r="B187" s="43">
        <v>45987</v>
      </c>
      <c r="C187" s="14" t="s">
        <v>2124</v>
      </c>
      <c r="D187" s="7" t="s">
        <v>2665</v>
      </c>
      <c r="E187" s="7" t="s">
        <v>2641</v>
      </c>
      <c r="F187" s="7" t="s">
        <v>6</v>
      </c>
      <c r="G187" s="7" t="s">
        <v>2663</v>
      </c>
      <c r="H187" s="7"/>
    </row>
    <row r="188" spans="2:8" x14ac:dyDescent="0.3">
      <c r="B188" s="43">
        <v>45988</v>
      </c>
      <c r="C188" s="14" t="s">
        <v>2124</v>
      </c>
      <c r="D188" s="7" t="s">
        <v>2568</v>
      </c>
      <c r="E188" s="7" t="s">
        <v>2666</v>
      </c>
      <c r="F188" s="7" t="s">
        <v>6</v>
      </c>
      <c r="G188" s="7" t="s">
        <v>2667</v>
      </c>
      <c r="H188" s="7"/>
    </row>
    <row r="189" spans="2:8" x14ac:dyDescent="0.3">
      <c r="B189" s="43">
        <v>45989</v>
      </c>
      <c r="C189" s="14" t="s">
        <v>2124</v>
      </c>
      <c r="D189" s="7" t="s">
        <v>2568</v>
      </c>
      <c r="E189" s="7" t="s">
        <v>2666</v>
      </c>
      <c r="F189" s="7" t="s">
        <v>6</v>
      </c>
      <c r="G189" s="7" t="s">
        <v>2668</v>
      </c>
      <c r="H189" s="7"/>
    </row>
    <row r="190" spans="2:8" x14ac:dyDescent="0.3">
      <c r="B190" s="43">
        <v>45992</v>
      </c>
      <c r="C190" s="14" t="s">
        <v>2124</v>
      </c>
      <c r="D190" s="7" t="s">
        <v>2568</v>
      </c>
      <c r="E190" s="7" t="s">
        <v>2666</v>
      </c>
      <c r="F190" s="7" t="s">
        <v>6</v>
      </c>
      <c r="G190" s="7" t="s">
        <v>2667</v>
      </c>
      <c r="H190" s="7"/>
    </row>
    <row r="191" spans="2:8" x14ac:dyDescent="0.3">
      <c r="B191" s="43">
        <v>45993</v>
      </c>
      <c r="C191" s="14" t="s">
        <v>2124</v>
      </c>
      <c r="D191" s="7" t="s">
        <v>2568</v>
      </c>
      <c r="E191" s="7" t="s">
        <v>2666</v>
      </c>
      <c r="F191" s="7" t="s">
        <v>6</v>
      </c>
      <c r="G191" s="7" t="s">
        <v>2667</v>
      </c>
      <c r="H191" s="7"/>
    </row>
    <row r="192" spans="2:8" x14ac:dyDescent="0.3">
      <c r="B192" s="43">
        <v>45994</v>
      </c>
      <c r="C192" s="14" t="s">
        <v>2124</v>
      </c>
      <c r="D192" s="7" t="s">
        <v>2568</v>
      </c>
      <c r="E192" s="7" t="s">
        <v>2666</v>
      </c>
      <c r="F192" s="7" t="s">
        <v>6</v>
      </c>
      <c r="G192" s="7" t="s">
        <v>2667</v>
      </c>
      <c r="H192" s="7"/>
    </row>
    <row r="193" spans="2:8" x14ac:dyDescent="0.3">
      <c r="B193" s="43">
        <v>45995</v>
      </c>
      <c r="C193" s="14" t="s">
        <v>2124</v>
      </c>
      <c r="D193" s="7" t="s">
        <v>2640</v>
      </c>
      <c r="E193" s="7" t="s">
        <v>2641</v>
      </c>
      <c r="F193" s="7" t="s">
        <v>6</v>
      </c>
      <c r="G193" s="7" t="s">
        <v>2669</v>
      </c>
      <c r="H193" s="7"/>
    </row>
    <row r="194" spans="2:8" x14ac:dyDescent="0.3">
      <c r="B194" s="43">
        <v>45996</v>
      </c>
      <c r="C194" s="14" t="s">
        <v>2124</v>
      </c>
      <c r="D194" s="7" t="s">
        <v>2640</v>
      </c>
      <c r="E194" s="7" t="s">
        <v>2641</v>
      </c>
      <c r="F194" s="7" t="s">
        <v>6</v>
      </c>
      <c r="G194" s="7" t="s">
        <v>2670</v>
      </c>
      <c r="H194" s="7"/>
    </row>
    <row r="195" spans="2:8" x14ac:dyDescent="0.3">
      <c r="B195" s="43">
        <v>46000</v>
      </c>
      <c r="C195" s="14" t="s">
        <v>2124</v>
      </c>
      <c r="D195" s="7" t="s">
        <v>2640</v>
      </c>
      <c r="E195" s="7" t="s">
        <v>2641</v>
      </c>
      <c r="F195" s="7" t="s">
        <v>6</v>
      </c>
      <c r="G195" s="7" t="s">
        <v>2670</v>
      </c>
      <c r="H195" s="7"/>
    </row>
    <row r="196" spans="2:8" x14ac:dyDescent="0.3">
      <c r="B196" s="43">
        <v>46001</v>
      </c>
      <c r="C196" s="14" t="s">
        <v>2124</v>
      </c>
      <c r="D196" s="7" t="s">
        <v>2568</v>
      </c>
      <c r="E196" s="7" t="s">
        <v>2635</v>
      </c>
      <c r="F196" s="7" t="s">
        <v>4</v>
      </c>
      <c r="G196" s="7" t="s">
        <v>2671</v>
      </c>
      <c r="H196" s="7" t="s">
        <v>2672</v>
      </c>
    </row>
    <row r="197" spans="2:8" x14ac:dyDescent="0.3">
      <c r="B197" s="43">
        <v>46002</v>
      </c>
      <c r="C197" s="14" t="s">
        <v>2124</v>
      </c>
      <c r="D197" s="7" t="s">
        <v>2568</v>
      </c>
      <c r="E197" s="7" t="s">
        <v>2635</v>
      </c>
      <c r="F197" s="7" t="s">
        <v>2620</v>
      </c>
      <c r="G197" s="7" t="s">
        <v>2673</v>
      </c>
      <c r="H197" s="7" t="s">
        <v>2674</v>
      </c>
    </row>
    <row r="198" spans="2:8" x14ac:dyDescent="0.3">
      <c r="B198" s="43">
        <v>46003</v>
      </c>
      <c r="C198" s="14" t="s">
        <v>2124</v>
      </c>
      <c r="D198" s="7" t="s">
        <v>2675</v>
      </c>
      <c r="E198" s="7" t="s">
        <v>2676</v>
      </c>
      <c r="F198" s="7" t="s">
        <v>6</v>
      </c>
      <c r="G198" s="7" t="s">
        <v>2677</v>
      </c>
      <c r="H198" s="7"/>
    </row>
    <row r="199" spans="2:8" x14ac:dyDescent="0.3">
      <c r="B199" s="43">
        <v>46006</v>
      </c>
      <c r="C199" s="14" t="s">
        <v>2124</v>
      </c>
      <c r="D199" s="7" t="s">
        <v>2675</v>
      </c>
      <c r="E199" s="7" t="s">
        <v>2676</v>
      </c>
      <c r="F199" s="7" t="s">
        <v>6</v>
      </c>
      <c r="G199" s="7" t="s">
        <v>2677</v>
      </c>
      <c r="H199" s="7"/>
    </row>
    <row r="200" spans="2:8" x14ac:dyDescent="0.3">
      <c r="B200" s="43">
        <v>46007</v>
      </c>
      <c r="C200" s="14" t="s">
        <v>2124</v>
      </c>
      <c r="D200" s="7" t="s">
        <v>2675</v>
      </c>
      <c r="E200" s="7" t="s">
        <v>2676</v>
      </c>
      <c r="F200" s="7" t="s">
        <v>6</v>
      </c>
      <c r="G200" s="7" t="s">
        <v>2677</v>
      </c>
      <c r="H200" s="7"/>
    </row>
    <row r="201" spans="2:8" x14ac:dyDescent="0.3">
      <c r="B201" s="43">
        <v>46008</v>
      </c>
      <c r="C201" s="14" t="s">
        <v>2124</v>
      </c>
      <c r="D201" s="7" t="s">
        <v>2675</v>
      </c>
      <c r="E201" s="7" t="s">
        <v>2676</v>
      </c>
      <c r="F201" s="7" t="s">
        <v>6</v>
      </c>
      <c r="G201" s="7" t="s">
        <v>2677</v>
      </c>
      <c r="H201" s="7"/>
    </row>
    <row r="202" spans="2:8" x14ac:dyDescent="0.3">
      <c r="B202" s="43">
        <v>46009</v>
      </c>
      <c r="C202" s="14" t="s">
        <v>2124</v>
      </c>
      <c r="D202" s="7" t="s">
        <v>2675</v>
      </c>
      <c r="E202" s="7" t="s">
        <v>2676</v>
      </c>
      <c r="F202" s="7" t="s">
        <v>6</v>
      </c>
      <c r="G202" s="7" t="s">
        <v>2677</v>
      </c>
      <c r="H202" s="7"/>
    </row>
    <row r="203" spans="2:8" x14ac:dyDescent="0.3">
      <c r="B203" s="43">
        <v>46010</v>
      </c>
      <c r="C203" s="14" t="s">
        <v>2124</v>
      </c>
      <c r="D203" s="7" t="s">
        <v>2675</v>
      </c>
      <c r="E203" s="7" t="s">
        <v>2676</v>
      </c>
      <c r="F203" s="7" t="s">
        <v>6</v>
      </c>
      <c r="G203" s="7" t="s">
        <v>2677</v>
      </c>
      <c r="H203" s="7"/>
    </row>
    <row r="204" spans="2:8" x14ac:dyDescent="0.3">
      <c r="B204" s="43">
        <v>46013</v>
      </c>
      <c r="C204" s="14" t="s">
        <v>2124</v>
      </c>
      <c r="D204" s="7" t="s">
        <v>2675</v>
      </c>
      <c r="E204" s="7" t="s">
        <v>2676</v>
      </c>
      <c r="F204" s="7" t="s">
        <v>6</v>
      </c>
      <c r="G204" s="7" t="s">
        <v>2677</v>
      </c>
      <c r="H204" s="7"/>
    </row>
    <row r="205" spans="2:8" x14ac:dyDescent="0.3">
      <c r="B205" s="43">
        <v>46014</v>
      </c>
      <c r="C205" s="14" t="s">
        <v>2124</v>
      </c>
      <c r="D205" s="7" t="s">
        <v>2675</v>
      </c>
      <c r="E205" s="7" t="s">
        <v>2676</v>
      </c>
      <c r="F205" s="7" t="s">
        <v>6</v>
      </c>
      <c r="G205" s="7" t="s">
        <v>2677</v>
      </c>
      <c r="H205" s="7"/>
    </row>
    <row r="206" spans="2:8" x14ac:dyDescent="0.3">
      <c r="B206" s="43">
        <v>46015</v>
      </c>
      <c r="C206" s="14" t="s">
        <v>2124</v>
      </c>
      <c r="D206" s="7" t="s">
        <v>2675</v>
      </c>
      <c r="E206" s="7" t="s">
        <v>2676</v>
      </c>
      <c r="F206" s="7" t="s">
        <v>6</v>
      </c>
      <c r="G206" s="7" t="s">
        <v>2677</v>
      </c>
      <c r="H206" s="7"/>
    </row>
    <row r="207" spans="2:8" x14ac:dyDescent="0.3">
      <c r="B207" s="43">
        <v>46017</v>
      </c>
      <c r="C207" s="14" t="s">
        <v>2124</v>
      </c>
      <c r="D207" s="7" t="s">
        <v>2568</v>
      </c>
      <c r="E207" s="7" t="s">
        <v>2644</v>
      </c>
      <c r="F207" s="7" t="s">
        <v>4</v>
      </c>
      <c r="G207" s="7" t="s">
        <v>2678</v>
      </c>
      <c r="H207" s="7" t="s">
        <v>2679</v>
      </c>
    </row>
    <row r="208" spans="2:8" x14ac:dyDescent="0.3">
      <c r="B208" s="43">
        <v>46020</v>
      </c>
      <c r="C208" s="14" t="s">
        <v>2124</v>
      </c>
      <c r="D208" s="7" t="s">
        <v>2568</v>
      </c>
      <c r="E208" s="7" t="s">
        <v>2644</v>
      </c>
      <c r="F208" s="7" t="s">
        <v>4</v>
      </c>
      <c r="G208" s="7" t="s">
        <v>2680</v>
      </c>
      <c r="H208" s="7" t="s">
        <v>2674</v>
      </c>
    </row>
    <row r="209" spans="2:13" x14ac:dyDescent="0.3">
      <c r="B209" s="43">
        <v>46021</v>
      </c>
      <c r="C209" s="14" t="s">
        <v>2124</v>
      </c>
      <c r="D209" s="7" t="s">
        <v>2568</v>
      </c>
      <c r="E209" s="7" t="s">
        <v>2644</v>
      </c>
      <c r="F209" s="7" t="s">
        <v>4</v>
      </c>
      <c r="G209" s="7" t="s">
        <v>2681</v>
      </c>
      <c r="H209" s="7" t="s">
        <v>2674</v>
      </c>
    </row>
    <row r="210" spans="2:13" x14ac:dyDescent="0.3">
      <c r="B210" s="43">
        <v>46022</v>
      </c>
      <c r="C210" s="14" t="s">
        <v>2124</v>
      </c>
      <c r="D210" s="7" t="s">
        <v>2675</v>
      </c>
      <c r="E210" s="7" t="s">
        <v>2676</v>
      </c>
      <c r="F210" s="7" t="s">
        <v>6</v>
      </c>
      <c r="G210" s="7" t="s">
        <v>2677</v>
      </c>
      <c r="H210" s="7"/>
    </row>
    <row r="211" spans="2:13" x14ac:dyDescent="0.3">
      <c r="B211" s="43">
        <v>46024</v>
      </c>
      <c r="C211" s="14" t="s">
        <v>2124</v>
      </c>
      <c r="D211" s="7" t="s">
        <v>2568</v>
      </c>
      <c r="E211" s="7" t="s">
        <v>2644</v>
      </c>
      <c r="F211" s="7" t="s">
        <v>4</v>
      </c>
      <c r="G211" s="7" t="s">
        <v>2682</v>
      </c>
      <c r="H211" s="7" t="s">
        <v>2683</v>
      </c>
    </row>
    <row r="212" spans="2:13" x14ac:dyDescent="0.3">
      <c r="B212" s="43">
        <v>46027</v>
      </c>
      <c r="C212" s="14" t="s">
        <v>2124</v>
      </c>
      <c r="D212" s="7" t="s">
        <v>2675</v>
      </c>
      <c r="E212" s="7" t="s">
        <v>2676</v>
      </c>
      <c r="F212" s="7" t="s">
        <v>6</v>
      </c>
      <c r="G212" s="7" t="s">
        <v>2677</v>
      </c>
      <c r="H212" s="7"/>
    </row>
    <row r="213" spans="2:13" x14ac:dyDescent="0.3">
      <c r="B213" s="43">
        <v>46028</v>
      </c>
      <c r="C213" s="14" t="s">
        <v>2124</v>
      </c>
      <c r="D213" s="7" t="s">
        <v>2675</v>
      </c>
      <c r="E213" s="7" t="s">
        <v>2676</v>
      </c>
      <c r="F213" s="7" t="s">
        <v>6</v>
      </c>
      <c r="G213" s="7" t="s">
        <v>2677</v>
      </c>
      <c r="H213" s="7"/>
    </row>
    <row r="214" spans="2:13" x14ac:dyDescent="0.3">
      <c r="B214" s="43">
        <v>46029</v>
      </c>
      <c r="C214" s="14" t="s">
        <v>2124</v>
      </c>
      <c r="D214" s="7" t="s">
        <v>2675</v>
      </c>
      <c r="E214" s="7" t="s">
        <v>2676</v>
      </c>
      <c r="F214" s="7" t="s">
        <v>6</v>
      </c>
      <c r="G214" s="7" t="s">
        <v>2677</v>
      </c>
      <c r="H214" s="7"/>
    </row>
    <row r="215" spans="2:13" x14ac:dyDescent="0.3">
      <c r="B215" s="43">
        <v>46030</v>
      </c>
      <c r="C215" s="14" t="s">
        <v>2124</v>
      </c>
      <c r="D215" s="7" t="s">
        <v>2675</v>
      </c>
      <c r="E215" s="7" t="s">
        <v>2676</v>
      </c>
      <c r="F215" s="7" t="s">
        <v>6</v>
      </c>
      <c r="G215" s="7" t="s">
        <v>2677</v>
      </c>
      <c r="H215" s="7"/>
    </row>
    <row r="216" spans="2:13" x14ac:dyDescent="0.3">
      <c r="B216" s="43">
        <v>46031</v>
      </c>
      <c r="C216" s="14" t="s">
        <v>2124</v>
      </c>
      <c r="D216" s="7" t="s">
        <v>2568</v>
      </c>
      <c r="E216" s="7" t="s">
        <v>2644</v>
      </c>
      <c r="F216" s="7" t="s">
        <v>4</v>
      </c>
      <c r="G216" s="7" t="s">
        <v>2684</v>
      </c>
      <c r="H216" s="7" t="s">
        <v>2685</v>
      </c>
    </row>
    <row r="217" spans="2:13" x14ac:dyDescent="0.3">
      <c r="B217" s="43">
        <v>46034</v>
      </c>
      <c r="C217" s="14" t="s">
        <v>2124</v>
      </c>
      <c r="D217" s="7" t="s">
        <v>2568</v>
      </c>
      <c r="E217" s="7" t="s">
        <v>2644</v>
      </c>
      <c r="F217" s="7" t="s">
        <v>4</v>
      </c>
      <c r="G217" s="7" t="s">
        <v>2686</v>
      </c>
      <c r="H217" s="7" t="s">
        <v>2687</v>
      </c>
    </row>
    <row r="218" spans="2:13" x14ac:dyDescent="0.3">
      <c r="B218" s="43">
        <v>46035</v>
      </c>
      <c r="C218" s="14" t="s">
        <v>2124</v>
      </c>
      <c r="D218" s="7" t="s">
        <v>2675</v>
      </c>
      <c r="E218" s="7" t="s">
        <v>2676</v>
      </c>
      <c r="F218" s="7" t="s">
        <v>6</v>
      </c>
      <c r="G218" s="7" t="s">
        <v>2688</v>
      </c>
      <c r="H218" s="7"/>
    </row>
    <row r="219" spans="2:13" x14ac:dyDescent="0.3">
      <c r="B219" s="43">
        <v>46036</v>
      </c>
      <c r="C219" s="14" t="s">
        <v>2124</v>
      </c>
      <c r="D219" s="7" t="s">
        <v>2675</v>
      </c>
      <c r="E219" s="7" t="s">
        <v>2676</v>
      </c>
      <c r="F219" s="7" t="s">
        <v>6</v>
      </c>
      <c r="G219" s="7" t="s">
        <v>2688</v>
      </c>
      <c r="H219" s="7"/>
    </row>
    <row r="220" spans="2:13" x14ac:dyDescent="0.3">
      <c r="B220" s="43">
        <v>46037</v>
      </c>
      <c r="C220" s="14" t="s">
        <v>2124</v>
      </c>
      <c r="D220" s="7" t="s">
        <v>2568</v>
      </c>
      <c r="E220" s="7" t="s">
        <v>1870</v>
      </c>
      <c r="F220" s="7" t="s">
        <v>6</v>
      </c>
      <c r="G220" s="7" t="s">
        <v>2689</v>
      </c>
      <c r="H220" s="7" t="s">
        <v>2690</v>
      </c>
    </row>
    <row r="221" spans="2:13" x14ac:dyDescent="0.3">
      <c r="B221" s="43">
        <v>46038</v>
      </c>
      <c r="C221" s="14" t="s">
        <v>2124</v>
      </c>
      <c r="D221" s="7" t="s">
        <v>2568</v>
      </c>
      <c r="E221" s="7" t="s">
        <v>1870</v>
      </c>
      <c r="F221" s="7" t="s">
        <v>6</v>
      </c>
      <c r="G221" s="7" t="s">
        <v>2689</v>
      </c>
      <c r="H221" s="7" t="s">
        <v>2690</v>
      </c>
    </row>
    <row r="222" spans="2:13" s="120" customFormat="1" x14ac:dyDescent="0.3">
      <c r="B222" s="121">
        <v>46039</v>
      </c>
      <c r="C222" s="14" t="s">
        <v>2124</v>
      </c>
      <c r="D222" s="122" t="s">
        <v>2568</v>
      </c>
      <c r="E222" s="122" t="s">
        <v>1870</v>
      </c>
      <c r="F222" s="122" t="s">
        <v>6</v>
      </c>
      <c r="G222" s="122" t="s">
        <v>2689</v>
      </c>
      <c r="H222" s="122" t="s">
        <v>2691</v>
      </c>
      <c r="K222" s="376"/>
      <c r="L222" s="372"/>
      <c r="M222" s="376"/>
    </row>
    <row r="223" spans="2:13" s="120" customFormat="1" x14ac:dyDescent="0.3">
      <c r="B223" s="121">
        <v>46040</v>
      </c>
      <c r="C223" s="14" t="s">
        <v>2124</v>
      </c>
      <c r="D223" s="122" t="s">
        <v>2568</v>
      </c>
      <c r="E223" s="122" t="s">
        <v>1870</v>
      </c>
      <c r="F223" s="122" t="s">
        <v>6</v>
      </c>
      <c r="G223" s="122" t="s">
        <v>2689</v>
      </c>
      <c r="H223" s="122" t="s">
        <v>2692</v>
      </c>
      <c r="K223" s="376"/>
      <c r="L223" s="372"/>
      <c r="M223" s="376"/>
    </row>
    <row r="224" spans="2:13" x14ac:dyDescent="0.3">
      <c r="B224" s="43">
        <v>46041</v>
      </c>
      <c r="C224" s="14" t="s">
        <v>2124</v>
      </c>
      <c r="D224" s="7" t="s">
        <v>2568</v>
      </c>
      <c r="E224" s="7" t="s">
        <v>1870</v>
      </c>
      <c r="F224" s="7" t="s">
        <v>6</v>
      </c>
      <c r="G224" s="7" t="s">
        <v>2689</v>
      </c>
      <c r="H224" s="7"/>
    </row>
    <row r="225" spans="2:8" x14ac:dyDescent="0.3">
      <c r="B225" s="43">
        <v>46042</v>
      </c>
      <c r="C225" s="14" t="s">
        <v>2124</v>
      </c>
      <c r="D225" s="7" t="s">
        <v>2568</v>
      </c>
      <c r="E225" s="7" t="s">
        <v>1870</v>
      </c>
      <c r="F225" s="7" t="s">
        <v>6</v>
      </c>
      <c r="G225" s="7" t="s">
        <v>2693</v>
      </c>
      <c r="H225" s="7"/>
    </row>
    <row r="226" spans="2:8" x14ac:dyDescent="0.3">
      <c r="B226" s="43">
        <v>46043</v>
      </c>
      <c r="C226" s="14" t="s">
        <v>2124</v>
      </c>
      <c r="D226" s="7" t="s">
        <v>2568</v>
      </c>
      <c r="E226" s="7" t="s">
        <v>1870</v>
      </c>
      <c r="F226" s="7" t="s">
        <v>6</v>
      </c>
      <c r="G226" s="7" t="s">
        <v>2693</v>
      </c>
      <c r="H226" s="7"/>
    </row>
    <row r="227" spans="2:8" x14ac:dyDescent="0.3">
      <c r="B227" s="43">
        <v>46044</v>
      </c>
      <c r="C227" s="14" t="s">
        <v>2124</v>
      </c>
      <c r="D227" s="7" t="s">
        <v>2568</v>
      </c>
      <c r="E227" s="7" t="s">
        <v>2629</v>
      </c>
      <c r="F227" s="7" t="s">
        <v>6</v>
      </c>
      <c r="G227" s="7" t="s">
        <v>2694</v>
      </c>
      <c r="H227" s="7"/>
    </row>
    <row r="228" spans="2:8" x14ac:dyDescent="0.3">
      <c r="B228" s="43">
        <v>46045</v>
      </c>
      <c r="C228" s="14" t="s">
        <v>2124</v>
      </c>
      <c r="D228" s="7" t="s">
        <v>2568</v>
      </c>
      <c r="E228" s="7" t="s">
        <v>2629</v>
      </c>
      <c r="F228" s="7" t="s">
        <v>6</v>
      </c>
      <c r="G228" s="7" t="s">
        <v>2694</v>
      </c>
      <c r="H228" s="7"/>
    </row>
    <row r="229" spans="2:8" x14ac:dyDescent="0.3">
      <c r="B229" s="43">
        <v>46048</v>
      </c>
      <c r="C229" s="14" t="s">
        <v>2124</v>
      </c>
      <c r="D229" s="7" t="s">
        <v>2568</v>
      </c>
      <c r="E229" s="7" t="s">
        <v>617</v>
      </c>
      <c r="F229" s="7" t="s">
        <v>6</v>
      </c>
      <c r="G229" s="7" t="s">
        <v>2695</v>
      </c>
      <c r="H229" s="7"/>
    </row>
    <row r="230" spans="2:8" x14ac:dyDescent="0.3">
      <c r="B230" s="43">
        <v>46049</v>
      </c>
      <c r="C230" s="14" t="s">
        <v>2124</v>
      </c>
      <c r="D230" s="7" t="s">
        <v>2675</v>
      </c>
      <c r="E230" s="7" t="s">
        <v>2676</v>
      </c>
      <c r="F230" s="7" t="s">
        <v>6</v>
      </c>
      <c r="G230" s="7" t="s">
        <v>2696</v>
      </c>
      <c r="H230" s="7"/>
    </row>
    <row r="231" spans="2:8" x14ac:dyDescent="0.3">
      <c r="B231" s="43">
        <v>46050</v>
      </c>
      <c r="C231" s="14" t="s">
        <v>2124</v>
      </c>
      <c r="D231" s="7" t="s">
        <v>2675</v>
      </c>
      <c r="E231" s="7" t="s">
        <v>2676</v>
      </c>
      <c r="F231" s="7" t="s">
        <v>6</v>
      </c>
      <c r="G231" s="7" t="s">
        <v>2697</v>
      </c>
      <c r="H231" s="7"/>
    </row>
    <row r="232" spans="2:8" x14ac:dyDescent="0.3">
      <c r="B232" s="43">
        <v>46051</v>
      </c>
      <c r="C232" s="14" t="s">
        <v>2124</v>
      </c>
      <c r="D232" s="7" t="s">
        <v>2568</v>
      </c>
      <c r="E232" s="7" t="s">
        <v>2569</v>
      </c>
      <c r="F232" s="7" t="s">
        <v>6</v>
      </c>
      <c r="G232" s="7" t="s">
        <v>2698</v>
      </c>
      <c r="H232" s="7"/>
    </row>
    <row r="233" spans="2:8" x14ac:dyDescent="0.3">
      <c r="B233" s="43">
        <v>46052</v>
      </c>
      <c r="C233" s="40" t="s">
        <v>2124</v>
      </c>
      <c r="D233" s="7" t="s">
        <v>2568</v>
      </c>
      <c r="E233" s="7" t="s">
        <v>2569</v>
      </c>
      <c r="F233" s="7" t="s">
        <v>6</v>
      </c>
      <c r="G233" s="7" t="s">
        <v>2699</v>
      </c>
      <c r="H233" s="7" t="s">
        <v>2700</v>
      </c>
    </row>
    <row r="234" spans="2:8" x14ac:dyDescent="0.3">
      <c r="B234" s="43">
        <v>46055</v>
      </c>
      <c r="C234" s="14" t="s">
        <v>2124</v>
      </c>
      <c r="D234" s="7" t="s">
        <v>2568</v>
      </c>
      <c r="E234" s="7" t="s">
        <v>2569</v>
      </c>
      <c r="F234" s="7" t="s">
        <v>6</v>
      </c>
      <c r="G234" s="7" t="s">
        <v>2701</v>
      </c>
      <c r="H234" s="7" t="s">
        <v>2702</v>
      </c>
    </row>
    <row r="235" spans="2:8" x14ac:dyDescent="0.3">
      <c r="B235" s="43">
        <v>46056</v>
      </c>
      <c r="C235" s="40" t="s">
        <v>2124</v>
      </c>
      <c r="D235" s="7" t="s">
        <v>2565</v>
      </c>
      <c r="E235" s="7" t="s">
        <v>614</v>
      </c>
      <c r="F235" s="7" t="s">
        <v>6</v>
      </c>
      <c r="G235" s="7" t="s">
        <v>2703</v>
      </c>
      <c r="H235" s="7"/>
    </row>
    <row r="236" spans="2:8" x14ac:dyDescent="0.3">
      <c r="B236" s="43">
        <v>46057</v>
      </c>
      <c r="C236" s="14" t="s">
        <v>2124</v>
      </c>
      <c r="D236" s="7" t="s">
        <v>2565</v>
      </c>
      <c r="E236" s="7" t="s">
        <v>614</v>
      </c>
      <c r="F236" s="7" t="s">
        <v>6</v>
      </c>
      <c r="G236" s="7" t="s">
        <v>2704</v>
      </c>
      <c r="H236" s="7"/>
    </row>
    <row r="237" spans="2:8" x14ac:dyDescent="0.3">
      <c r="B237" s="43">
        <v>46058</v>
      </c>
      <c r="C237" s="40" t="s">
        <v>2124</v>
      </c>
      <c r="D237" s="7" t="s">
        <v>2565</v>
      </c>
      <c r="E237" s="7" t="s">
        <v>614</v>
      </c>
      <c r="F237" s="7" t="s">
        <v>6</v>
      </c>
      <c r="G237" s="7" t="s">
        <v>2704</v>
      </c>
      <c r="H237" s="7"/>
    </row>
    <row r="238" spans="2:8" x14ac:dyDescent="0.3">
      <c r="B238" s="43">
        <v>46059</v>
      </c>
      <c r="C238" s="14" t="s">
        <v>2124</v>
      </c>
      <c r="D238" s="7" t="s">
        <v>2568</v>
      </c>
      <c r="E238" s="7" t="s">
        <v>1870</v>
      </c>
      <c r="F238" s="7" t="s">
        <v>6</v>
      </c>
      <c r="G238" s="7" t="s">
        <v>2705</v>
      </c>
      <c r="H238" s="7"/>
    </row>
    <row r="239" spans="2:8" x14ac:dyDescent="0.3">
      <c r="B239" s="43">
        <v>46062</v>
      </c>
      <c r="C239" s="40" t="s">
        <v>2124</v>
      </c>
      <c r="D239" s="7" t="s">
        <v>2568</v>
      </c>
      <c r="E239" s="7" t="s">
        <v>1870</v>
      </c>
      <c r="F239" s="7" t="s">
        <v>6</v>
      </c>
      <c r="G239" s="7" t="s">
        <v>2705</v>
      </c>
      <c r="H239" s="7"/>
    </row>
    <row r="240" spans="2:8" x14ac:dyDescent="0.3">
      <c r="B240" s="43">
        <v>46063</v>
      </c>
      <c r="C240" s="14" t="s">
        <v>2124</v>
      </c>
      <c r="D240" s="7" t="s">
        <v>2568</v>
      </c>
      <c r="E240" s="7" t="s">
        <v>617</v>
      </c>
      <c r="F240" s="7" t="s">
        <v>6</v>
      </c>
      <c r="G240" s="7" t="s">
        <v>2706</v>
      </c>
      <c r="H240" s="7"/>
    </row>
    <row r="241" spans="2:8" x14ac:dyDescent="0.3">
      <c r="B241" s="43">
        <v>46064</v>
      </c>
      <c r="C241" s="40" t="s">
        <v>2124</v>
      </c>
      <c r="D241" s="7" t="s">
        <v>2568</v>
      </c>
      <c r="E241" s="7" t="s">
        <v>617</v>
      </c>
      <c r="F241" s="7" t="s">
        <v>6</v>
      </c>
      <c r="G241" s="7" t="s">
        <v>2707</v>
      </c>
      <c r="H241" s="7"/>
    </row>
    <row r="242" spans="2:8" x14ac:dyDescent="0.3">
      <c r="B242" s="43">
        <v>46065</v>
      </c>
      <c r="C242" s="14" t="s">
        <v>2124</v>
      </c>
      <c r="D242" s="7" t="s">
        <v>659</v>
      </c>
      <c r="E242" s="7" t="s">
        <v>406</v>
      </c>
      <c r="F242" s="7" t="s">
        <v>6</v>
      </c>
      <c r="G242" s="7" t="s">
        <v>2708</v>
      </c>
      <c r="H242" s="7"/>
    </row>
    <row r="243" spans="2:8" x14ac:dyDescent="0.3">
      <c r="B243" s="43">
        <v>46066</v>
      </c>
      <c r="C243" s="40" t="s">
        <v>2124</v>
      </c>
      <c r="D243" s="7" t="s">
        <v>2568</v>
      </c>
      <c r="E243" s="7" t="s">
        <v>332</v>
      </c>
      <c r="F243" s="7" t="s">
        <v>6</v>
      </c>
      <c r="G243" s="7" t="s">
        <v>2709</v>
      </c>
      <c r="H243" s="7"/>
    </row>
    <row r="244" spans="2:8" x14ac:dyDescent="0.3">
      <c r="B244" s="43">
        <v>46069</v>
      </c>
      <c r="C244" s="14" t="s">
        <v>2124</v>
      </c>
      <c r="D244" s="7" t="s">
        <v>523</v>
      </c>
      <c r="E244" s="7" t="s">
        <v>2710</v>
      </c>
      <c r="F244" s="7" t="s">
        <v>6</v>
      </c>
      <c r="G244" s="7" t="s">
        <v>2711</v>
      </c>
      <c r="H244" s="7" t="s">
        <v>2712</v>
      </c>
    </row>
    <row r="245" spans="2:8" x14ac:dyDescent="0.3">
      <c r="B245" s="43">
        <v>46070</v>
      </c>
      <c r="C245" s="40" t="s">
        <v>2124</v>
      </c>
      <c r="D245" s="7" t="s">
        <v>2568</v>
      </c>
      <c r="E245" s="7" t="s">
        <v>2078</v>
      </c>
      <c r="F245" s="7" t="s">
        <v>325</v>
      </c>
      <c r="G245" s="7" t="s">
        <v>2713</v>
      </c>
      <c r="H245" s="7" t="s">
        <v>2714</v>
      </c>
    </row>
    <row r="246" spans="2:8" x14ac:dyDescent="0.3">
      <c r="B246" s="43">
        <v>46071</v>
      </c>
      <c r="C246" s="14" t="s">
        <v>2124</v>
      </c>
      <c r="D246" s="7" t="s">
        <v>2568</v>
      </c>
      <c r="E246" s="7" t="s">
        <v>332</v>
      </c>
      <c r="F246" s="7" t="s">
        <v>325</v>
      </c>
      <c r="G246" s="7" t="s">
        <v>2715</v>
      </c>
      <c r="H246" s="7"/>
    </row>
    <row r="247" spans="2:8" x14ac:dyDescent="0.3">
      <c r="B247" s="43">
        <v>46072</v>
      </c>
      <c r="C247" s="40" t="s">
        <v>2124</v>
      </c>
      <c r="D247" s="7" t="s">
        <v>523</v>
      </c>
      <c r="E247" s="7" t="s">
        <v>2710</v>
      </c>
      <c r="F247" s="7" t="s">
        <v>6</v>
      </c>
      <c r="G247" s="7" t="s">
        <v>2716</v>
      </c>
      <c r="H247" s="7" t="s">
        <v>2717</v>
      </c>
    </row>
    <row r="248" spans="2:8" x14ac:dyDescent="0.3">
      <c r="B248" s="43">
        <v>46073</v>
      </c>
      <c r="C248" s="14" t="s">
        <v>2124</v>
      </c>
      <c r="D248" s="7" t="s">
        <v>523</v>
      </c>
      <c r="E248" s="7" t="s">
        <v>406</v>
      </c>
      <c r="F248" s="7" t="s">
        <v>6</v>
      </c>
      <c r="G248" s="7" t="s">
        <v>2716</v>
      </c>
      <c r="H248" s="7" t="s">
        <v>2717</v>
      </c>
    </row>
    <row r="249" spans="2:8" x14ac:dyDescent="0.3">
      <c r="B249" s="43">
        <v>46076</v>
      </c>
      <c r="C249" s="40" t="s">
        <v>2124</v>
      </c>
      <c r="D249" s="7" t="s">
        <v>523</v>
      </c>
      <c r="E249" s="7" t="s">
        <v>2710</v>
      </c>
      <c r="F249" s="7" t="s">
        <v>6</v>
      </c>
      <c r="G249" s="7" t="s">
        <v>2718</v>
      </c>
      <c r="H249" s="7"/>
    </row>
    <row r="250" spans="2:8" x14ac:dyDescent="0.3">
      <c r="B250" s="43">
        <v>46077</v>
      </c>
      <c r="C250" s="14" t="s">
        <v>2124</v>
      </c>
      <c r="D250" s="7" t="s">
        <v>659</v>
      </c>
      <c r="E250" s="7" t="s">
        <v>2710</v>
      </c>
      <c r="F250" s="7" t="s">
        <v>6</v>
      </c>
      <c r="G250" s="7" t="s">
        <v>2718</v>
      </c>
      <c r="H250" s="7"/>
    </row>
    <row r="251" spans="2:8" x14ac:dyDescent="0.3">
      <c r="B251" s="43">
        <v>46078</v>
      </c>
      <c r="C251" s="40" t="s">
        <v>2124</v>
      </c>
      <c r="D251" s="7" t="s">
        <v>659</v>
      </c>
      <c r="E251" s="7" t="s">
        <v>406</v>
      </c>
      <c r="F251" s="7" t="s">
        <v>6</v>
      </c>
      <c r="G251" s="7" t="s">
        <v>2718</v>
      </c>
      <c r="H251" s="7"/>
    </row>
    <row r="252" spans="2:8" x14ac:dyDescent="0.3">
      <c r="B252" s="43">
        <v>46079</v>
      </c>
      <c r="C252" s="14" t="s">
        <v>2124</v>
      </c>
      <c r="D252" s="7" t="s">
        <v>659</v>
      </c>
      <c r="E252" s="7" t="s">
        <v>2710</v>
      </c>
      <c r="F252" s="7" t="s">
        <v>6</v>
      </c>
      <c r="G252" s="7" t="s">
        <v>2719</v>
      </c>
      <c r="H252" s="7"/>
    </row>
    <row r="253" spans="2:8" x14ac:dyDescent="0.3">
      <c r="B253" s="43">
        <v>46080</v>
      </c>
      <c r="C253" s="40" t="s">
        <v>2124</v>
      </c>
      <c r="D253" s="7" t="s">
        <v>2568</v>
      </c>
      <c r="E253" s="7" t="s">
        <v>2569</v>
      </c>
      <c r="F253" s="7" t="s">
        <v>6</v>
      </c>
      <c r="G253" s="7" t="s">
        <v>2720</v>
      </c>
      <c r="H253" s="7"/>
    </row>
    <row r="254" spans="2:8" x14ac:dyDescent="0.3">
      <c r="B254" s="172"/>
      <c r="C254" s="14"/>
      <c r="D254" s="88"/>
      <c r="E254" s="66"/>
      <c r="F254" s="7"/>
      <c r="G254" s="7"/>
      <c r="H254" s="7"/>
    </row>
    <row r="255" spans="2:8" x14ac:dyDescent="0.3">
      <c r="B255" s="172"/>
      <c r="C255" s="14"/>
      <c r="D255" s="88"/>
      <c r="E255" s="66"/>
      <c r="F255" s="7"/>
      <c r="G255" s="7"/>
      <c r="H255" s="7"/>
    </row>
    <row r="256" spans="2:8" x14ac:dyDescent="0.3">
      <c r="B256" s="172"/>
      <c r="C256" s="14"/>
      <c r="D256" s="88"/>
      <c r="E256" s="66"/>
      <c r="F256" s="7"/>
      <c r="G256" s="7"/>
      <c r="H256" s="7"/>
    </row>
    <row r="257" spans="2:14" x14ac:dyDescent="0.3">
      <c r="B257" s="172"/>
      <c r="C257" s="14"/>
      <c r="D257" s="88"/>
      <c r="E257" s="66"/>
      <c r="F257" s="7"/>
      <c r="G257" s="7"/>
      <c r="H257" s="7"/>
    </row>
    <row r="258" spans="2:14" x14ac:dyDescent="0.3">
      <c r="B258" s="43">
        <v>46083</v>
      </c>
      <c r="C258" s="40" t="s">
        <v>2124</v>
      </c>
      <c r="D258" s="7" t="s">
        <v>659</v>
      </c>
      <c r="E258" s="7" t="s">
        <v>406</v>
      </c>
      <c r="F258" s="185" t="s">
        <v>325</v>
      </c>
      <c r="G258" s="7" t="s">
        <v>2721</v>
      </c>
      <c r="H258" s="7" t="s">
        <v>2722</v>
      </c>
    </row>
    <row r="259" spans="2:14" x14ac:dyDescent="0.3">
      <c r="B259" s="43">
        <v>46084</v>
      </c>
      <c r="C259" s="14" t="s">
        <v>2124</v>
      </c>
      <c r="D259" s="7" t="s">
        <v>659</v>
      </c>
      <c r="E259" s="7" t="s">
        <v>406</v>
      </c>
      <c r="F259" s="185" t="s">
        <v>325</v>
      </c>
      <c r="G259" s="7" t="s">
        <v>2721</v>
      </c>
      <c r="H259" s="7"/>
    </row>
    <row r="260" spans="2:14" x14ac:dyDescent="0.3">
      <c r="B260" s="43">
        <v>46085</v>
      </c>
      <c r="C260" s="40" t="s">
        <v>2124</v>
      </c>
      <c r="D260" s="7" t="s">
        <v>2568</v>
      </c>
      <c r="E260" s="7" t="s">
        <v>332</v>
      </c>
      <c r="F260" s="7" t="s">
        <v>6</v>
      </c>
      <c r="G260" s="7" t="s">
        <v>2723</v>
      </c>
      <c r="H260" s="7" t="s">
        <v>2724</v>
      </c>
    </row>
    <row r="261" spans="2:14" x14ac:dyDescent="0.3">
      <c r="B261" s="43">
        <v>46086</v>
      </c>
      <c r="C261" s="14" t="s">
        <v>2124</v>
      </c>
      <c r="D261" s="7" t="s">
        <v>659</v>
      </c>
      <c r="E261" s="7" t="s">
        <v>406</v>
      </c>
      <c r="F261" s="7" t="s">
        <v>6</v>
      </c>
      <c r="G261" s="7" t="s">
        <v>2725</v>
      </c>
      <c r="H261" s="7"/>
    </row>
    <row r="262" spans="2:14" x14ac:dyDescent="0.3">
      <c r="B262" s="43">
        <v>46087</v>
      </c>
      <c r="C262" s="40" t="s">
        <v>2124</v>
      </c>
      <c r="D262" s="7" t="s">
        <v>2726</v>
      </c>
      <c r="E262" s="7" t="s">
        <v>406</v>
      </c>
      <c r="F262" s="7" t="s">
        <v>6</v>
      </c>
      <c r="G262" s="7" t="s">
        <v>2727</v>
      </c>
      <c r="H262" s="7" t="s">
        <v>2728</v>
      </c>
    </row>
    <row r="263" spans="2:14" x14ac:dyDescent="0.3">
      <c r="B263" s="43">
        <v>46090</v>
      </c>
      <c r="C263" s="40" t="s">
        <v>2124</v>
      </c>
      <c r="D263" s="7" t="s">
        <v>659</v>
      </c>
      <c r="E263" s="7" t="s">
        <v>406</v>
      </c>
      <c r="F263" s="7" t="s">
        <v>5</v>
      </c>
      <c r="G263" s="7" t="s">
        <v>2729</v>
      </c>
      <c r="H263" s="7" t="s">
        <v>2730</v>
      </c>
    </row>
    <row r="264" spans="2:14" x14ac:dyDescent="0.3">
      <c r="B264" s="43">
        <v>46091</v>
      </c>
      <c r="C264" s="14" t="s">
        <v>2124</v>
      </c>
      <c r="D264" s="7" t="s">
        <v>659</v>
      </c>
      <c r="E264" s="7" t="s">
        <v>406</v>
      </c>
      <c r="F264" s="7" t="s">
        <v>5</v>
      </c>
      <c r="G264" s="7" t="s">
        <v>2731</v>
      </c>
      <c r="H264" s="7" t="s">
        <v>2732</v>
      </c>
    </row>
    <row r="265" spans="2:14" ht="63" x14ac:dyDescent="0.3">
      <c r="B265" s="43">
        <v>46091</v>
      </c>
      <c r="C265" s="40" t="s">
        <v>2124</v>
      </c>
      <c r="D265" s="7" t="s">
        <v>659</v>
      </c>
      <c r="E265" s="7" t="s">
        <v>406</v>
      </c>
      <c r="F265" s="7" t="s">
        <v>6</v>
      </c>
      <c r="G265" s="7" t="s">
        <v>2733</v>
      </c>
      <c r="H265" s="7"/>
      <c r="I265" s="280" t="s">
        <v>3266</v>
      </c>
      <c r="J265" s="280" t="s">
        <v>3269</v>
      </c>
      <c r="L265" s="356" t="s">
        <v>3369</v>
      </c>
      <c r="M265" s="379" t="s">
        <v>3366</v>
      </c>
      <c r="N265" s="356" t="s">
        <v>3366</v>
      </c>
    </row>
    <row r="266" spans="2:14" x14ac:dyDescent="0.3">
      <c r="B266" s="43">
        <v>46092</v>
      </c>
      <c r="C266" s="40" t="s">
        <v>2124</v>
      </c>
      <c r="D266" s="7" t="s">
        <v>659</v>
      </c>
      <c r="E266" s="7" t="s">
        <v>406</v>
      </c>
      <c r="F266" s="7" t="s">
        <v>6</v>
      </c>
      <c r="G266" s="7" t="s">
        <v>2734</v>
      </c>
      <c r="H266" s="7" t="s">
        <v>3357</v>
      </c>
      <c r="I266" s="313" t="s">
        <v>3294</v>
      </c>
      <c r="J266" s="313">
        <v>8</v>
      </c>
      <c r="K266" s="377"/>
      <c r="L266" s="373"/>
      <c r="M266" s="377" cm="1">
        <f t="array" ref="M266">SUMPRODUCT(($J266:$J496)*((--$B266:$B496)=--B266))</f>
        <v>8</v>
      </c>
      <c r="N266" s="1">
        <v>8</v>
      </c>
    </row>
    <row r="267" spans="2:14" x14ac:dyDescent="0.3">
      <c r="B267" s="43">
        <v>46093</v>
      </c>
      <c r="C267" s="40" t="s">
        <v>2124</v>
      </c>
      <c r="D267" s="7" t="s">
        <v>2568</v>
      </c>
      <c r="E267" s="7" t="s">
        <v>617</v>
      </c>
      <c r="F267" s="7" t="s">
        <v>6</v>
      </c>
      <c r="G267" s="7" t="s">
        <v>2735</v>
      </c>
      <c r="H267" s="7" t="s">
        <v>2736</v>
      </c>
      <c r="I267" s="313" t="s">
        <v>3360</v>
      </c>
      <c r="J267" s="313">
        <v>5</v>
      </c>
      <c r="K267" s="377"/>
      <c r="M267" s="375">
        <f>SUM(J267:J270)</f>
        <v>8</v>
      </c>
      <c r="N267" s="1">
        <f>SUM(J267:J270)</f>
        <v>8</v>
      </c>
    </row>
    <row r="268" spans="2:14" x14ac:dyDescent="0.3">
      <c r="B268" s="43">
        <v>46093</v>
      </c>
      <c r="C268" s="40" t="s">
        <v>2124</v>
      </c>
      <c r="D268" s="7" t="s">
        <v>659</v>
      </c>
      <c r="E268" s="7" t="s">
        <v>406</v>
      </c>
      <c r="F268" s="7" t="s">
        <v>6</v>
      </c>
      <c r="G268" s="7" t="s">
        <v>2734</v>
      </c>
      <c r="H268" s="7" t="s">
        <v>3362</v>
      </c>
      <c r="I268" s="313" t="s">
        <v>3294</v>
      </c>
      <c r="J268" s="313">
        <v>1</v>
      </c>
      <c r="K268" s="377"/>
    </row>
    <row r="269" spans="2:14" x14ac:dyDescent="0.3">
      <c r="B269" s="43">
        <v>46093</v>
      </c>
      <c r="C269" s="40" t="s">
        <v>2124</v>
      </c>
      <c r="D269" s="7" t="s">
        <v>659</v>
      </c>
      <c r="E269" s="7" t="s">
        <v>614</v>
      </c>
      <c r="F269" s="7" t="s">
        <v>6</v>
      </c>
      <c r="G269" s="7" t="s">
        <v>2737</v>
      </c>
      <c r="H269" s="7" t="s">
        <v>2738</v>
      </c>
      <c r="I269" s="313" t="s">
        <v>3294</v>
      </c>
      <c r="J269" s="313">
        <v>1</v>
      </c>
    </row>
    <row r="270" spans="2:14" x14ac:dyDescent="0.3">
      <c r="B270" s="43">
        <v>46093</v>
      </c>
      <c r="C270" s="40" t="s">
        <v>2124</v>
      </c>
      <c r="D270" s="7" t="s">
        <v>2565</v>
      </c>
      <c r="E270" s="7" t="s">
        <v>1816</v>
      </c>
      <c r="F270" s="7" t="s">
        <v>3365</v>
      </c>
      <c r="G270" s="7" t="s">
        <v>2739</v>
      </c>
      <c r="H270" s="7" t="s">
        <v>3367</v>
      </c>
      <c r="I270" s="313" t="s">
        <v>3294</v>
      </c>
      <c r="J270" s="313">
        <v>1</v>
      </c>
    </row>
    <row r="271" spans="2:14" x14ac:dyDescent="0.3">
      <c r="B271" s="43">
        <v>46094</v>
      </c>
      <c r="C271" s="14" t="s">
        <v>2124</v>
      </c>
      <c r="D271" s="7" t="s">
        <v>2568</v>
      </c>
      <c r="E271" s="7" t="s">
        <v>617</v>
      </c>
      <c r="F271" s="7" t="s">
        <v>6</v>
      </c>
      <c r="G271" s="7" t="s">
        <v>2740</v>
      </c>
      <c r="H271" s="7" t="s">
        <v>2741</v>
      </c>
      <c r="I271" s="313" t="s">
        <v>3360</v>
      </c>
      <c r="J271" s="313">
        <v>5</v>
      </c>
      <c r="M271" s="375">
        <f>SUM(J271:J273)</f>
        <v>8</v>
      </c>
    </row>
    <row r="272" spans="2:14" x14ac:dyDescent="0.3">
      <c r="B272" s="43">
        <v>46094</v>
      </c>
      <c r="C272" s="14" t="s">
        <v>2124</v>
      </c>
      <c r="D272" s="7" t="s">
        <v>659</v>
      </c>
      <c r="E272" s="7" t="s">
        <v>406</v>
      </c>
      <c r="F272" s="7" t="s">
        <v>6</v>
      </c>
      <c r="G272" s="7" t="s">
        <v>2742</v>
      </c>
      <c r="H272" s="7" t="s">
        <v>2743</v>
      </c>
      <c r="I272" s="313" t="s">
        <v>3294</v>
      </c>
      <c r="J272" s="313">
        <v>1</v>
      </c>
    </row>
    <row r="273" spans="2:13" x14ac:dyDescent="0.3">
      <c r="B273" s="43">
        <v>46094</v>
      </c>
      <c r="C273" s="40" t="s">
        <v>2124</v>
      </c>
      <c r="D273" s="7" t="s">
        <v>2568</v>
      </c>
      <c r="E273" s="7" t="s">
        <v>2078</v>
      </c>
      <c r="F273" s="7" t="s">
        <v>6</v>
      </c>
      <c r="G273" s="7" t="s">
        <v>2744</v>
      </c>
      <c r="H273" s="7" t="str">
        <f>G273</f>
        <v xml:space="preserve">Revisión preventiva ambiente prd de ODI (recepción de archivos). </v>
      </c>
      <c r="I273" s="313" t="s">
        <v>3294</v>
      </c>
      <c r="J273" s="313">
        <v>2</v>
      </c>
    </row>
    <row r="274" spans="2:13" x14ac:dyDescent="0.3">
      <c r="B274" s="43">
        <v>46097</v>
      </c>
      <c r="C274" s="14" t="s">
        <v>2124</v>
      </c>
      <c r="D274" s="7" t="s">
        <v>2568</v>
      </c>
      <c r="E274" s="7" t="s">
        <v>617</v>
      </c>
      <c r="F274" s="7" t="s">
        <v>6</v>
      </c>
      <c r="G274" s="7" t="s">
        <v>2745</v>
      </c>
      <c r="H274" s="7" t="s">
        <v>2746</v>
      </c>
      <c r="I274" s="313" t="s">
        <v>3360</v>
      </c>
      <c r="J274" s="313">
        <v>8</v>
      </c>
      <c r="M274" s="375">
        <v>8</v>
      </c>
    </row>
    <row r="275" spans="2:13" x14ac:dyDescent="0.3">
      <c r="B275" s="43">
        <v>46098</v>
      </c>
      <c r="C275" s="14" t="s">
        <v>2124</v>
      </c>
      <c r="D275" s="7" t="s">
        <v>2747</v>
      </c>
      <c r="E275" s="7" t="s">
        <v>2747</v>
      </c>
      <c r="F275" s="7" t="s">
        <v>3365</v>
      </c>
      <c r="G275" s="7" t="s">
        <v>2748</v>
      </c>
      <c r="H275" s="7" t="str">
        <f>G275</f>
        <v>Reunión abenis</v>
      </c>
      <c r="I275" s="313" t="s">
        <v>3294</v>
      </c>
      <c r="J275" s="313">
        <v>1</v>
      </c>
      <c r="M275" s="375">
        <f>SUM(J275:J278)</f>
        <v>8</v>
      </c>
    </row>
    <row r="276" spans="2:13" x14ac:dyDescent="0.3">
      <c r="B276" s="43">
        <v>46098</v>
      </c>
      <c r="C276" s="14" t="s">
        <v>2124</v>
      </c>
      <c r="D276" s="7" t="s">
        <v>2640</v>
      </c>
      <c r="E276" s="7" t="s">
        <v>406</v>
      </c>
      <c r="F276" s="7" t="s">
        <v>6</v>
      </c>
      <c r="G276" s="7" t="s">
        <v>2733</v>
      </c>
      <c r="H276" s="7" t="str">
        <f>G276</f>
        <v>Reunión daily aws lz</v>
      </c>
      <c r="I276" s="313" t="s">
        <v>3294</v>
      </c>
      <c r="J276" s="313">
        <v>1</v>
      </c>
    </row>
    <row r="277" spans="2:13" x14ac:dyDescent="0.3">
      <c r="B277" s="43">
        <v>46098</v>
      </c>
      <c r="C277" s="14" t="s">
        <v>2124</v>
      </c>
      <c r="D277" s="7" t="s">
        <v>2640</v>
      </c>
      <c r="E277" s="7" t="s">
        <v>406</v>
      </c>
      <c r="F277" s="7" t="s">
        <v>6</v>
      </c>
      <c r="G277" s="7" t="s">
        <v>2749</v>
      </c>
      <c r="H277" s="7" t="str">
        <f>G277</f>
        <v>Reunión sprint de aws lz</v>
      </c>
      <c r="I277" s="313" t="s">
        <v>3294</v>
      </c>
      <c r="J277" s="313">
        <v>1</v>
      </c>
    </row>
    <row r="278" spans="2:13" x14ac:dyDescent="0.3">
      <c r="B278" s="43">
        <v>46098</v>
      </c>
      <c r="C278" s="14" t="s">
        <v>2124</v>
      </c>
      <c r="D278" s="7" t="s">
        <v>2632</v>
      </c>
      <c r="E278" s="7" t="s">
        <v>617</v>
      </c>
      <c r="F278" s="7" t="s">
        <v>6</v>
      </c>
      <c r="G278" s="7" t="s">
        <v>2750</v>
      </c>
      <c r="H278" s="7" t="s">
        <v>2751</v>
      </c>
      <c r="I278" s="313" t="s">
        <v>3360</v>
      </c>
      <c r="J278" s="313">
        <v>5</v>
      </c>
    </row>
    <row r="279" spans="2:13" x14ac:dyDescent="0.3">
      <c r="B279" s="43">
        <v>46099</v>
      </c>
      <c r="C279" s="14" t="s">
        <v>2124</v>
      </c>
      <c r="D279" s="7" t="s">
        <v>2752</v>
      </c>
      <c r="E279" s="7" t="s">
        <v>2049</v>
      </c>
      <c r="F279" s="7" t="s">
        <v>6</v>
      </c>
      <c r="G279" s="185" t="s">
        <v>2753</v>
      </c>
      <c r="H279" s="7" t="str">
        <f>G279</f>
        <v>Revisión Paso a Producción SGI</v>
      </c>
      <c r="I279" s="313" t="s">
        <v>3294</v>
      </c>
      <c r="J279" s="313">
        <v>2</v>
      </c>
      <c r="M279" s="375">
        <f>SUM(J279:J280)</f>
        <v>8</v>
      </c>
    </row>
    <row r="280" spans="2:13" x14ac:dyDescent="0.3">
      <c r="B280" s="43">
        <v>46099</v>
      </c>
      <c r="C280" s="14" t="s">
        <v>2124</v>
      </c>
      <c r="D280" s="7" t="s">
        <v>2568</v>
      </c>
      <c r="E280" s="7" t="s">
        <v>617</v>
      </c>
      <c r="F280" s="7" t="s">
        <v>6</v>
      </c>
      <c r="G280" s="7" t="s">
        <v>2745</v>
      </c>
      <c r="H280" s="7" t="s">
        <v>3296</v>
      </c>
      <c r="I280" s="313" t="s">
        <v>3360</v>
      </c>
      <c r="J280" s="313">
        <v>6</v>
      </c>
    </row>
    <row r="281" spans="2:13" x14ac:dyDescent="0.3">
      <c r="B281" s="205">
        <v>46100</v>
      </c>
      <c r="C281" s="14" t="s">
        <v>2124</v>
      </c>
      <c r="D281" s="7" t="s">
        <v>2640</v>
      </c>
      <c r="E281" s="7" t="s">
        <v>406</v>
      </c>
      <c r="F281" s="7" t="s">
        <v>6</v>
      </c>
      <c r="G281" s="7" t="s">
        <v>2733</v>
      </c>
      <c r="H281" s="7" t="str">
        <f>G281</f>
        <v>Reunión daily aws lz</v>
      </c>
      <c r="I281" s="313" t="s">
        <v>3294</v>
      </c>
      <c r="J281" s="313">
        <v>1</v>
      </c>
      <c r="M281" s="375">
        <f>SUM(J281:J283)</f>
        <v>8</v>
      </c>
    </row>
    <row r="282" spans="2:13" x14ac:dyDescent="0.3">
      <c r="B282" s="205">
        <v>46100</v>
      </c>
      <c r="C282" s="14" t="s">
        <v>2124</v>
      </c>
      <c r="D282" s="7" t="s">
        <v>2675</v>
      </c>
      <c r="E282" s="7" t="s">
        <v>1816</v>
      </c>
      <c r="F282" s="7" t="s">
        <v>6</v>
      </c>
      <c r="G282" s="7" t="s">
        <v>2754</v>
      </c>
      <c r="H282" s="7" t="s">
        <v>3396</v>
      </c>
      <c r="I282" s="313" t="s">
        <v>3294</v>
      </c>
      <c r="J282" s="313">
        <v>1</v>
      </c>
    </row>
    <row r="283" spans="2:13" x14ac:dyDescent="0.3">
      <c r="B283" s="205">
        <v>46100</v>
      </c>
      <c r="C283" s="14" t="s">
        <v>2124</v>
      </c>
      <c r="D283" s="185" t="s">
        <v>2752</v>
      </c>
      <c r="E283" s="7" t="s">
        <v>2049</v>
      </c>
      <c r="F283" s="7" t="s">
        <v>6</v>
      </c>
      <c r="G283" s="7" t="s">
        <v>3295</v>
      </c>
      <c r="H283" s="7" t="str">
        <f>G283</f>
        <v>Paso a producción SGI</v>
      </c>
      <c r="I283" s="313" t="s">
        <v>3294</v>
      </c>
      <c r="J283" s="313">
        <v>6</v>
      </c>
    </row>
    <row r="284" spans="2:13" x14ac:dyDescent="0.3">
      <c r="B284" s="172">
        <v>46101</v>
      </c>
      <c r="C284" s="204" t="s">
        <v>2124</v>
      </c>
      <c r="D284" s="7" t="s">
        <v>2675</v>
      </c>
      <c r="E284" s="7" t="s">
        <v>1816</v>
      </c>
      <c r="F284" s="7" t="s">
        <v>6</v>
      </c>
      <c r="G284" s="7" t="s">
        <v>2755</v>
      </c>
      <c r="H284" s="7" t="str">
        <f>G284</f>
        <v>Reunión alineación SGI DEV de LZ</v>
      </c>
      <c r="I284" s="313" t="s">
        <v>3294</v>
      </c>
      <c r="J284" s="313">
        <v>1</v>
      </c>
      <c r="M284" s="375">
        <f>SUM(J284:J288)</f>
        <v>8</v>
      </c>
    </row>
    <row r="285" spans="2:13" x14ac:dyDescent="0.3">
      <c r="B285" s="206">
        <v>46101</v>
      </c>
      <c r="C285" s="14" t="s">
        <v>2124</v>
      </c>
      <c r="D285" s="7" t="s">
        <v>2675</v>
      </c>
      <c r="E285" s="185" t="s">
        <v>2756</v>
      </c>
      <c r="F285" s="7" t="s">
        <v>6</v>
      </c>
      <c r="G285" s="7" t="s">
        <v>2757</v>
      </c>
      <c r="H285" s="7" t="str">
        <f>G285</f>
        <v>Reunión de Presentación APS de VZOR</v>
      </c>
      <c r="I285" s="313" t="s">
        <v>3294</v>
      </c>
      <c r="J285" s="313">
        <v>1</v>
      </c>
    </row>
    <row r="286" spans="2:13" x14ac:dyDescent="0.3">
      <c r="B286" s="43">
        <v>46101</v>
      </c>
      <c r="C286" s="14" t="s">
        <v>2124</v>
      </c>
      <c r="D286" s="7" t="s">
        <v>2758</v>
      </c>
      <c r="E286" s="7" t="s">
        <v>2069</v>
      </c>
      <c r="F286" s="7" t="s">
        <v>6</v>
      </c>
      <c r="G286" s="7" t="s">
        <v>2759</v>
      </c>
      <c r="H286" s="7" t="str">
        <f>G286</f>
        <v>Reunión nueva organica de IPS</v>
      </c>
      <c r="I286" s="313" t="s">
        <v>3294</v>
      </c>
      <c r="J286" s="313">
        <v>1</v>
      </c>
    </row>
    <row r="287" spans="2:13" x14ac:dyDescent="0.3">
      <c r="B287" s="43">
        <v>46101</v>
      </c>
      <c r="C287" s="14" t="s">
        <v>2124</v>
      </c>
      <c r="D287" s="7" t="s">
        <v>2747</v>
      </c>
      <c r="E287" s="7" t="s">
        <v>2760</v>
      </c>
      <c r="F287" s="7" t="s">
        <v>3365</v>
      </c>
      <c r="G287" s="7" t="s">
        <v>2748</v>
      </c>
      <c r="H287" s="7" t="str">
        <f>G287</f>
        <v>Reunión abenis</v>
      </c>
      <c r="I287" s="313" t="s">
        <v>3294</v>
      </c>
      <c r="J287" s="313">
        <v>1</v>
      </c>
    </row>
    <row r="288" spans="2:13" x14ac:dyDescent="0.3">
      <c r="B288" s="43">
        <v>46101</v>
      </c>
      <c r="C288" s="14" t="s">
        <v>2124</v>
      </c>
      <c r="D288" s="7" t="s">
        <v>2675</v>
      </c>
      <c r="E288" s="7" t="s">
        <v>2756</v>
      </c>
      <c r="F288" s="7" t="s">
        <v>6</v>
      </c>
      <c r="G288" s="7" t="s">
        <v>2761</v>
      </c>
      <c r="H288" s="7" t="s">
        <v>3368</v>
      </c>
      <c r="I288" s="313" t="s">
        <v>3360</v>
      </c>
      <c r="J288" s="313">
        <v>4</v>
      </c>
    </row>
    <row r="289" spans="2:13" x14ac:dyDescent="0.3">
      <c r="B289" s="43">
        <v>46104</v>
      </c>
      <c r="C289" s="14" t="s">
        <v>2124</v>
      </c>
      <c r="D289" s="7" t="s">
        <v>2675</v>
      </c>
      <c r="E289" s="7" t="s">
        <v>1816</v>
      </c>
      <c r="F289" s="7" t="s">
        <v>6</v>
      </c>
      <c r="G289" s="7" t="s">
        <v>3277</v>
      </c>
      <c r="H289" s="7" t="str">
        <f>G289</f>
        <v>Revisión de actividades de reinicio de servidores PDP</v>
      </c>
      <c r="I289" s="313" t="s">
        <v>3294</v>
      </c>
      <c r="J289" s="313">
        <v>2</v>
      </c>
      <c r="M289" s="375">
        <f>SUM(J289:J292)</f>
        <v>8</v>
      </c>
    </row>
    <row r="290" spans="2:13" x14ac:dyDescent="0.3">
      <c r="B290" s="43">
        <v>46104</v>
      </c>
      <c r="C290" s="14" t="s">
        <v>2124</v>
      </c>
      <c r="D290" s="7" t="s">
        <v>2675</v>
      </c>
      <c r="E290" s="7" t="s">
        <v>1816</v>
      </c>
      <c r="F290" s="7" t="s">
        <v>6</v>
      </c>
      <c r="G290" s="7" t="s">
        <v>3278</v>
      </c>
      <c r="H290" s="7" t="str">
        <f>G290</f>
        <v>Revisión de pendientes SGI DEV de AWS LZ</v>
      </c>
      <c r="I290" s="313" t="s">
        <v>3294</v>
      </c>
      <c r="J290" s="313">
        <v>1</v>
      </c>
    </row>
    <row r="291" spans="2:13" x14ac:dyDescent="0.3">
      <c r="B291" s="43">
        <v>46104</v>
      </c>
      <c r="C291" s="14" t="s">
        <v>2124</v>
      </c>
      <c r="D291" s="7" t="s">
        <v>2625</v>
      </c>
      <c r="E291" s="7" t="s">
        <v>721</v>
      </c>
      <c r="F291" s="7" t="s">
        <v>6</v>
      </c>
      <c r="G291" s="7" t="s">
        <v>3284</v>
      </c>
      <c r="H291" s="7" t="str">
        <f>G291</f>
        <v>Revisión de usuarios de QA para ODI SIT área de QA</v>
      </c>
      <c r="I291" s="313" t="s">
        <v>3294</v>
      </c>
      <c r="J291" s="313">
        <v>2</v>
      </c>
    </row>
    <row r="292" spans="2:13" x14ac:dyDescent="0.3">
      <c r="B292" s="43">
        <v>46104</v>
      </c>
      <c r="C292" s="14" t="s">
        <v>2124</v>
      </c>
      <c r="D292" s="7" t="s">
        <v>3291</v>
      </c>
      <c r="E292" s="7" t="s">
        <v>3291</v>
      </c>
      <c r="F292" s="7" t="s">
        <v>3365</v>
      </c>
      <c r="G292" s="7" t="s">
        <v>3292</v>
      </c>
      <c r="H292" s="7" t="s">
        <v>3298</v>
      </c>
      <c r="I292" s="313" t="s">
        <v>3294</v>
      </c>
      <c r="J292" s="313">
        <v>3</v>
      </c>
    </row>
    <row r="293" spans="2:13" x14ac:dyDescent="0.3">
      <c r="B293" s="43">
        <v>46105</v>
      </c>
      <c r="C293" s="14" t="s">
        <v>2124</v>
      </c>
      <c r="D293" s="7" t="s">
        <v>2625</v>
      </c>
      <c r="E293" s="7" t="s">
        <v>721</v>
      </c>
      <c r="F293" s="7" t="s">
        <v>6</v>
      </c>
      <c r="G293" s="7" t="s">
        <v>3297</v>
      </c>
      <c r="H293" s="7" t="str">
        <f>G293</f>
        <v>Entrega de usuarios de QA creados en ambiente SIT</v>
      </c>
      <c r="I293" s="313" t="s">
        <v>3294</v>
      </c>
      <c r="J293" s="313">
        <v>3</v>
      </c>
      <c r="M293" s="375">
        <f>SUM(J293:J295)</f>
        <v>8</v>
      </c>
    </row>
    <row r="294" spans="2:13" x14ac:dyDescent="0.3">
      <c r="B294" s="43">
        <v>46105</v>
      </c>
      <c r="C294" s="14" t="s">
        <v>2124</v>
      </c>
      <c r="D294" s="7" t="s">
        <v>2675</v>
      </c>
      <c r="E294" s="7" t="s">
        <v>406</v>
      </c>
      <c r="F294" s="7" t="s">
        <v>6</v>
      </c>
      <c r="G294" s="7" t="s">
        <v>2733</v>
      </c>
      <c r="H294" s="7" t="str">
        <f>G294</f>
        <v>Reunión daily aws lz</v>
      </c>
      <c r="I294" s="313" t="s">
        <v>3294</v>
      </c>
      <c r="J294" s="313">
        <v>1</v>
      </c>
    </row>
    <row r="295" spans="2:13" x14ac:dyDescent="0.3">
      <c r="B295" s="43">
        <v>46105</v>
      </c>
      <c r="C295" s="14" t="s">
        <v>2124</v>
      </c>
      <c r="D295" s="7" t="s">
        <v>3291</v>
      </c>
      <c r="E295" s="7" t="s">
        <v>3291</v>
      </c>
      <c r="F295" s="7" t="s">
        <v>3365</v>
      </c>
      <c r="G295" s="7" t="s">
        <v>3292</v>
      </c>
      <c r="H295" s="7" t="str">
        <f>G295</f>
        <v>Incidencia descarga archivo desde el teams</v>
      </c>
      <c r="I295" s="313" t="s">
        <v>3294</v>
      </c>
      <c r="J295" s="313">
        <v>4</v>
      </c>
    </row>
    <row r="296" spans="2:13" x14ac:dyDescent="0.3">
      <c r="B296" s="43">
        <v>46106</v>
      </c>
      <c r="C296" s="40" t="s">
        <v>2124</v>
      </c>
      <c r="D296" s="7" t="s">
        <v>3291</v>
      </c>
      <c r="E296" s="7" t="s">
        <v>3291</v>
      </c>
      <c r="F296" s="7" t="s">
        <v>3365</v>
      </c>
      <c r="G296" s="7" t="s">
        <v>3407</v>
      </c>
      <c r="H296" s="7" t="s">
        <v>3408</v>
      </c>
      <c r="I296" s="313" t="s">
        <v>3294</v>
      </c>
      <c r="J296" s="313">
        <v>3</v>
      </c>
      <c r="M296" s="375">
        <f>SUM(J296:J298)</f>
        <v>8</v>
      </c>
    </row>
    <row r="297" spans="2:13" x14ac:dyDescent="0.3">
      <c r="B297" s="389">
        <v>46106</v>
      </c>
      <c r="C297" s="40" t="s">
        <v>2124</v>
      </c>
      <c r="D297" s="7" t="s">
        <v>2632</v>
      </c>
      <c r="E297" s="7" t="s">
        <v>2569</v>
      </c>
      <c r="F297" s="7" t="s">
        <v>6</v>
      </c>
      <c r="G297" s="7" t="s">
        <v>3411</v>
      </c>
      <c r="H297" s="7" t="s">
        <v>3412</v>
      </c>
      <c r="I297" s="313" t="s">
        <v>3294</v>
      </c>
      <c r="J297" s="313">
        <v>1</v>
      </c>
    </row>
    <row r="298" spans="2:13" x14ac:dyDescent="0.3">
      <c r="B298" s="43">
        <v>46106</v>
      </c>
      <c r="C298" s="40" t="s">
        <v>2124</v>
      </c>
      <c r="D298" s="7" t="s">
        <v>2632</v>
      </c>
      <c r="E298" s="7" t="s">
        <v>617</v>
      </c>
      <c r="F298" s="7" t="s">
        <v>6</v>
      </c>
      <c r="G298" s="7" t="s">
        <v>3409</v>
      </c>
      <c r="H298" s="7" t="s">
        <v>3410</v>
      </c>
      <c r="I298" s="313" t="s">
        <v>3360</v>
      </c>
      <c r="J298" s="313">
        <v>4</v>
      </c>
    </row>
    <row r="299" spans="2:13" x14ac:dyDescent="0.3">
      <c r="B299" s="43">
        <v>46107</v>
      </c>
      <c r="C299" s="14" t="s">
        <v>2124</v>
      </c>
      <c r="D299" s="7" t="s">
        <v>3291</v>
      </c>
      <c r="E299" s="7" t="s">
        <v>3291</v>
      </c>
      <c r="F299" s="7" t="s">
        <v>3365</v>
      </c>
      <c r="G299" s="7" t="s">
        <v>3494</v>
      </c>
      <c r="H299" s="7" t="s">
        <v>3495</v>
      </c>
      <c r="I299" s="313" t="s">
        <v>3360</v>
      </c>
      <c r="J299" s="313">
        <v>1</v>
      </c>
      <c r="M299" s="375">
        <f>SUM(J299:J301)</f>
        <v>8</v>
      </c>
    </row>
    <row r="300" spans="2:13" x14ac:dyDescent="0.3">
      <c r="B300" s="43">
        <v>46107</v>
      </c>
      <c r="C300" s="232" t="s">
        <v>2124</v>
      </c>
      <c r="D300" s="7" t="s">
        <v>2632</v>
      </c>
      <c r="E300" s="7" t="s">
        <v>2569</v>
      </c>
      <c r="F300" s="7" t="s">
        <v>325</v>
      </c>
      <c r="G300" s="7" t="s">
        <v>3496</v>
      </c>
      <c r="H300" s="7" t="s">
        <v>3497</v>
      </c>
      <c r="I300" s="313" t="s">
        <v>3294</v>
      </c>
      <c r="J300" s="313">
        <v>4</v>
      </c>
    </row>
    <row r="301" spans="2:13" x14ac:dyDescent="0.3">
      <c r="B301" s="43">
        <v>46107</v>
      </c>
      <c r="C301" s="232" t="s">
        <v>2124</v>
      </c>
      <c r="D301" s="7" t="s">
        <v>2632</v>
      </c>
      <c r="E301" s="185" t="s">
        <v>1870</v>
      </c>
      <c r="F301" s="7" t="s">
        <v>6</v>
      </c>
      <c r="G301" s="7" t="s">
        <v>3499</v>
      </c>
      <c r="H301" s="7" t="s">
        <v>3498</v>
      </c>
      <c r="I301" s="313" t="s">
        <v>3294</v>
      </c>
      <c r="J301" s="313">
        <v>3</v>
      </c>
    </row>
    <row r="302" spans="2:13" x14ac:dyDescent="0.3">
      <c r="B302" s="43">
        <v>46108</v>
      </c>
      <c r="C302" s="231" t="s">
        <v>2124</v>
      </c>
      <c r="D302" s="7" t="s">
        <v>2568</v>
      </c>
      <c r="E302" s="7" t="s">
        <v>1870</v>
      </c>
      <c r="F302" s="7" t="s">
        <v>6</v>
      </c>
      <c r="G302" s="7" t="s">
        <v>3540</v>
      </c>
      <c r="H302" s="7" t="s">
        <v>3542</v>
      </c>
      <c r="I302" s="313" t="s">
        <v>3294</v>
      </c>
      <c r="J302" s="313">
        <v>3</v>
      </c>
      <c r="M302" s="375">
        <v>8</v>
      </c>
    </row>
    <row r="303" spans="2:13" x14ac:dyDescent="0.3">
      <c r="B303" s="43">
        <v>46108</v>
      </c>
      <c r="C303" s="231" t="s">
        <v>2124</v>
      </c>
      <c r="D303" s="7" t="s">
        <v>2640</v>
      </c>
      <c r="E303" s="7" t="s">
        <v>406</v>
      </c>
      <c r="F303" s="7" t="s">
        <v>6</v>
      </c>
      <c r="G303" s="7" t="s">
        <v>3541</v>
      </c>
      <c r="H303" s="7" t="s">
        <v>3543</v>
      </c>
      <c r="I303" s="313" t="s">
        <v>3360</v>
      </c>
      <c r="J303" s="313">
        <v>5</v>
      </c>
    </row>
    <row r="304" spans="2:13" x14ac:dyDescent="0.3">
      <c r="B304" s="43">
        <v>46111</v>
      </c>
      <c r="C304" s="40" t="s">
        <v>2124</v>
      </c>
      <c r="D304" s="7"/>
      <c r="E304" s="7"/>
      <c r="F304" s="7"/>
      <c r="G304" s="7"/>
      <c r="H304" s="7"/>
      <c r="I304" s="313"/>
      <c r="J304" s="313"/>
    </row>
    <row r="305" spans="2:10" x14ac:dyDescent="0.3">
      <c r="B305" s="43">
        <v>46111</v>
      </c>
      <c r="C305" s="40" t="s">
        <v>2124</v>
      </c>
      <c r="D305" s="7"/>
      <c r="E305" s="7"/>
      <c r="F305" s="7"/>
      <c r="G305" s="7"/>
      <c r="H305" s="7"/>
      <c r="I305" s="313"/>
      <c r="J305" s="313"/>
    </row>
    <row r="306" spans="2:10" x14ac:dyDescent="0.3">
      <c r="B306" s="43">
        <v>46111</v>
      </c>
      <c r="C306" s="40" t="s">
        <v>2124</v>
      </c>
      <c r="D306" s="7"/>
      <c r="E306" s="7"/>
      <c r="F306" s="7"/>
      <c r="G306" s="7"/>
      <c r="H306" s="7"/>
      <c r="I306" s="313"/>
      <c r="J306" s="313"/>
    </row>
    <row r="307" spans="2:10" x14ac:dyDescent="0.3">
      <c r="B307" s="43">
        <v>46112</v>
      </c>
      <c r="C307" s="14" t="s">
        <v>2124</v>
      </c>
      <c r="D307" s="7"/>
      <c r="E307" s="7"/>
      <c r="F307" s="7"/>
      <c r="G307" s="7"/>
      <c r="H307" s="7"/>
      <c r="I307" s="313"/>
      <c r="J307" s="313"/>
    </row>
    <row r="308" spans="2:10" x14ac:dyDescent="0.3">
      <c r="B308" s="43">
        <v>46112</v>
      </c>
      <c r="C308" s="232" t="s">
        <v>2124</v>
      </c>
      <c r="D308" s="7"/>
      <c r="E308" s="7"/>
      <c r="F308" s="7"/>
      <c r="G308" s="7"/>
      <c r="H308" s="7"/>
      <c r="I308" s="313"/>
      <c r="J308" s="313"/>
    </row>
    <row r="309" spans="2:10" x14ac:dyDescent="0.3">
      <c r="B309" s="43">
        <v>46112</v>
      </c>
      <c r="C309" s="232" t="s">
        <v>2124</v>
      </c>
      <c r="D309" s="7"/>
      <c r="E309" s="7"/>
      <c r="F309" s="7"/>
      <c r="G309" s="7"/>
      <c r="H309" s="7"/>
      <c r="I309" s="313"/>
      <c r="J309" s="313"/>
    </row>
    <row r="310" spans="2:10" x14ac:dyDescent="0.3">
      <c r="B310" s="43">
        <v>46112</v>
      </c>
      <c r="C310" s="232" t="s">
        <v>2124</v>
      </c>
      <c r="D310" s="7"/>
      <c r="E310" s="7"/>
      <c r="F310" s="7"/>
      <c r="G310" s="7"/>
      <c r="H310" s="7"/>
      <c r="I310" s="313"/>
      <c r="J310" s="313"/>
    </row>
    <row r="311" spans="2:10" x14ac:dyDescent="0.3">
      <c r="B311" s="43"/>
      <c r="C311" s="231"/>
      <c r="D311" s="7"/>
      <c r="E311" s="7"/>
      <c r="F311" s="7"/>
      <c r="G311" s="7"/>
      <c r="H311" s="7"/>
      <c r="I311" s="313"/>
      <c r="J311" s="313"/>
    </row>
    <row r="312" spans="2:10" x14ac:dyDescent="0.3">
      <c r="B312" s="43">
        <v>46118</v>
      </c>
      <c r="C312" s="232" t="s">
        <v>2124</v>
      </c>
      <c r="D312" s="7"/>
      <c r="E312" s="7"/>
      <c r="F312" s="7"/>
      <c r="G312" s="7"/>
      <c r="H312" s="7"/>
      <c r="I312" s="313"/>
      <c r="J312" s="313"/>
    </row>
    <row r="313" spans="2:10" x14ac:dyDescent="0.3">
      <c r="B313" s="43">
        <v>46119</v>
      </c>
      <c r="C313" s="232" t="s">
        <v>2124</v>
      </c>
      <c r="D313" s="7"/>
      <c r="E313" s="7"/>
      <c r="F313" s="7"/>
      <c r="G313" s="7"/>
      <c r="H313" s="7"/>
      <c r="I313" s="313"/>
      <c r="J313" s="313"/>
    </row>
    <row r="314" spans="2:10" x14ac:dyDescent="0.3">
      <c r="B314" s="43">
        <v>46120</v>
      </c>
      <c r="C314" s="232" t="s">
        <v>2124</v>
      </c>
      <c r="D314" s="7"/>
      <c r="E314" s="7"/>
      <c r="F314" s="7"/>
      <c r="G314" s="7"/>
      <c r="H314" s="7"/>
      <c r="I314" s="313"/>
      <c r="J314" s="313"/>
    </row>
    <row r="315" spans="2:10" x14ac:dyDescent="0.3">
      <c r="B315" s="43">
        <v>46121</v>
      </c>
      <c r="C315" s="231" t="s">
        <v>2124</v>
      </c>
      <c r="D315" s="7"/>
      <c r="E315" s="7"/>
      <c r="F315" s="7"/>
      <c r="G315" s="7"/>
      <c r="H315" s="7"/>
      <c r="I315" s="313"/>
      <c r="J315" s="313"/>
    </row>
    <row r="316" spans="2:10" x14ac:dyDescent="0.3">
      <c r="B316" s="43">
        <v>46122</v>
      </c>
      <c r="C316" s="232" t="s">
        <v>2124</v>
      </c>
      <c r="D316" s="7"/>
      <c r="E316" s="7"/>
      <c r="F316" s="7"/>
      <c r="G316" s="7"/>
      <c r="H316" s="7"/>
      <c r="I316" s="313"/>
      <c r="J316" s="313"/>
    </row>
    <row r="317" spans="2:10" x14ac:dyDescent="0.3">
      <c r="B317" s="43">
        <v>46123</v>
      </c>
      <c r="C317" s="232" t="s">
        <v>2124</v>
      </c>
      <c r="D317" s="7"/>
      <c r="E317" s="7"/>
      <c r="F317" s="7"/>
      <c r="G317" s="7"/>
      <c r="H317" s="7"/>
      <c r="I317" s="313"/>
      <c r="J317" s="313"/>
    </row>
    <row r="318" spans="2:10" x14ac:dyDescent="0.3">
      <c r="B318" s="43">
        <v>46124</v>
      </c>
      <c r="C318" s="231" t="s">
        <v>2124</v>
      </c>
      <c r="D318" s="7"/>
      <c r="E318" s="7"/>
      <c r="F318" s="7"/>
      <c r="G318" s="7"/>
      <c r="H318" s="7"/>
      <c r="I318" s="313"/>
      <c r="J318" s="313"/>
    </row>
    <row r="319" spans="2:10" x14ac:dyDescent="0.3">
      <c r="B319" s="43">
        <v>46125</v>
      </c>
      <c r="C319" s="232" t="s">
        <v>2124</v>
      </c>
      <c r="D319" s="7"/>
      <c r="E319" s="7"/>
      <c r="F319" s="7"/>
      <c r="G319" s="7"/>
      <c r="H319" s="7"/>
      <c r="I319" s="313"/>
      <c r="J319" s="313"/>
    </row>
    <row r="320" spans="2:10" x14ac:dyDescent="0.3">
      <c r="B320" s="43">
        <v>46126</v>
      </c>
      <c r="C320" s="232" t="s">
        <v>2124</v>
      </c>
      <c r="D320" s="7"/>
      <c r="E320" s="7"/>
      <c r="F320" s="7"/>
      <c r="G320" s="7"/>
      <c r="H320" s="7"/>
      <c r="I320" s="313"/>
      <c r="J320" s="313"/>
    </row>
    <row r="321" spans="2:10" x14ac:dyDescent="0.3">
      <c r="B321" s="43">
        <v>46127</v>
      </c>
      <c r="C321" s="232" t="s">
        <v>2124</v>
      </c>
      <c r="D321" s="7"/>
      <c r="E321" s="7"/>
      <c r="F321" s="7"/>
      <c r="G321" s="7"/>
      <c r="H321" s="7"/>
      <c r="I321" s="313"/>
      <c r="J321" s="313"/>
    </row>
    <row r="322" spans="2:10" x14ac:dyDescent="0.3">
      <c r="B322" s="43">
        <v>46128</v>
      </c>
      <c r="C322" s="231" t="s">
        <v>2124</v>
      </c>
      <c r="D322" s="7"/>
      <c r="E322" s="7"/>
      <c r="F322" s="7"/>
      <c r="G322" s="7"/>
      <c r="H322" s="7"/>
      <c r="I322" s="313"/>
      <c r="J322" s="313"/>
    </row>
    <row r="323" spans="2:10" x14ac:dyDescent="0.3">
      <c r="B323" s="43">
        <v>46129</v>
      </c>
      <c r="C323" s="232" t="s">
        <v>2124</v>
      </c>
      <c r="D323" s="7"/>
      <c r="E323" s="7"/>
      <c r="F323" s="7"/>
      <c r="G323" s="7"/>
      <c r="H323" s="7"/>
      <c r="I323" s="313"/>
      <c r="J323" s="313"/>
    </row>
    <row r="324" spans="2:10" x14ac:dyDescent="0.3">
      <c r="B324" s="43">
        <v>46130</v>
      </c>
      <c r="C324" s="232" t="s">
        <v>2124</v>
      </c>
      <c r="D324" s="7"/>
      <c r="E324" s="7"/>
      <c r="F324" s="7"/>
      <c r="G324" s="7"/>
      <c r="H324" s="7"/>
      <c r="I324" s="313"/>
      <c r="J324" s="313"/>
    </row>
    <row r="325" spans="2:10" x14ac:dyDescent="0.3">
      <c r="B325" s="43">
        <v>46131</v>
      </c>
      <c r="C325" s="231" t="s">
        <v>2124</v>
      </c>
      <c r="D325" s="7"/>
      <c r="E325" s="7"/>
      <c r="F325" s="7"/>
      <c r="G325" s="7"/>
      <c r="H325" s="7"/>
      <c r="I325" s="313"/>
      <c r="J325" s="313"/>
    </row>
    <row r="326" spans="2:10" x14ac:dyDescent="0.3">
      <c r="B326" s="43">
        <v>46132</v>
      </c>
      <c r="C326" s="232" t="s">
        <v>2124</v>
      </c>
      <c r="D326" s="7"/>
      <c r="E326" s="7"/>
      <c r="F326" s="7"/>
      <c r="G326" s="7"/>
      <c r="H326" s="7"/>
      <c r="I326" s="313"/>
      <c r="J326" s="313"/>
    </row>
    <row r="327" spans="2:10" x14ac:dyDescent="0.3">
      <c r="B327" s="43">
        <v>46133</v>
      </c>
      <c r="C327" s="232" t="s">
        <v>2124</v>
      </c>
      <c r="D327" s="7"/>
      <c r="E327" s="7"/>
      <c r="F327" s="7"/>
      <c r="G327" s="7"/>
      <c r="H327" s="7"/>
      <c r="I327" s="313"/>
      <c r="J327" s="313"/>
    </row>
    <row r="328" spans="2:10" x14ac:dyDescent="0.3">
      <c r="B328" s="43">
        <v>46134</v>
      </c>
      <c r="C328" s="232" t="s">
        <v>2124</v>
      </c>
      <c r="D328" s="7"/>
      <c r="E328" s="7"/>
      <c r="F328" s="7"/>
      <c r="G328" s="7"/>
      <c r="H328" s="7"/>
      <c r="I328" s="313"/>
      <c r="J328" s="313"/>
    </row>
    <row r="329" spans="2:10" x14ac:dyDescent="0.3">
      <c r="B329" s="43">
        <v>46135</v>
      </c>
      <c r="C329" s="231" t="s">
        <v>2124</v>
      </c>
      <c r="D329" s="7"/>
      <c r="E329" s="7"/>
      <c r="F329" s="7"/>
      <c r="G329" s="7"/>
      <c r="H329" s="7"/>
      <c r="I329" s="313"/>
      <c r="J329" s="313"/>
    </row>
    <row r="330" spans="2:10" x14ac:dyDescent="0.3">
      <c r="B330" s="43">
        <v>46136</v>
      </c>
      <c r="C330" s="232" t="s">
        <v>2124</v>
      </c>
      <c r="D330" s="7"/>
      <c r="E330" s="7"/>
      <c r="F330" s="7"/>
      <c r="G330" s="7"/>
      <c r="H330" s="7"/>
      <c r="I330" s="313"/>
      <c r="J330" s="313"/>
    </row>
    <row r="331" spans="2:10" x14ac:dyDescent="0.3">
      <c r="B331" s="43">
        <v>46137</v>
      </c>
      <c r="C331" s="232" t="s">
        <v>2124</v>
      </c>
      <c r="D331" s="7"/>
      <c r="E331" s="7"/>
      <c r="F331" s="7"/>
      <c r="G331" s="7"/>
      <c r="H331" s="7"/>
      <c r="I331" s="313"/>
      <c r="J331" s="313"/>
    </row>
    <row r="332" spans="2:10" x14ac:dyDescent="0.3">
      <c r="B332" s="43">
        <v>46138</v>
      </c>
      <c r="C332" s="231" t="s">
        <v>2124</v>
      </c>
      <c r="D332" s="7"/>
      <c r="E332" s="7"/>
      <c r="F332" s="7"/>
      <c r="G332" s="7"/>
      <c r="H332" s="7"/>
      <c r="I332" s="313"/>
      <c r="J332" s="313"/>
    </row>
    <row r="333" spans="2:10" x14ac:dyDescent="0.3">
      <c r="B333" s="43">
        <v>46139</v>
      </c>
      <c r="C333" s="232" t="s">
        <v>2124</v>
      </c>
      <c r="D333" s="7"/>
      <c r="E333" s="7"/>
      <c r="F333" s="7"/>
      <c r="G333" s="7"/>
      <c r="H333" s="7"/>
      <c r="I333" s="313"/>
      <c r="J333" s="313"/>
    </row>
    <row r="334" spans="2:10" x14ac:dyDescent="0.3">
      <c r="B334" s="43">
        <v>46140</v>
      </c>
      <c r="C334" s="232" t="s">
        <v>2124</v>
      </c>
      <c r="D334" s="7"/>
      <c r="E334" s="7"/>
      <c r="F334" s="7"/>
      <c r="G334" s="7"/>
      <c r="H334" s="7"/>
      <c r="I334" s="313"/>
      <c r="J334" s="313"/>
    </row>
    <row r="335" spans="2:10" x14ac:dyDescent="0.3">
      <c r="B335" s="43">
        <v>46141</v>
      </c>
      <c r="C335" s="232" t="s">
        <v>2124</v>
      </c>
      <c r="D335" s="7"/>
      <c r="E335" s="7"/>
      <c r="F335" s="7"/>
      <c r="G335" s="7"/>
      <c r="H335" s="7"/>
      <c r="I335" s="313"/>
      <c r="J335" s="313"/>
    </row>
    <row r="336" spans="2:10" x14ac:dyDescent="0.3">
      <c r="B336" s="43">
        <v>46142</v>
      </c>
      <c r="C336" s="231" t="s">
        <v>2124</v>
      </c>
      <c r="D336" s="7"/>
      <c r="E336" s="7"/>
      <c r="F336" s="7"/>
      <c r="G336" s="7"/>
      <c r="H336" s="7"/>
      <c r="I336" s="313"/>
      <c r="J336" s="313"/>
    </row>
    <row r="337" spans="2:10" x14ac:dyDescent="0.3">
      <c r="B337" s="43">
        <v>46143</v>
      </c>
      <c r="C337" s="232" t="s">
        <v>2124</v>
      </c>
      <c r="D337" s="7"/>
      <c r="E337" s="7"/>
      <c r="F337" s="7"/>
      <c r="G337" s="7"/>
      <c r="H337" s="7"/>
      <c r="I337" s="313"/>
      <c r="J337" s="313"/>
    </row>
    <row r="338" spans="2:10" x14ac:dyDescent="0.3">
      <c r="B338" s="43">
        <v>46144</v>
      </c>
      <c r="C338" s="232" t="s">
        <v>2124</v>
      </c>
      <c r="D338" s="7"/>
      <c r="E338" s="7"/>
      <c r="F338" s="7"/>
      <c r="G338" s="7"/>
      <c r="H338" s="7"/>
      <c r="I338" s="313"/>
      <c r="J338" s="313"/>
    </row>
    <row r="339" spans="2:10" x14ac:dyDescent="0.3">
      <c r="B339" s="43">
        <v>46145</v>
      </c>
      <c r="C339" s="231" t="s">
        <v>2124</v>
      </c>
      <c r="D339" s="7"/>
      <c r="E339" s="7"/>
      <c r="F339" s="7"/>
      <c r="G339" s="7"/>
      <c r="H339" s="7"/>
      <c r="I339" s="313"/>
      <c r="J339" s="313"/>
    </row>
    <row r="340" spans="2:10" x14ac:dyDescent="0.3">
      <c r="B340" s="43">
        <v>46146</v>
      </c>
      <c r="C340" s="231" t="s">
        <v>2762</v>
      </c>
      <c r="D340" s="7"/>
      <c r="E340" s="7"/>
      <c r="F340" s="7"/>
      <c r="G340" s="7"/>
      <c r="H340" s="7"/>
      <c r="I340" s="313"/>
      <c r="J340" s="313"/>
    </row>
    <row r="341" spans="2:10" x14ac:dyDescent="0.3">
      <c r="B341" s="43">
        <v>46147</v>
      </c>
      <c r="C341" s="231" t="s">
        <v>2763</v>
      </c>
      <c r="D341" s="7"/>
      <c r="E341" s="7"/>
      <c r="F341" s="7"/>
      <c r="G341" s="7"/>
      <c r="H341" s="7"/>
      <c r="I341" s="313"/>
      <c r="J341" s="313"/>
    </row>
    <row r="342" spans="2:10" x14ac:dyDescent="0.3">
      <c r="B342" s="43">
        <v>46148</v>
      </c>
      <c r="C342" s="231" t="s">
        <v>2764</v>
      </c>
      <c r="D342" s="7"/>
      <c r="E342" s="7"/>
      <c r="F342" s="7"/>
      <c r="G342" s="7"/>
      <c r="H342" s="7"/>
      <c r="I342" s="313"/>
      <c r="J342" s="313"/>
    </row>
    <row r="343" spans="2:10" x14ac:dyDescent="0.3">
      <c r="B343" s="43">
        <v>46149</v>
      </c>
      <c r="C343" s="231" t="s">
        <v>2765</v>
      </c>
      <c r="D343" s="7"/>
      <c r="E343" s="7"/>
      <c r="F343" s="7"/>
      <c r="G343" s="7"/>
      <c r="H343" s="7"/>
      <c r="I343" s="313"/>
      <c r="J343" s="313"/>
    </row>
    <row r="344" spans="2:10" x14ac:dyDescent="0.3">
      <c r="B344" s="43">
        <v>46150</v>
      </c>
      <c r="C344" s="231" t="s">
        <v>2766</v>
      </c>
      <c r="D344" s="7"/>
      <c r="E344" s="7"/>
      <c r="F344" s="7"/>
      <c r="G344" s="7"/>
      <c r="H344" s="7"/>
      <c r="I344" s="313"/>
      <c r="J344" s="313"/>
    </row>
    <row r="345" spans="2:10" x14ac:dyDescent="0.3">
      <c r="B345" s="43">
        <v>46151</v>
      </c>
      <c r="C345" s="231" t="s">
        <v>2767</v>
      </c>
      <c r="D345" s="7"/>
      <c r="E345" s="7"/>
      <c r="F345" s="7"/>
      <c r="G345" s="7"/>
      <c r="H345" s="7"/>
      <c r="I345" s="313"/>
      <c r="J345" s="313"/>
    </row>
    <row r="346" spans="2:10" x14ac:dyDescent="0.3">
      <c r="B346" s="43">
        <v>46152</v>
      </c>
      <c r="C346" s="231" t="s">
        <v>2768</v>
      </c>
      <c r="D346" s="7"/>
      <c r="E346" s="7"/>
      <c r="F346" s="7"/>
      <c r="G346" s="7"/>
      <c r="H346" s="7"/>
      <c r="I346" s="313"/>
      <c r="J346" s="313"/>
    </row>
    <row r="347" spans="2:10" x14ac:dyDescent="0.3">
      <c r="B347" s="43">
        <v>46153</v>
      </c>
      <c r="C347" s="231" t="s">
        <v>2769</v>
      </c>
      <c r="D347" s="7"/>
      <c r="E347" s="7"/>
      <c r="F347" s="7"/>
      <c r="G347" s="7"/>
      <c r="H347" s="7"/>
      <c r="I347" s="313"/>
      <c r="J347" s="313"/>
    </row>
    <row r="348" spans="2:10" x14ac:dyDescent="0.3">
      <c r="B348" s="43">
        <v>46154</v>
      </c>
      <c r="C348" s="231" t="s">
        <v>2770</v>
      </c>
      <c r="D348" s="7"/>
      <c r="E348" s="7"/>
      <c r="F348" s="7"/>
      <c r="G348" s="7"/>
      <c r="H348" s="7"/>
      <c r="I348" s="313"/>
      <c r="J348" s="313"/>
    </row>
    <row r="349" spans="2:10" x14ac:dyDescent="0.3">
      <c r="B349" s="43">
        <v>46155</v>
      </c>
      <c r="C349" s="231" t="s">
        <v>2771</v>
      </c>
      <c r="D349" s="7"/>
      <c r="E349" s="7"/>
      <c r="F349" s="7"/>
      <c r="G349" s="7"/>
      <c r="H349" s="7"/>
      <c r="I349" s="313"/>
      <c r="J349" s="313"/>
    </row>
    <row r="350" spans="2:10" x14ac:dyDescent="0.3">
      <c r="B350" s="43">
        <v>46156</v>
      </c>
      <c r="C350" s="231" t="s">
        <v>2772</v>
      </c>
      <c r="D350" s="7"/>
      <c r="E350" s="7"/>
      <c r="F350" s="7"/>
      <c r="G350" s="7"/>
      <c r="H350" s="7"/>
      <c r="I350" s="313"/>
      <c r="J350" s="313"/>
    </row>
    <row r="351" spans="2:10" x14ac:dyDescent="0.3">
      <c r="B351" s="43">
        <v>46157</v>
      </c>
      <c r="C351" s="231" t="s">
        <v>2773</v>
      </c>
      <c r="D351" s="7"/>
      <c r="E351" s="7"/>
      <c r="F351" s="7"/>
      <c r="G351" s="7"/>
      <c r="H351" s="7"/>
      <c r="I351" s="313"/>
      <c r="J351" s="313"/>
    </row>
    <row r="352" spans="2:10" x14ac:dyDescent="0.3">
      <c r="B352" s="43">
        <v>46158</v>
      </c>
      <c r="C352" s="231" t="s">
        <v>2774</v>
      </c>
      <c r="D352" s="7"/>
      <c r="E352" s="7"/>
      <c r="F352" s="7"/>
      <c r="G352" s="7"/>
      <c r="H352" s="7"/>
      <c r="I352" s="313"/>
      <c r="J352" s="313"/>
    </row>
    <row r="353" spans="2:10" x14ac:dyDescent="0.3">
      <c r="B353" s="43">
        <v>46159</v>
      </c>
      <c r="C353" s="231" t="s">
        <v>2775</v>
      </c>
      <c r="D353" s="7"/>
      <c r="E353" s="7"/>
      <c r="F353" s="7"/>
      <c r="G353" s="7"/>
      <c r="H353" s="7"/>
      <c r="I353" s="313"/>
      <c r="J353" s="313"/>
    </row>
    <row r="354" spans="2:10" x14ac:dyDescent="0.3">
      <c r="B354" s="43">
        <v>46160</v>
      </c>
      <c r="C354" s="231" t="s">
        <v>2776</v>
      </c>
      <c r="D354" s="7"/>
      <c r="E354" s="7"/>
      <c r="F354" s="7"/>
      <c r="G354" s="7"/>
      <c r="H354" s="7"/>
      <c r="I354" s="313"/>
      <c r="J354" s="313"/>
    </row>
    <row r="355" spans="2:10" x14ac:dyDescent="0.3">
      <c r="B355" s="43">
        <v>46161</v>
      </c>
      <c r="C355" s="231" t="s">
        <v>2777</v>
      </c>
      <c r="D355" s="7"/>
      <c r="E355" s="7"/>
      <c r="F355" s="7"/>
      <c r="G355" s="7"/>
      <c r="H355" s="7"/>
      <c r="I355" s="313"/>
      <c r="J355" s="313"/>
    </row>
    <row r="356" spans="2:10" x14ac:dyDescent="0.3">
      <c r="B356" s="43">
        <v>46162</v>
      </c>
      <c r="C356" s="231" t="s">
        <v>2778</v>
      </c>
      <c r="D356" s="7"/>
      <c r="E356" s="7"/>
      <c r="F356" s="7"/>
      <c r="G356" s="7"/>
      <c r="H356" s="7"/>
      <c r="I356" s="313"/>
      <c r="J356" s="313"/>
    </row>
    <row r="357" spans="2:10" x14ac:dyDescent="0.3">
      <c r="B357" s="43">
        <v>46163</v>
      </c>
      <c r="C357" s="231" t="s">
        <v>2779</v>
      </c>
      <c r="D357" s="7"/>
      <c r="E357" s="7"/>
      <c r="F357" s="7"/>
      <c r="G357" s="7"/>
      <c r="H357" s="7"/>
      <c r="I357" s="313"/>
      <c r="J357" s="313"/>
    </row>
    <row r="358" spans="2:10" x14ac:dyDescent="0.3">
      <c r="B358" s="43">
        <v>46164</v>
      </c>
      <c r="C358" s="231" t="s">
        <v>2780</v>
      </c>
      <c r="D358" s="7"/>
      <c r="E358" s="7"/>
      <c r="F358" s="7"/>
      <c r="G358" s="7"/>
      <c r="H358" s="7"/>
      <c r="I358" s="313"/>
      <c r="J358" s="313"/>
    </row>
    <row r="359" spans="2:10" x14ac:dyDescent="0.3">
      <c r="B359" s="43">
        <v>46165</v>
      </c>
      <c r="C359" s="231" t="s">
        <v>2781</v>
      </c>
      <c r="D359" s="7"/>
      <c r="E359" s="7"/>
      <c r="F359" s="7"/>
      <c r="G359" s="7"/>
      <c r="H359" s="7"/>
      <c r="I359" s="313"/>
      <c r="J359" s="313"/>
    </row>
    <row r="360" spans="2:10" x14ac:dyDescent="0.3">
      <c r="B360" s="43">
        <v>46166</v>
      </c>
      <c r="C360" s="231" t="s">
        <v>2782</v>
      </c>
      <c r="D360" s="7"/>
      <c r="E360" s="7"/>
      <c r="F360" s="7"/>
      <c r="G360" s="7"/>
      <c r="H360" s="7"/>
      <c r="I360" s="313"/>
      <c r="J360" s="313"/>
    </row>
    <row r="361" spans="2:10" x14ac:dyDescent="0.3">
      <c r="B361" s="43">
        <v>46167</v>
      </c>
      <c r="C361" s="231" t="s">
        <v>2783</v>
      </c>
      <c r="D361" s="7"/>
      <c r="E361" s="7"/>
      <c r="F361" s="7"/>
      <c r="G361" s="7"/>
      <c r="H361" s="7"/>
      <c r="I361" s="313"/>
      <c r="J361" s="313"/>
    </row>
    <row r="362" spans="2:10" x14ac:dyDescent="0.3">
      <c r="B362" s="43">
        <v>46168</v>
      </c>
      <c r="C362" s="231" t="s">
        <v>2784</v>
      </c>
      <c r="D362" s="7"/>
      <c r="E362" s="7"/>
      <c r="F362" s="7"/>
      <c r="G362" s="7"/>
      <c r="H362" s="7"/>
      <c r="I362" s="313"/>
      <c r="J362" s="313"/>
    </row>
    <row r="363" spans="2:10" x14ac:dyDescent="0.3">
      <c r="B363" s="43">
        <v>46169</v>
      </c>
      <c r="C363" s="231" t="s">
        <v>2785</v>
      </c>
      <c r="D363" s="7"/>
      <c r="E363" s="7"/>
      <c r="F363" s="7"/>
      <c r="G363" s="7"/>
      <c r="H363" s="7"/>
      <c r="I363" s="313"/>
      <c r="J363" s="313"/>
    </row>
    <row r="364" spans="2:10" x14ac:dyDescent="0.3">
      <c r="B364" s="43">
        <v>46170</v>
      </c>
      <c r="C364" s="231" t="s">
        <v>2786</v>
      </c>
      <c r="D364" s="7"/>
      <c r="E364" s="7"/>
      <c r="F364" s="7"/>
      <c r="G364" s="7"/>
      <c r="H364" s="7"/>
      <c r="I364" s="313"/>
      <c r="J364" s="313"/>
    </row>
    <row r="365" spans="2:10" x14ac:dyDescent="0.3">
      <c r="B365" s="43">
        <v>46171</v>
      </c>
      <c r="C365" s="231" t="s">
        <v>2787</v>
      </c>
      <c r="D365" s="7"/>
      <c r="E365" s="7"/>
      <c r="F365" s="7"/>
      <c r="G365" s="7"/>
      <c r="H365" s="7"/>
      <c r="I365" s="313"/>
      <c r="J365" s="313"/>
    </row>
    <row r="366" spans="2:10" x14ac:dyDescent="0.3">
      <c r="B366" s="43">
        <v>46172</v>
      </c>
      <c r="C366" s="231" t="s">
        <v>2788</v>
      </c>
      <c r="D366" s="7"/>
      <c r="E366" s="7"/>
      <c r="F366" s="7"/>
      <c r="G366" s="7"/>
      <c r="H366" s="7"/>
      <c r="I366" s="313"/>
      <c r="J366" s="313"/>
    </row>
    <row r="367" spans="2:10" x14ac:dyDescent="0.3">
      <c r="B367" s="43">
        <v>46173</v>
      </c>
      <c r="C367" s="231" t="s">
        <v>2789</v>
      </c>
      <c r="D367" s="7"/>
      <c r="E367" s="7"/>
      <c r="F367" s="7"/>
      <c r="G367" s="7"/>
      <c r="H367" s="7"/>
      <c r="I367" s="313"/>
      <c r="J367" s="313"/>
    </row>
    <row r="368" spans="2:10" x14ac:dyDescent="0.3">
      <c r="B368" s="43">
        <v>46174</v>
      </c>
      <c r="C368" s="231" t="s">
        <v>2790</v>
      </c>
      <c r="D368" s="7"/>
      <c r="E368" s="7"/>
      <c r="F368" s="7"/>
      <c r="G368" s="7"/>
      <c r="H368" s="7"/>
      <c r="I368" s="313"/>
      <c r="J368" s="313"/>
    </row>
    <row r="369" spans="2:10" x14ac:dyDescent="0.3">
      <c r="B369" s="43">
        <v>46175</v>
      </c>
      <c r="C369" s="231" t="s">
        <v>2791</v>
      </c>
      <c r="D369" s="7"/>
      <c r="E369" s="7"/>
      <c r="F369" s="7"/>
      <c r="G369" s="7"/>
      <c r="H369" s="7"/>
      <c r="I369" s="313"/>
      <c r="J369" s="313"/>
    </row>
    <row r="370" spans="2:10" x14ac:dyDescent="0.3">
      <c r="B370" s="43">
        <v>46176</v>
      </c>
      <c r="C370" s="231" t="s">
        <v>2792</v>
      </c>
      <c r="D370" s="7"/>
      <c r="E370" s="7"/>
      <c r="F370" s="7"/>
      <c r="G370" s="7"/>
      <c r="H370" s="7"/>
      <c r="I370" s="313"/>
      <c r="J370" s="313"/>
    </row>
    <row r="371" spans="2:10" x14ac:dyDescent="0.3">
      <c r="B371" s="43">
        <v>46177</v>
      </c>
      <c r="C371" s="231" t="s">
        <v>2793</v>
      </c>
      <c r="D371" s="7"/>
      <c r="E371" s="7"/>
      <c r="F371" s="7"/>
      <c r="G371" s="7"/>
      <c r="H371" s="7"/>
      <c r="I371" s="313"/>
      <c r="J371" s="313"/>
    </row>
    <row r="372" spans="2:10" x14ac:dyDescent="0.3">
      <c r="B372" s="43">
        <v>46178</v>
      </c>
      <c r="C372" s="231" t="s">
        <v>2794</v>
      </c>
      <c r="D372" s="7"/>
      <c r="E372" s="7"/>
      <c r="F372" s="7"/>
      <c r="G372" s="7"/>
      <c r="H372" s="7"/>
      <c r="I372" s="313"/>
      <c r="J372" s="313"/>
    </row>
    <row r="373" spans="2:10" x14ac:dyDescent="0.3">
      <c r="B373" s="43">
        <v>46179</v>
      </c>
      <c r="C373" s="231" t="s">
        <v>2795</v>
      </c>
      <c r="D373" s="7"/>
      <c r="E373" s="7"/>
      <c r="F373" s="7"/>
      <c r="G373" s="7"/>
      <c r="H373" s="7"/>
      <c r="I373" s="313"/>
      <c r="J373" s="313"/>
    </row>
    <row r="374" spans="2:10" x14ac:dyDescent="0.3">
      <c r="B374" s="43">
        <v>46180</v>
      </c>
      <c r="C374" s="231" t="s">
        <v>2796</v>
      </c>
      <c r="D374" s="7"/>
      <c r="E374" s="7"/>
      <c r="F374" s="7"/>
      <c r="G374" s="7"/>
      <c r="H374" s="7"/>
      <c r="I374" s="313"/>
      <c r="J374" s="313"/>
    </row>
    <row r="375" spans="2:10" x14ac:dyDescent="0.3">
      <c r="B375" s="43">
        <v>46181</v>
      </c>
      <c r="C375" s="231" t="s">
        <v>2797</v>
      </c>
      <c r="D375" s="7"/>
      <c r="E375" s="7"/>
      <c r="F375" s="7"/>
      <c r="G375" s="7"/>
      <c r="H375" s="7"/>
      <c r="I375" s="313"/>
      <c r="J375" s="313"/>
    </row>
    <row r="376" spans="2:10" x14ac:dyDescent="0.3">
      <c r="B376" s="43">
        <v>46182</v>
      </c>
      <c r="C376" s="231" t="s">
        <v>2798</v>
      </c>
      <c r="D376" s="7"/>
      <c r="E376" s="7"/>
      <c r="F376" s="7"/>
      <c r="G376" s="7"/>
      <c r="H376" s="7"/>
      <c r="I376" s="313"/>
      <c r="J376" s="313"/>
    </row>
    <row r="377" spans="2:10" x14ac:dyDescent="0.3">
      <c r="B377" s="43">
        <v>46183</v>
      </c>
      <c r="C377" s="231" t="s">
        <v>2799</v>
      </c>
      <c r="D377" s="7"/>
      <c r="E377" s="7"/>
      <c r="F377" s="7"/>
      <c r="G377" s="7"/>
      <c r="H377" s="7"/>
      <c r="I377" s="313"/>
      <c r="J377" s="313"/>
    </row>
    <row r="378" spans="2:10" x14ac:dyDescent="0.3">
      <c r="B378" s="43">
        <v>46184</v>
      </c>
      <c r="C378" s="231" t="s">
        <v>2800</v>
      </c>
      <c r="D378" s="7"/>
      <c r="E378" s="7"/>
      <c r="F378" s="7"/>
      <c r="G378" s="7"/>
      <c r="H378" s="7"/>
      <c r="I378" s="313"/>
      <c r="J378" s="313"/>
    </row>
    <row r="379" spans="2:10" x14ac:dyDescent="0.3">
      <c r="B379" s="43">
        <v>46185</v>
      </c>
      <c r="C379" s="231" t="s">
        <v>2801</v>
      </c>
      <c r="D379" s="7"/>
      <c r="E379" s="7"/>
      <c r="F379" s="7"/>
      <c r="G379" s="7"/>
      <c r="H379" s="7"/>
      <c r="I379" s="313"/>
      <c r="J379" s="313"/>
    </row>
    <row r="380" spans="2:10" x14ac:dyDescent="0.3">
      <c r="B380" s="43">
        <v>46186</v>
      </c>
      <c r="C380" s="231" t="s">
        <v>2802</v>
      </c>
      <c r="D380" s="7"/>
      <c r="E380" s="7"/>
      <c r="F380" s="7"/>
      <c r="G380" s="7"/>
      <c r="H380" s="7"/>
      <c r="I380" s="313"/>
      <c r="J380" s="313"/>
    </row>
    <row r="381" spans="2:10" x14ac:dyDescent="0.3">
      <c r="B381" s="43">
        <v>46187</v>
      </c>
      <c r="C381" s="231" t="s">
        <v>2803</v>
      </c>
      <c r="D381" s="7"/>
      <c r="E381" s="7"/>
      <c r="F381" s="7"/>
      <c r="G381" s="7"/>
      <c r="H381" s="7"/>
      <c r="I381" s="313"/>
      <c r="J381" s="313"/>
    </row>
    <row r="382" spans="2:10" x14ac:dyDescent="0.3">
      <c r="B382" s="43">
        <v>46188</v>
      </c>
      <c r="C382" s="231" t="s">
        <v>2804</v>
      </c>
      <c r="D382" s="7"/>
      <c r="E382" s="7"/>
      <c r="F382" s="7"/>
      <c r="G382" s="7"/>
      <c r="H382" s="7"/>
      <c r="I382" s="313"/>
      <c r="J382" s="313"/>
    </row>
    <row r="383" spans="2:10" x14ac:dyDescent="0.3">
      <c r="B383" s="43">
        <v>46189</v>
      </c>
      <c r="C383" s="231" t="s">
        <v>2805</v>
      </c>
      <c r="D383" s="7"/>
      <c r="E383" s="7"/>
      <c r="F383" s="7"/>
      <c r="G383" s="7"/>
      <c r="H383" s="7"/>
      <c r="I383" s="313"/>
      <c r="J383" s="313"/>
    </row>
    <row r="384" spans="2:10" x14ac:dyDescent="0.3">
      <c r="B384" s="43">
        <v>46190</v>
      </c>
      <c r="C384" s="231" t="s">
        <v>2806</v>
      </c>
      <c r="D384" s="7"/>
      <c r="E384" s="7"/>
      <c r="F384" s="7"/>
      <c r="G384" s="7"/>
      <c r="H384" s="7"/>
      <c r="I384" s="313"/>
      <c r="J384" s="313"/>
    </row>
    <row r="385" spans="2:10" x14ac:dyDescent="0.3">
      <c r="B385" s="43">
        <v>46191</v>
      </c>
      <c r="C385" s="231" t="s">
        <v>2807</v>
      </c>
      <c r="D385" s="7"/>
      <c r="E385" s="7"/>
      <c r="F385" s="7"/>
      <c r="G385" s="7"/>
      <c r="H385" s="7"/>
      <c r="I385" s="313"/>
      <c r="J385" s="313"/>
    </row>
    <row r="386" spans="2:10" x14ac:dyDescent="0.3">
      <c r="B386" s="43">
        <v>46192</v>
      </c>
      <c r="C386" s="231" t="s">
        <v>2808</v>
      </c>
      <c r="D386" s="7"/>
      <c r="E386" s="7"/>
      <c r="F386" s="7"/>
      <c r="G386" s="7"/>
      <c r="H386" s="7"/>
      <c r="I386" s="313"/>
      <c r="J386" s="313"/>
    </row>
    <row r="387" spans="2:10" x14ac:dyDescent="0.3">
      <c r="B387" s="43">
        <v>46193</v>
      </c>
      <c r="C387" s="231" t="s">
        <v>2809</v>
      </c>
      <c r="D387" s="7"/>
      <c r="E387" s="7"/>
      <c r="F387" s="7"/>
      <c r="G387" s="7"/>
      <c r="H387" s="7"/>
      <c r="I387" s="313"/>
      <c r="J387" s="313"/>
    </row>
    <row r="388" spans="2:10" x14ac:dyDescent="0.3">
      <c r="B388" s="43">
        <v>46194</v>
      </c>
      <c r="C388" s="231" t="s">
        <v>2810</v>
      </c>
      <c r="D388" s="7"/>
      <c r="E388" s="7"/>
      <c r="F388" s="7"/>
      <c r="G388" s="7"/>
      <c r="H388" s="7"/>
      <c r="I388" s="313"/>
      <c r="J388" s="313"/>
    </row>
  </sheetData>
  <autoFilter ref="B1:H1" xr:uid="{0B8B6AD9-3A74-4587-9A86-8719613AD3C5}"/>
  <conditionalFormatting sqref="F1">
    <cfRule type="cellIs" dxfId="45" priority="1" operator="equal">
      <formula>"WARNING"</formula>
    </cfRule>
    <cfRule type="cellIs" dxfId="44" priority="2" operator="equal">
      <formula>"REQ"</formula>
    </cfRule>
    <cfRule type="cellIs" dxfId="43" priority="3" operator="equal">
      <formula>"INC"</formula>
    </cfRule>
  </conditionalFormatting>
  <conditionalFormatting sqref="F2:F9983">
    <cfRule type="cellIs" dxfId="42" priority="7" operator="equal">
      <formula>"WARNING"</formula>
    </cfRule>
    <cfRule type="cellIs" dxfId="41" priority="8" operator="equal">
      <formula>"REQ"</formula>
    </cfRule>
    <cfRule type="cellIs" dxfId="40" priority="12" operator="equal">
      <formula>"INC"</formula>
    </cfRule>
  </conditionalFormatting>
  <dataValidations count="3">
    <dataValidation type="list" allowBlank="1" showInputMessage="1" showErrorMessage="1" sqref="I1:I1048576" xr:uid="{57EACE8E-3184-4202-94C0-5345DA63D47E}">
      <formula1>"EN PROCESO, PENDIENTE, FINALIZADO"</formula1>
    </dataValidation>
    <dataValidation type="whole" allowBlank="1" showInputMessage="1" showErrorMessage="1" sqref="J1:J1048576" xr:uid="{55152A0A-85BD-4753-92FF-C3A1A4527D4B}">
      <formula1>1</formula1>
      <formula2>8</formula2>
    </dataValidation>
    <dataValidation type="list" allowBlank="1" showInputMessage="1" showErrorMessage="1" sqref="F1:F1048576" xr:uid="{13CEBD15-1583-41DE-BA75-B30AEF216E66}">
      <formula1>"INTERNO, PROYECTO, CURSO, REQ, INC, WARNING"</formula1>
    </dataValidation>
  </dataValidations>
  <pageMargins left="0.3" right="0.3" top="0.3" bottom="0.3" header="0" footer="0"/>
  <pageSetup scale="53" fitToHeight="0"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8BBFA-B2CC-438F-BB91-D11995AC9005}">
  <sheetPr codeName="Hoja7">
    <tabColor rgb="FFFF0000"/>
    <pageSetUpPr fitToPage="1"/>
  </sheetPr>
  <dimension ref="A1:O805"/>
  <sheetViews>
    <sheetView showGridLines="0" topLeftCell="G1" zoomScale="90" zoomScaleNormal="90" workbookViewId="0">
      <pane ySplit="2" topLeftCell="A3" activePane="bottomLeft" state="frozen"/>
      <selection pane="bottomLeft" activeCell="B1" sqref="B1:J1"/>
    </sheetView>
  </sheetViews>
  <sheetFormatPr baseColWidth="10" defaultColWidth="11" defaultRowHeight="15.75" x14ac:dyDescent="0.25"/>
  <cols>
    <col min="1" max="1" width="3.375" style="289" customWidth="1"/>
    <col min="2" max="2" width="13.375" style="303" bestFit="1" customWidth="1"/>
    <col min="3" max="3" width="10.875" style="303" bestFit="1" customWidth="1"/>
    <col min="4" max="4" width="27.625" style="294" bestFit="1" customWidth="1"/>
    <col min="5" max="5" width="9.875" style="294" customWidth="1"/>
    <col min="6" max="6" width="12.25" style="294" customWidth="1"/>
    <col min="7" max="7" width="89.5" style="294" customWidth="1"/>
    <col min="8" max="8" width="122.125" style="294" bestFit="1" customWidth="1"/>
    <col min="9" max="9" width="24.875" style="286" bestFit="1" customWidth="1"/>
    <col min="10" max="10" width="21.75" style="289" customWidth="1"/>
    <col min="11" max="11" width="32.75" style="294" bestFit="1" customWidth="1"/>
    <col min="12" max="12" width="36.25" style="289" bestFit="1" customWidth="1"/>
    <col min="13" max="14" width="11" style="289" customWidth="1"/>
    <col min="15" max="15" width="11" style="294" customWidth="1"/>
    <col min="16" max="16384" width="11" style="294"/>
  </cols>
  <sheetData>
    <row r="1" spans="1:14" s="288" customFormat="1" ht="47.25" x14ac:dyDescent="0.25">
      <c r="A1" s="286"/>
      <c r="B1" s="8" t="s">
        <v>16</v>
      </c>
      <c r="C1" s="8" t="s">
        <v>17</v>
      </c>
      <c r="D1" s="8" t="s">
        <v>18</v>
      </c>
      <c r="E1" s="8" t="s">
        <v>19</v>
      </c>
      <c r="F1" s="8" t="s">
        <v>20</v>
      </c>
      <c r="G1" s="8" t="s">
        <v>21</v>
      </c>
      <c r="H1" s="8" t="s">
        <v>22</v>
      </c>
      <c r="I1" s="280" t="s">
        <v>3266</v>
      </c>
      <c r="J1" s="280" t="s">
        <v>3269</v>
      </c>
      <c r="K1" s="287" t="s">
        <v>3293</v>
      </c>
      <c r="L1" s="286"/>
      <c r="M1" s="286"/>
      <c r="N1" s="286"/>
    </row>
    <row r="2" spans="1:14" x14ac:dyDescent="0.25">
      <c r="B2" s="290">
        <v>45719</v>
      </c>
      <c r="C2" s="291" t="s">
        <v>2072</v>
      </c>
      <c r="D2" s="292" t="s">
        <v>2073</v>
      </c>
      <c r="E2" s="292" t="s">
        <v>2125</v>
      </c>
      <c r="F2" s="293" t="s">
        <v>6</v>
      </c>
      <c r="G2" s="292" t="s">
        <v>2074</v>
      </c>
      <c r="H2" s="291"/>
      <c r="I2" s="304" t="s">
        <v>3294</v>
      </c>
      <c r="J2" s="289" t="s">
        <v>3301</v>
      </c>
      <c r="K2" s="291"/>
    </row>
    <row r="3" spans="1:14" ht="27" x14ac:dyDescent="0.25">
      <c r="B3" s="290">
        <v>45720</v>
      </c>
      <c r="C3" s="291" t="s">
        <v>2072</v>
      </c>
      <c r="D3" s="292" t="s">
        <v>332</v>
      </c>
      <c r="E3" s="292" t="s">
        <v>332</v>
      </c>
      <c r="F3" s="293" t="s">
        <v>6</v>
      </c>
      <c r="G3" s="292" t="s">
        <v>2075</v>
      </c>
      <c r="H3" s="291"/>
      <c r="I3" s="304" t="s">
        <v>3294</v>
      </c>
      <c r="K3" s="291"/>
    </row>
    <row r="4" spans="1:14" ht="27" x14ac:dyDescent="0.25">
      <c r="B4" s="290">
        <v>45720</v>
      </c>
      <c r="C4" s="292" t="s">
        <v>2076</v>
      </c>
      <c r="D4" s="292" t="s">
        <v>332</v>
      </c>
      <c r="E4" s="292" t="s">
        <v>332</v>
      </c>
      <c r="F4" s="293" t="s">
        <v>6</v>
      </c>
      <c r="G4" s="292" t="s">
        <v>2077</v>
      </c>
      <c r="H4" s="291"/>
      <c r="I4" s="304" t="s">
        <v>3294</v>
      </c>
      <c r="K4" s="291"/>
    </row>
    <row r="5" spans="1:14" ht="27" x14ac:dyDescent="0.25">
      <c r="B5" s="290">
        <v>45720</v>
      </c>
      <c r="C5" s="291" t="s">
        <v>2072</v>
      </c>
      <c r="D5" s="292" t="s">
        <v>2078</v>
      </c>
      <c r="E5" s="292" t="s">
        <v>2078</v>
      </c>
      <c r="F5" s="293" t="s">
        <v>6</v>
      </c>
      <c r="G5" s="292" t="s">
        <v>2079</v>
      </c>
      <c r="H5" s="291"/>
      <c r="I5" s="304" t="s">
        <v>3294</v>
      </c>
      <c r="K5" s="291"/>
    </row>
    <row r="6" spans="1:14" ht="54" x14ac:dyDescent="0.25">
      <c r="B6" s="290">
        <v>45720</v>
      </c>
      <c r="C6" s="291" t="s">
        <v>2072</v>
      </c>
      <c r="D6" s="292" t="s">
        <v>2080</v>
      </c>
      <c r="E6" s="292" t="s">
        <v>2080</v>
      </c>
      <c r="F6" s="293" t="s">
        <v>6</v>
      </c>
      <c r="G6" s="292" t="s">
        <v>2081</v>
      </c>
      <c r="H6" s="291"/>
      <c r="I6" s="304" t="s">
        <v>3294</v>
      </c>
      <c r="K6" s="291"/>
    </row>
    <row r="7" spans="1:14" ht="27" x14ac:dyDescent="0.25">
      <c r="B7" s="290">
        <v>45722</v>
      </c>
      <c r="C7" s="291" t="s">
        <v>2072</v>
      </c>
      <c r="D7" s="292" t="s">
        <v>2082</v>
      </c>
      <c r="E7" s="292" t="s">
        <v>2082</v>
      </c>
      <c r="F7" s="293" t="s">
        <v>6</v>
      </c>
      <c r="G7" s="292" t="s">
        <v>2083</v>
      </c>
      <c r="H7" s="291"/>
      <c r="I7" s="304" t="s">
        <v>3294</v>
      </c>
      <c r="K7" s="291" t="s">
        <v>2084</v>
      </c>
    </row>
    <row r="8" spans="1:14" x14ac:dyDescent="0.25">
      <c r="B8" s="290">
        <v>45722</v>
      </c>
      <c r="C8" s="291" t="s">
        <v>2072</v>
      </c>
      <c r="D8" s="292" t="s">
        <v>406</v>
      </c>
      <c r="E8" s="292" t="s">
        <v>406</v>
      </c>
      <c r="F8" s="293" t="s">
        <v>6</v>
      </c>
      <c r="G8" s="292" t="s">
        <v>2085</v>
      </c>
      <c r="H8" s="291"/>
      <c r="I8" s="304" t="s">
        <v>3294</v>
      </c>
      <c r="K8" s="291"/>
    </row>
    <row r="9" spans="1:14" ht="54" x14ac:dyDescent="0.25">
      <c r="B9" s="290">
        <v>45722</v>
      </c>
      <c r="C9" s="291" t="s">
        <v>2072</v>
      </c>
      <c r="D9" s="292" t="s">
        <v>413</v>
      </c>
      <c r="E9" s="292" t="s">
        <v>413</v>
      </c>
      <c r="F9" s="293" t="s">
        <v>6</v>
      </c>
      <c r="G9" s="292" t="s">
        <v>2086</v>
      </c>
      <c r="H9" s="291"/>
      <c r="I9" s="304" t="s">
        <v>3294</v>
      </c>
      <c r="K9" s="291"/>
    </row>
    <row r="10" spans="1:14" x14ac:dyDescent="0.25">
      <c r="B10" s="290">
        <v>45722</v>
      </c>
      <c r="C10" s="291" t="s">
        <v>2072</v>
      </c>
      <c r="D10" s="292" t="s">
        <v>2078</v>
      </c>
      <c r="E10" s="292" t="s">
        <v>2078</v>
      </c>
      <c r="F10" s="293" t="s">
        <v>6</v>
      </c>
      <c r="G10" s="292" t="s">
        <v>2087</v>
      </c>
      <c r="H10" s="291"/>
      <c r="I10" s="304" t="s">
        <v>3294</v>
      </c>
      <c r="K10" s="291"/>
    </row>
    <row r="11" spans="1:14" x14ac:dyDescent="0.25">
      <c r="B11" s="290">
        <v>45726</v>
      </c>
      <c r="C11" s="291" t="s">
        <v>2072</v>
      </c>
      <c r="D11" s="292" t="s">
        <v>1893</v>
      </c>
      <c r="E11" s="292" t="s">
        <v>1893</v>
      </c>
      <c r="F11" s="293" t="s">
        <v>6</v>
      </c>
      <c r="G11" s="292" t="s">
        <v>2088</v>
      </c>
      <c r="H11" s="291"/>
      <c r="I11" s="304" t="s">
        <v>3294</v>
      </c>
      <c r="K11" s="291"/>
    </row>
    <row r="12" spans="1:14" ht="27" x14ac:dyDescent="0.25">
      <c r="B12" s="290">
        <v>45727</v>
      </c>
      <c r="C12" s="291" t="s">
        <v>2072</v>
      </c>
      <c r="D12" s="292" t="s">
        <v>2089</v>
      </c>
      <c r="E12" s="292" t="s">
        <v>2089</v>
      </c>
      <c r="F12" s="293" t="s">
        <v>6</v>
      </c>
      <c r="G12" s="292" t="s">
        <v>2090</v>
      </c>
      <c r="H12" s="291"/>
      <c r="I12" s="304" t="s">
        <v>3294</v>
      </c>
      <c r="K12" s="291"/>
    </row>
    <row r="13" spans="1:14" x14ac:dyDescent="0.25">
      <c r="B13" s="290">
        <v>45728</v>
      </c>
      <c r="C13" s="291" t="s">
        <v>2072</v>
      </c>
      <c r="D13" s="292" t="s">
        <v>406</v>
      </c>
      <c r="E13" s="292" t="s">
        <v>406</v>
      </c>
      <c r="F13" s="293" t="s">
        <v>6</v>
      </c>
      <c r="G13" s="292" t="s">
        <v>2091</v>
      </c>
      <c r="H13" s="291"/>
      <c r="I13" s="304" t="s">
        <v>3294</v>
      </c>
      <c r="K13" s="291"/>
    </row>
    <row r="14" spans="1:14" ht="27" x14ac:dyDescent="0.25">
      <c r="B14" s="290">
        <v>45729</v>
      </c>
      <c r="C14" s="291" t="s">
        <v>2072</v>
      </c>
      <c r="D14" s="292" t="s">
        <v>2092</v>
      </c>
      <c r="E14" s="292" t="s">
        <v>2092</v>
      </c>
      <c r="F14" s="293" t="s">
        <v>6</v>
      </c>
      <c r="G14" s="292" t="s">
        <v>2093</v>
      </c>
      <c r="H14" s="291"/>
      <c r="I14" s="304" t="s">
        <v>3294</v>
      </c>
      <c r="K14" s="291"/>
    </row>
    <row r="15" spans="1:14" x14ac:dyDescent="0.25">
      <c r="B15" s="290">
        <v>45729</v>
      </c>
      <c r="C15" s="291" t="s">
        <v>2072</v>
      </c>
      <c r="D15" s="292" t="s">
        <v>2078</v>
      </c>
      <c r="E15" s="292" t="s">
        <v>2078</v>
      </c>
      <c r="F15" s="293" t="s">
        <v>6</v>
      </c>
      <c r="G15" s="292" t="s">
        <v>2094</v>
      </c>
      <c r="H15" s="291"/>
      <c r="I15" s="304" t="s">
        <v>3294</v>
      </c>
      <c r="K15" s="291"/>
    </row>
    <row r="16" spans="1:14" ht="27" x14ac:dyDescent="0.25">
      <c r="B16" s="290">
        <v>45730</v>
      </c>
      <c r="C16" s="291" t="s">
        <v>2072</v>
      </c>
      <c r="D16" s="292" t="s">
        <v>2082</v>
      </c>
      <c r="E16" s="292" t="s">
        <v>2082</v>
      </c>
      <c r="F16" s="293" t="s">
        <v>6</v>
      </c>
      <c r="G16" s="292" t="s">
        <v>2095</v>
      </c>
      <c r="H16" s="291"/>
      <c r="I16" s="304" t="s">
        <v>3294</v>
      </c>
      <c r="K16" s="291" t="s">
        <v>2096</v>
      </c>
    </row>
    <row r="17" spans="2:11" ht="27" x14ac:dyDescent="0.25">
      <c r="B17" s="290">
        <v>45733</v>
      </c>
      <c r="C17" s="291" t="s">
        <v>2072</v>
      </c>
      <c r="D17" s="292" t="s">
        <v>1027</v>
      </c>
      <c r="E17" s="292" t="s">
        <v>1027</v>
      </c>
      <c r="F17" s="293" t="s">
        <v>6</v>
      </c>
      <c r="G17" s="292" t="s">
        <v>2097</v>
      </c>
      <c r="H17" s="291"/>
      <c r="I17" s="304" t="s">
        <v>3294</v>
      </c>
      <c r="K17" s="291"/>
    </row>
    <row r="18" spans="2:11" ht="27" x14ac:dyDescent="0.25">
      <c r="B18" s="290">
        <v>45368</v>
      </c>
      <c r="C18" s="291" t="s">
        <v>2072</v>
      </c>
      <c r="D18" s="292" t="s">
        <v>1816</v>
      </c>
      <c r="E18" s="292" t="s">
        <v>1816</v>
      </c>
      <c r="F18" s="293" t="s">
        <v>6</v>
      </c>
      <c r="G18" s="292" t="s">
        <v>2098</v>
      </c>
      <c r="H18" s="291"/>
      <c r="I18" s="304" t="s">
        <v>3294</v>
      </c>
      <c r="K18" s="291"/>
    </row>
    <row r="19" spans="2:11" ht="27" x14ac:dyDescent="0.25">
      <c r="B19" s="290">
        <v>45370</v>
      </c>
      <c r="C19" s="291" t="s">
        <v>2072</v>
      </c>
      <c r="D19" s="292" t="s">
        <v>1816</v>
      </c>
      <c r="E19" s="292" t="s">
        <v>1816</v>
      </c>
      <c r="F19" s="293" t="s">
        <v>6</v>
      </c>
      <c r="G19" s="292" t="s">
        <v>2099</v>
      </c>
      <c r="H19" s="291"/>
      <c r="I19" s="304" t="s">
        <v>3294</v>
      </c>
      <c r="K19" s="291"/>
    </row>
    <row r="20" spans="2:11" x14ac:dyDescent="0.25">
      <c r="B20" s="290">
        <v>45370</v>
      </c>
      <c r="C20" s="291" t="s">
        <v>2072</v>
      </c>
      <c r="D20" s="292" t="s">
        <v>2100</v>
      </c>
      <c r="E20" s="292" t="s">
        <v>2100</v>
      </c>
      <c r="F20" s="293" t="s">
        <v>6</v>
      </c>
      <c r="G20" s="292" t="s">
        <v>2101</v>
      </c>
      <c r="H20" s="291"/>
      <c r="I20" s="304" t="s">
        <v>3294</v>
      </c>
      <c r="K20" s="291"/>
    </row>
    <row r="21" spans="2:11" ht="27" x14ac:dyDescent="0.25">
      <c r="B21" s="290">
        <v>45737</v>
      </c>
      <c r="C21" s="291" t="s">
        <v>2072</v>
      </c>
      <c r="D21" s="292" t="s">
        <v>2102</v>
      </c>
      <c r="E21" s="292" t="s">
        <v>2102</v>
      </c>
      <c r="F21" s="293" t="s">
        <v>6</v>
      </c>
      <c r="G21" s="292" t="s">
        <v>2103</v>
      </c>
      <c r="H21" s="291"/>
      <c r="I21" s="304" t="s">
        <v>3294</v>
      </c>
      <c r="K21" s="291"/>
    </row>
    <row r="22" spans="2:11" ht="27" x14ac:dyDescent="0.25">
      <c r="B22" s="290">
        <v>45737</v>
      </c>
      <c r="C22" s="291" t="s">
        <v>2072</v>
      </c>
      <c r="D22" s="292" t="s">
        <v>2082</v>
      </c>
      <c r="E22" s="292" t="s">
        <v>2082</v>
      </c>
      <c r="F22" s="293" t="s">
        <v>6</v>
      </c>
      <c r="G22" s="292" t="s">
        <v>2095</v>
      </c>
      <c r="H22" s="291"/>
      <c r="I22" s="304" t="s">
        <v>3294</v>
      </c>
      <c r="K22" s="291" t="s">
        <v>2104</v>
      </c>
    </row>
    <row r="23" spans="2:11" ht="27" x14ac:dyDescent="0.25">
      <c r="B23" s="290">
        <v>45737</v>
      </c>
      <c r="C23" s="291" t="s">
        <v>2072</v>
      </c>
      <c r="D23" s="292" t="s">
        <v>1816</v>
      </c>
      <c r="E23" s="292" t="s">
        <v>1816</v>
      </c>
      <c r="F23" s="293" t="s">
        <v>6</v>
      </c>
      <c r="G23" s="292" t="s">
        <v>2105</v>
      </c>
      <c r="H23" s="291"/>
      <c r="I23" s="304" t="s">
        <v>3294</v>
      </c>
      <c r="K23" s="291"/>
    </row>
    <row r="24" spans="2:11" ht="27" x14ac:dyDescent="0.25">
      <c r="B24" s="290">
        <v>45738</v>
      </c>
      <c r="C24" s="291" t="s">
        <v>2072</v>
      </c>
      <c r="D24" s="292" t="s">
        <v>1816</v>
      </c>
      <c r="E24" s="292" t="s">
        <v>1816</v>
      </c>
      <c r="F24" s="293" t="s">
        <v>6</v>
      </c>
      <c r="G24" s="292" t="s">
        <v>2106</v>
      </c>
      <c r="H24" s="291"/>
      <c r="I24" s="304" t="s">
        <v>3294</v>
      </c>
      <c r="K24" s="291"/>
    </row>
    <row r="25" spans="2:11" ht="27" x14ac:dyDescent="0.25">
      <c r="B25" s="290">
        <v>45741</v>
      </c>
      <c r="C25" s="291" t="s">
        <v>2072</v>
      </c>
      <c r="D25" s="292" t="s">
        <v>2107</v>
      </c>
      <c r="E25" s="292" t="s">
        <v>2107</v>
      </c>
      <c r="F25" s="293" t="s">
        <v>6</v>
      </c>
      <c r="G25" s="292" t="s">
        <v>2095</v>
      </c>
      <c r="H25" s="291"/>
      <c r="I25" s="304" t="s">
        <v>3294</v>
      </c>
      <c r="K25" s="291" t="s">
        <v>2108</v>
      </c>
    </row>
    <row r="26" spans="2:11" ht="27" x14ac:dyDescent="0.25">
      <c r="B26" s="290">
        <v>45741</v>
      </c>
      <c r="C26" s="291" t="s">
        <v>2072</v>
      </c>
      <c r="D26" s="292" t="s">
        <v>2109</v>
      </c>
      <c r="E26" s="292" t="s">
        <v>2109</v>
      </c>
      <c r="F26" s="293" t="s">
        <v>6</v>
      </c>
      <c r="G26" s="292" t="s">
        <v>2110</v>
      </c>
      <c r="H26" s="291"/>
      <c r="I26" s="304" t="s">
        <v>3294</v>
      </c>
      <c r="K26" s="291"/>
    </row>
    <row r="27" spans="2:11" ht="27" x14ac:dyDescent="0.25">
      <c r="B27" s="290">
        <v>45741</v>
      </c>
      <c r="C27" s="291" t="s">
        <v>2072</v>
      </c>
      <c r="D27" s="292" t="s">
        <v>332</v>
      </c>
      <c r="E27" s="292" t="s">
        <v>332</v>
      </c>
      <c r="F27" s="293" t="s">
        <v>6</v>
      </c>
      <c r="G27" s="292" t="s">
        <v>2111</v>
      </c>
      <c r="H27" s="291"/>
      <c r="I27" s="304" t="s">
        <v>3294</v>
      </c>
      <c r="K27" s="291"/>
    </row>
    <row r="28" spans="2:11" ht="27" x14ac:dyDescent="0.25">
      <c r="B28" s="290">
        <v>45741</v>
      </c>
      <c r="C28" s="291" t="s">
        <v>2076</v>
      </c>
      <c r="D28" s="292" t="s">
        <v>332</v>
      </c>
      <c r="E28" s="292" t="s">
        <v>332</v>
      </c>
      <c r="F28" s="293" t="s">
        <v>6</v>
      </c>
      <c r="G28" s="292" t="s">
        <v>2112</v>
      </c>
      <c r="H28" s="291"/>
      <c r="I28" s="304" t="s">
        <v>3294</v>
      </c>
      <c r="K28" s="291"/>
    </row>
    <row r="29" spans="2:11" ht="27" x14ac:dyDescent="0.25">
      <c r="B29" s="290">
        <v>45742</v>
      </c>
      <c r="C29" s="291" t="s">
        <v>2072</v>
      </c>
      <c r="D29" s="292" t="s">
        <v>1780</v>
      </c>
      <c r="E29" s="292" t="s">
        <v>1780</v>
      </c>
      <c r="F29" s="293" t="s">
        <v>6</v>
      </c>
      <c r="G29" s="292" t="s">
        <v>2113</v>
      </c>
      <c r="H29" s="291"/>
      <c r="I29" s="304" t="s">
        <v>3294</v>
      </c>
      <c r="K29" s="291"/>
    </row>
    <row r="30" spans="2:11" ht="27" x14ac:dyDescent="0.25">
      <c r="B30" s="290">
        <v>45742</v>
      </c>
      <c r="C30" s="291" t="s">
        <v>2072</v>
      </c>
      <c r="D30" s="292" t="s">
        <v>2114</v>
      </c>
      <c r="E30" s="292" t="s">
        <v>2114</v>
      </c>
      <c r="F30" s="293" t="s">
        <v>6</v>
      </c>
      <c r="G30" s="292" t="s">
        <v>2115</v>
      </c>
      <c r="H30" s="291"/>
      <c r="I30" s="304" t="s">
        <v>3294</v>
      </c>
      <c r="K30" s="291"/>
    </row>
    <row r="31" spans="2:11" ht="27" x14ac:dyDescent="0.25">
      <c r="B31" s="290">
        <v>45742</v>
      </c>
      <c r="C31" s="291" t="s">
        <v>2072</v>
      </c>
      <c r="D31" s="292" t="s">
        <v>2107</v>
      </c>
      <c r="E31" s="292" t="s">
        <v>2107</v>
      </c>
      <c r="F31" s="293" t="s">
        <v>6</v>
      </c>
      <c r="G31" s="292" t="s">
        <v>2095</v>
      </c>
      <c r="H31" s="291"/>
      <c r="I31" s="304" t="s">
        <v>3294</v>
      </c>
      <c r="K31" s="291" t="s">
        <v>2116</v>
      </c>
    </row>
    <row r="32" spans="2:11" ht="27" x14ac:dyDescent="0.25">
      <c r="B32" s="290">
        <v>45742</v>
      </c>
      <c r="C32" s="291" t="s">
        <v>2072</v>
      </c>
      <c r="D32" s="292" t="s">
        <v>2117</v>
      </c>
      <c r="E32" s="292" t="s">
        <v>2117</v>
      </c>
      <c r="F32" s="293" t="s">
        <v>6</v>
      </c>
      <c r="G32" s="292" t="s">
        <v>2118</v>
      </c>
      <c r="H32" s="291"/>
      <c r="I32" s="304" t="s">
        <v>3294</v>
      </c>
      <c r="K32" s="291"/>
    </row>
    <row r="33" spans="2:11" ht="27" x14ac:dyDescent="0.25">
      <c r="B33" s="290">
        <v>46108</v>
      </c>
      <c r="C33" s="291" t="s">
        <v>2072</v>
      </c>
      <c r="D33" s="292" t="s">
        <v>1780</v>
      </c>
      <c r="E33" s="292" t="s">
        <v>1780</v>
      </c>
      <c r="F33" s="293" t="s">
        <v>6</v>
      </c>
      <c r="G33" s="292" t="s">
        <v>2119</v>
      </c>
      <c r="H33" s="291"/>
      <c r="I33" s="304" t="s">
        <v>3294</v>
      </c>
      <c r="K33" s="291"/>
    </row>
    <row r="34" spans="2:11" ht="27" x14ac:dyDescent="0.25">
      <c r="B34" s="290">
        <v>46108</v>
      </c>
      <c r="C34" s="291" t="s">
        <v>2072</v>
      </c>
      <c r="D34" s="292" t="s">
        <v>1780</v>
      </c>
      <c r="E34" s="292" t="s">
        <v>1780</v>
      </c>
      <c r="F34" s="293" t="s">
        <v>6</v>
      </c>
      <c r="G34" s="292" t="s">
        <v>2120</v>
      </c>
      <c r="H34" s="291"/>
      <c r="I34" s="304" t="s">
        <v>3294</v>
      </c>
      <c r="K34" s="291"/>
    </row>
    <row r="35" spans="2:11" ht="54" x14ac:dyDescent="0.25">
      <c r="B35" s="290">
        <v>45743</v>
      </c>
      <c r="C35" s="291" t="s">
        <v>2072</v>
      </c>
      <c r="D35" s="292" t="s">
        <v>2121</v>
      </c>
      <c r="E35" s="292" t="s">
        <v>2121</v>
      </c>
      <c r="F35" s="293" t="s">
        <v>6</v>
      </c>
      <c r="G35" s="292" t="s">
        <v>2122</v>
      </c>
      <c r="H35" s="291"/>
      <c r="I35" s="304" t="s">
        <v>3294</v>
      </c>
      <c r="K35" s="291"/>
    </row>
    <row r="36" spans="2:11" x14ac:dyDescent="0.25">
      <c r="B36" s="290">
        <v>45747</v>
      </c>
      <c r="C36" s="291" t="s">
        <v>2072</v>
      </c>
      <c r="D36" s="292" t="s">
        <v>1760</v>
      </c>
      <c r="E36" s="292" t="s">
        <v>1760</v>
      </c>
      <c r="F36" s="293" t="s">
        <v>6</v>
      </c>
      <c r="G36" s="292" t="s">
        <v>2123</v>
      </c>
      <c r="H36" s="291"/>
      <c r="I36" s="304" t="s">
        <v>3294</v>
      </c>
      <c r="K36" s="291"/>
    </row>
    <row r="37" spans="2:11" x14ac:dyDescent="0.25">
      <c r="B37" s="295">
        <v>45748</v>
      </c>
      <c r="C37" s="296" t="s">
        <v>2124</v>
      </c>
      <c r="D37" s="292" t="s">
        <v>2082</v>
      </c>
      <c r="E37" s="292" t="s">
        <v>2125</v>
      </c>
      <c r="F37" s="293" t="s">
        <v>6</v>
      </c>
      <c r="G37" s="292" t="s">
        <v>2083</v>
      </c>
      <c r="H37" s="296"/>
      <c r="I37" s="304" t="s">
        <v>3294</v>
      </c>
      <c r="K37" s="296" t="s">
        <v>2126</v>
      </c>
    </row>
    <row r="38" spans="2:11" x14ac:dyDescent="0.25">
      <c r="B38" s="295">
        <v>45749</v>
      </c>
      <c r="C38" s="296" t="s">
        <v>2124</v>
      </c>
      <c r="D38" s="292" t="s">
        <v>2082</v>
      </c>
      <c r="E38" s="292" t="s">
        <v>2125</v>
      </c>
      <c r="F38" s="293" t="s">
        <v>6</v>
      </c>
      <c r="G38" s="292" t="s">
        <v>2083</v>
      </c>
      <c r="H38" s="296"/>
      <c r="I38" s="304" t="s">
        <v>3294</v>
      </c>
      <c r="K38" s="296" t="s">
        <v>2127</v>
      </c>
    </row>
    <row r="39" spans="2:11" x14ac:dyDescent="0.25">
      <c r="B39" s="295">
        <v>45751</v>
      </c>
      <c r="C39" s="296" t="s">
        <v>2072</v>
      </c>
      <c r="D39" s="297" t="s">
        <v>2073</v>
      </c>
      <c r="E39" s="292" t="s">
        <v>2125</v>
      </c>
      <c r="F39" s="293" t="s">
        <v>6</v>
      </c>
      <c r="G39" s="292" t="s">
        <v>2128</v>
      </c>
      <c r="H39" s="296"/>
      <c r="I39" s="304" t="s">
        <v>3294</v>
      </c>
      <c r="K39" s="296"/>
    </row>
    <row r="40" spans="2:11" ht="30" x14ac:dyDescent="0.25">
      <c r="B40" s="295">
        <v>45754</v>
      </c>
      <c r="C40" s="296" t="s">
        <v>2072</v>
      </c>
      <c r="D40" s="297" t="s">
        <v>1820</v>
      </c>
      <c r="E40" s="292" t="s">
        <v>2125</v>
      </c>
      <c r="F40" s="293" t="s">
        <v>6</v>
      </c>
      <c r="G40" s="297" t="s">
        <v>2129</v>
      </c>
      <c r="H40" s="296"/>
      <c r="I40" s="304" t="s">
        <v>3294</v>
      </c>
      <c r="K40" s="296"/>
    </row>
    <row r="41" spans="2:11" x14ac:dyDescent="0.25">
      <c r="B41" s="295">
        <v>45751</v>
      </c>
      <c r="C41" s="296" t="s">
        <v>2072</v>
      </c>
      <c r="D41" s="297" t="s">
        <v>2130</v>
      </c>
      <c r="E41" s="292" t="s">
        <v>2125</v>
      </c>
      <c r="F41" s="293" t="s">
        <v>6</v>
      </c>
      <c r="G41" s="292" t="s">
        <v>2131</v>
      </c>
      <c r="H41" s="296"/>
      <c r="I41" s="304" t="s">
        <v>3294</v>
      </c>
      <c r="K41" s="296"/>
    </row>
    <row r="42" spans="2:11" ht="30" x14ac:dyDescent="0.25">
      <c r="B42" s="295">
        <v>45754</v>
      </c>
      <c r="C42" s="296" t="s">
        <v>2072</v>
      </c>
      <c r="D42" s="297" t="s">
        <v>2132</v>
      </c>
      <c r="E42" s="292" t="s">
        <v>2125</v>
      </c>
      <c r="F42" s="293" t="s">
        <v>6</v>
      </c>
      <c r="G42" s="297" t="s">
        <v>2133</v>
      </c>
      <c r="H42" s="296"/>
      <c r="I42" s="304" t="s">
        <v>3294</v>
      </c>
      <c r="K42" s="296"/>
    </row>
    <row r="43" spans="2:11" ht="30" x14ac:dyDescent="0.25">
      <c r="B43" s="295">
        <v>45754</v>
      </c>
      <c r="C43" s="296" t="s">
        <v>2072</v>
      </c>
      <c r="D43" s="297" t="s">
        <v>1820</v>
      </c>
      <c r="E43" s="292" t="s">
        <v>2125</v>
      </c>
      <c r="F43" s="293" t="s">
        <v>6</v>
      </c>
      <c r="G43" s="297" t="s">
        <v>2134</v>
      </c>
      <c r="H43" s="296"/>
      <c r="I43" s="304" t="s">
        <v>3294</v>
      </c>
      <c r="K43" s="296"/>
    </row>
    <row r="44" spans="2:11" ht="30" x14ac:dyDescent="0.25">
      <c r="B44" s="295">
        <v>45754</v>
      </c>
      <c r="C44" s="296" t="s">
        <v>2072</v>
      </c>
      <c r="D44" s="297" t="s">
        <v>2135</v>
      </c>
      <c r="E44" s="292" t="s">
        <v>2125</v>
      </c>
      <c r="F44" s="293" t="s">
        <v>6</v>
      </c>
      <c r="G44" s="297" t="s">
        <v>2136</v>
      </c>
      <c r="H44" s="296"/>
      <c r="I44" s="304" t="s">
        <v>3294</v>
      </c>
      <c r="K44" s="296"/>
    </row>
    <row r="45" spans="2:11" x14ac:dyDescent="0.25">
      <c r="B45" s="295">
        <v>45754</v>
      </c>
      <c r="C45" s="296" t="s">
        <v>2072</v>
      </c>
      <c r="D45" s="297" t="s">
        <v>30</v>
      </c>
      <c r="E45" s="292" t="s">
        <v>2125</v>
      </c>
      <c r="F45" s="293" t="s">
        <v>6</v>
      </c>
      <c r="G45" s="296" t="s">
        <v>2137</v>
      </c>
      <c r="H45" s="296"/>
      <c r="I45" s="304" t="s">
        <v>3294</v>
      </c>
      <c r="K45" s="296"/>
    </row>
    <row r="46" spans="2:11" x14ac:dyDescent="0.25">
      <c r="B46" s="295">
        <v>45755</v>
      </c>
      <c r="C46" s="296" t="s">
        <v>2072</v>
      </c>
      <c r="D46" s="297" t="s">
        <v>332</v>
      </c>
      <c r="E46" s="292" t="s">
        <v>2125</v>
      </c>
      <c r="F46" s="293" t="s">
        <v>6</v>
      </c>
      <c r="G46" s="296" t="s">
        <v>2138</v>
      </c>
      <c r="H46" s="296"/>
      <c r="I46" s="304" t="s">
        <v>3294</v>
      </c>
      <c r="K46" s="296" t="s">
        <v>2139</v>
      </c>
    </row>
    <row r="47" spans="2:11" x14ac:dyDescent="0.25">
      <c r="B47" s="295">
        <v>45755</v>
      </c>
      <c r="C47" s="296" t="s">
        <v>2072</v>
      </c>
      <c r="D47" s="297" t="s">
        <v>2069</v>
      </c>
      <c r="E47" s="292" t="s">
        <v>2125</v>
      </c>
      <c r="F47" s="293" t="s">
        <v>6</v>
      </c>
      <c r="G47" s="296" t="s">
        <v>2140</v>
      </c>
      <c r="H47" s="296"/>
      <c r="I47" s="304" t="s">
        <v>3294</v>
      </c>
      <c r="K47" s="296"/>
    </row>
    <row r="48" spans="2:11" x14ac:dyDescent="0.25">
      <c r="B48" s="295">
        <v>45756</v>
      </c>
      <c r="C48" s="296" t="s">
        <v>2072</v>
      </c>
      <c r="D48" s="297" t="s">
        <v>2078</v>
      </c>
      <c r="E48" s="292" t="s">
        <v>2125</v>
      </c>
      <c r="F48" s="293" t="s">
        <v>6</v>
      </c>
      <c r="G48" s="297" t="s">
        <v>2141</v>
      </c>
      <c r="H48" s="296"/>
      <c r="I48" s="304" t="s">
        <v>3294</v>
      </c>
      <c r="K48" s="296"/>
    </row>
    <row r="49" spans="2:11" x14ac:dyDescent="0.25">
      <c r="B49" s="295">
        <v>45757</v>
      </c>
      <c r="C49" s="296" t="s">
        <v>2072</v>
      </c>
      <c r="D49" s="297" t="s">
        <v>1820</v>
      </c>
      <c r="E49" s="292" t="s">
        <v>2125</v>
      </c>
      <c r="F49" s="293" t="s">
        <v>6</v>
      </c>
      <c r="G49" s="296" t="s">
        <v>2142</v>
      </c>
      <c r="H49" s="296"/>
      <c r="I49" s="304" t="s">
        <v>3294</v>
      </c>
      <c r="K49" s="296"/>
    </row>
    <row r="50" spans="2:11" x14ac:dyDescent="0.25">
      <c r="B50" s="295">
        <v>45758</v>
      </c>
      <c r="C50" s="296" t="s">
        <v>2072</v>
      </c>
      <c r="D50" s="297" t="s">
        <v>2069</v>
      </c>
      <c r="E50" s="292" t="s">
        <v>2125</v>
      </c>
      <c r="F50" s="293" t="s">
        <v>6</v>
      </c>
      <c r="G50" s="296" t="s">
        <v>2143</v>
      </c>
      <c r="H50" s="296"/>
      <c r="I50" s="304" t="s">
        <v>3294</v>
      </c>
      <c r="K50" s="296"/>
    </row>
    <row r="51" spans="2:11" x14ac:dyDescent="0.25">
      <c r="B51" s="295">
        <v>45761</v>
      </c>
      <c r="C51" s="296" t="s">
        <v>2072</v>
      </c>
      <c r="D51" s="297" t="s">
        <v>2144</v>
      </c>
      <c r="E51" s="292" t="s">
        <v>2125</v>
      </c>
      <c r="F51" s="293" t="s">
        <v>6</v>
      </c>
      <c r="G51" s="296" t="s">
        <v>2145</v>
      </c>
      <c r="H51" s="296"/>
      <c r="I51" s="304" t="s">
        <v>3294</v>
      </c>
      <c r="K51" s="296"/>
    </row>
    <row r="52" spans="2:11" x14ac:dyDescent="0.25">
      <c r="B52" s="295">
        <v>45762</v>
      </c>
      <c r="C52" s="296" t="s">
        <v>2072</v>
      </c>
      <c r="D52" s="297" t="s">
        <v>1816</v>
      </c>
      <c r="E52" s="292" t="s">
        <v>2125</v>
      </c>
      <c r="F52" s="293" t="s">
        <v>6</v>
      </c>
      <c r="G52" s="296" t="s">
        <v>2146</v>
      </c>
      <c r="H52" s="296"/>
      <c r="I52" s="304" t="s">
        <v>3294</v>
      </c>
      <c r="K52" s="296"/>
    </row>
    <row r="53" spans="2:11" x14ac:dyDescent="0.25">
      <c r="B53" s="295">
        <v>45762</v>
      </c>
      <c r="C53" s="296" t="s">
        <v>2072</v>
      </c>
      <c r="D53" s="297" t="s">
        <v>1816</v>
      </c>
      <c r="E53" s="292" t="s">
        <v>2125</v>
      </c>
      <c r="F53" s="293" t="s">
        <v>6</v>
      </c>
      <c r="G53" s="296" t="s">
        <v>2147</v>
      </c>
      <c r="H53" s="296"/>
      <c r="I53" s="304" t="s">
        <v>3294</v>
      </c>
      <c r="K53" s="296"/>
    </row>
    <row r="54" spans="2:11" x14ac:dyDescent="0.25">
      <c r="B54" s="295">
        <v>45762</v>
      </c>
      <c r="C54" s="296" t="s">
        <v>2072</v>
      </c>
      <c r="D54" s="297" t="s">
        <v>1780</v>
      </c>
      <c r="E54" s="292" t="s">
        <v>2125</v>
      </c>
      <c r="F54" s="293" t="s">
        <v>6</v>
      </c>
      <c r="G54" s="296" t="s">
        <v>2148</v>
      </c>
      <c r="H54" s="296"/>
      <c r="I54" s="304" t="s">
        <v>3294</v>
      </c>
      <c r="K54" s="296" t="s">
        <v>2149</v>
      </c>
    </row>
    <row r="55" spans="2:11" x14ac:dyDescent="0.25">
      <c r="B55" s="295">
        <v>45762</v>
      </c>
      <c r="C55" s="296" t="s">
        <v>2072</v>
      </c>
      <c r="D55" s="297" t="s">
        <v>2082</v>
      </c>
      <c r="E55" s="292" t="s">
        <v>2125</v>
      </c>
      <c r="F55" s="293" t="s">
        <v>6</v>
      </c>
      <c r="G55" s="296" t="s">
        <v>2150</v>
      </c>
      <c r="H55" s="296"/>
      <c r="I55" s="304" t="s">
        <v>3294</v>
      </c>
      <c r="K55" s="296"/>
    </row>
    <row r="56" spans="2:11" x14ac:dyDescent="0.25">
      <c r="B56" s="295">
        <v>45762</v>
      </c>
      <c r="C56" s="296" t="s">
        <v>2072</v>
      </c>
      <c r="D56" s="297" t="s">
        <v>2151</v>
      </c>
      <c r="E56" s="292" t="s">
        <v>2125</v>
      </c>
      <c r="F56" s="293" t="s">
        <v>6</v>
      </c>
      <c r="G56" s="296" t="s">
        <v>2152</v>
      </c>
      <c r="H56" s="296"/>
      <c r="I56" s="304" t="s">
        <v>3294</v>
      </c>
      <c r="K56" s="296"/>
    </row>
    <row r="57" spans="2:11" x14ac:dyDescent="0.25">
      <c r="B57" s="295">
        <v>45762</v>
      </c>
      <c r="C57" s="296" t="s">
        <v>2072</v>
      </c>
      <c r="D57" s="297" t="s">
        <v>30</v>
      </c>
      <c r="E57" s="292" t="s">
        <v>2125</v>
      </c>
      <c r="F57" s="293" t="s">
        <v>6</v>
      </c>
      <c r="G57" s="296" t="s">
        <v>2153</v>
      </c>
      <c r="H57" s="296"/>
      <c r="I57" s="304" t="s">
        <v>3294</v>
      </c>
      <c r="K57" s="296"/>
    </row>
    <row r="58" spans="2:11" x14ac:dyDescent="0.25">
      <c r="B58" s="295">
        <v>45762</v>
      </c>
      <c r="C58" s="296" t="s">
        <v>2072</v>
      </c>
      <c r="D58" s="297" t="s">
        <v>30</v>
      </c>
      <c r="E58" s="292" t="s">
        <v>2125</v>
      </c>
      <c r="F58" s="293" t="s">
        <v>6</v>
      </c>
      <c r="G58" s="296" t="s">
        <v>2154</v>
      </c>
      <c r="H58" s="296"/>
      <c r="I58" s="304" t="s">
        <v>3294</v>
      </c>
      <c r="K58" s="296"/>
    </row>
    <row r="59" spans="2:11" x14ac:dyDescent="0.25">
      <c r="B59" s="295">
        <v>45762</v>
      </c>
      <c r="C59" s="296" t="s">
        <v>2072</v>
      </c>
      <c r="D59" s="297" t="s">
        <v>406</v>
      </c>
      <c r="E59" s="292" t="s">
        <v>2125</v>
      </c>
      <c r="F59" s="293" t="s">
        <v>6</v>
      </c>
      <c r="G59" s="296" t="s">
        <v>2155</v>
      </c>
      <c r="H59" s="296"/>
      <c r="I59" s="304" t="s">
        <v>3294</v>
      </c>
      <c r="K59" s="296"/>
    </row>
    <row r="60" spans="2:11" x14ac:dyDescent="0.25">
      <c r="B60" s="295">
        <v>45763</v>
      </c>
      <c r="C60" s="296" t="s">
        <v>2072</v>
      </c>
      <c r="D60" s="297" t="s">
        <v>332</v>
      </c>
      <c r="E60" s="292" t="s">
        <v>2125</v>
      </c>
      <c r="F60" s="293" t="s">
        <v>6</v>
      </c>
      <c r="G60" s="296" t="s">
        <v>2156</v>
      </c>
      <c r="H60" s="296"/>
      <c r="I60" s="304" t="s">
        <v>3294</v>
      </c>
      <c r="K60" s="296" t="s">
        <v>2157</v>
      </c>
    </row>
    <row r="61" spans="2:11" x14ac:dyDescent="0.25">
      <c r="B61" s="295">
        <v>45763</v>
      </c>
      <c r="C61" s="296" t="s">
        <v>2072</v>
      </c>
      <c r="D61" s="297" t="s">
        <v>2158</v>
      </c>
      <c r="E61" s="292" t="s">
        <v>2125</v>
      </c>
      <c r="F61" s="293" t="s">
        <v>6</v>
      </c>
      <c r="G61" s="296" t="s">
        <v>2159</v>
      </c>
      <c r="H61" s="296"/>
      <c r="I61" s="304" t="s">
        <v>3294</v>
      </c>
      <c r="K61" s="296"/>
    </row>
    <row r="62" spans="2:11" x14ac:dyDescent="0.25">
      <c r="B62" s="295">
        <v>45763</v>
      </c>
      <c r="C62" s="296" t="s">
        <v>2072</v>
      </c>
      <c r="D62" s="297" t="s">
        <v>1816</v>
      </c>
      <c r="E62" s="292" t="s">
        <v>2125</v>
      </c>
      <c r="F62" s="293" t="s">
        <v>6</v>
      </c>
      <c r="G62" s="296" t="s">
        <v>2160</v>
      </c>
      <c r="H62" s="296"/>
      <c r="I62" s="304" t="s">
        <v>3294</v>
      </c>
      <c r="K62" s="296"/>
    </row>
    <row r="63" spans="2:11" x14ac:dyDescent="0.25">
      <c r="B63" s="295">
        <v>45763</v>
      </c>
      <c r="C63" s="296" t="s">
        <v>2072</v>
      </c>
      <c r="D63" s="297" t="s">
        <v>332</v>
      </c>
      <c r="E63" s="292" t="s">
        <v>2125</v>
      </c>
      <c r="F63" s="293" t="s">
        <v>6</v>
      </c>
      <c r="G63" s="296" t="s">
        <v>2161</v>
      </c>
      <c r="H63" s="296"/>
      <c r="I63" s="304" t="s">
        <v>3294</v>
      </c>
      <c r="K63" s="296"/>
    </row>
    <row r="64" spans="2:11" x14ac:dyDescent="0.25">
      <c r="B64" s="295">
        <v>45764</v>
      </c>
      <c r="C64" s="296" t="s">
        <v>2072</v>
      </c>
      <c r="D64" s="297" t="s">
        <v>2162</v>
      </c>
      <c r="E64" s="292" t="s">
        <v>2125</v>
      </c>
      <c r="F64" s="293" t="s">
        <v>6</v>
      </c>
      <c r="G64" s="296" t="s">
        <v>2150</v>
      </c>
      <c r="H64" s="296"/>
      <c r="I64" s="304" t="s">
        <v>3294</v>
      </c>
      <c r="K64" s="296" t="s">
        <v>2163</v>
      </c>
    </row>
    <row r="65" spans="2:11" x14ac:dyDescent="0.25">
      <c r="B65" s="295">
        <v>45764</v>
      </c>
      <c r="C65" s="296" t="s">
        <v>2072</v>
      </c>
      <c r="D65" s="297" t="s">
        <v>2069</v>
      </c>
      <c r="E65" s="292" t="s">
        <v>2125</v>
      </c>
      <c r="F65" s="293" t="s">
        <v>6</v>
      </c>
      <c r="G65" s="296" t="s">
        <v>2164</v>
      </c>
      <c r="H65" s="296"/>
      <c r="I65" s="304" t="s">
        <v>3294</v>
      </c>
      <c r="K65" s="296"/>
    </row>
    <row r="66" spans="2:11" x14ac:dyDescent="0.25">
      <c r="B66" s="295">
        <v>45764</v>
      </c>
      <c r="C66" s="296" t="s">
        <v>2072</v>
      </c>
      <c r="D66" s="297" t="s">
        <v>1816</v>
      </c>
      <c r="E66" s="292" t="s">
        <v>2125</v>
      </c>
      <c r="F66" s="293" t="s">
        <v>6</v>
      </c>
      <c r="G66" s="296" t="s">
        <v>2165</v>
      </c>
      <c r="H66" s="296"/>
      <c r="I66" s="304" t="s">
        <v>3294</v>
      </c>
      <c r="K66" s="296"/>
    </row>
    <row r="67" spans="2:11" x14ac:dyDescent="0.25">
      <c r="B67" s="295">
        <v>45763</v>
      </c>
      <c r="C67" s="296" t="s">
        <v>2072</v>
      </c>
      <c r="D67" s="297" t="s">
        <v>332</v>
      </c>
      <c r="E67" s="292" t="s">
        <v>2125</v>
      </c>
      <c r="F67" s="293" t="s">
        <v>6</v>
      </c>
      <c r="G67" s="296" t="s">
        <v>2166</v>
      </c>
      <c r="H67" s="296"/>
      <c r="I67" s="304" t="s">
        <v>3294</v>
      </c>
      <c r="K67" s="296"/>
    </row>
    <row r="68" spans="2:11" x14ac:dyDescent="0.25">
      <c r="B68" s="295">
        <v>45765</v>
      </c>
      <c r="C68" s="296" t="s">
        <v>2072</v>
      </c>
      <c r="D68" s="297" t="s">
        <v>332</v>
      </c>
      <c r="E68" s="292" t="s">
        <v>2125</v>
      </c>
      <c r="F68" s="293" t="s">
        <v>6</v>
      </c>
      <c r="G68" s="296" t="s">
        <v>2167</v>
      </c>
      <c r="H68" s="296"/>
      <c r="I68" s="304" t="s">
        <v>3294</v>
      </c>
      <c r="K68" s="296"/>
    </row>
    <row r="69" spans="2:11" x14ac:dyDescent="0.25">
      <c r="B69" s="295">
        <v>45768</v>
      </c>
      <c r="C69" s="296" t="s">
        <v>2072</v>
      </c>
      <c r="D69" s="297" t="s">
        <v>2168</v>
      </c>
      <c r="E69" s="292" t="s">
        <v>2125</v>
      </c>
      <c r="F69" s="293" t="s">
        <v>6</v>
      </c>
      <c r="G69" s="296" t="s">
        <v>2169</v>
      </c>
      <c r="H69" s="296"/>
      <c r="I69" s="304" t="s">
        <v>3294</v>
      </c>
      <c r="K69" s="296"/>
    </row>
    <row r="70" spans="2:11" x14ac:dyDescent="0.25">
      <c r="B70" s="295">
        <v>45769</v>
      </c>
      <c r="C70" s="296" t="s">
        <v>2072</v>
      </c>
      <c r="D70" s="296" t="s">
        <v>1760</v>
      </c>
      <c r="E70" s="292" t="s">
        <v>2125</v>
      </c>
      <c r="F70" s="293" t="s">
        <v>6</v>
      </c>
      <c r="G70" s="296" t="s">
        <v>2170</v>
      </c>
      <c r="H70" s="296"/>
      <c r="I70" s="304" t="s">
        <v>3294</v>
      </c>
      <c r="K70" s="296"/>
    </row>
    <row r="71" spans="2:11" x14ac:dyDescent="0.25">
      <c r="B71" s="295">
        <v>45769</v>
      </c>
      <c r="C71" s="296" t="s">
        <v>2072</v>
      </c>
      <c r="D71" s="296" t="s">
        <v>200</v>
      </c>
      <c r="E71" s="292" t="s">
        <v>2125</v>
      </c>
      <c r="F71" s="293" t="s">
        <v>6</v>
      </c>
      <c r="G71" s="296" t="s">
        <v>2171</v>
      </c>
      <c r="H71" s="296"/>
      <c r="I71" s="304" t="s">
        <v>3294</v>
      </c>
      <c r="K71" s="296"/>
    </row>
    <row r="72" spans="2:11" x14ac:dyDescent="0.25">
      <c r="B72" s="295">
        <v>45770</v>
      </c>
      <c r="C72" s="296" t="s">
        <v>2072</v>
      </c>
      <c r="D72" s="296" t="s">
        <v>1780</v>
      </c>
      <c r="E72" s="292" t="s">
        <v>2125</v>
      </c>
      <c r="F72" s="293" t="s">
        <v>6</v>
      </c>
      <c r="G72" s="296" t="s">
        <v>2172</v>
      </c>
      <c r="H72" s="296"/>
      <c r="I72" s="304" t="s">
        <v>3294</v>
      </c>
      <c r="K72" s="296"/>
    </row>
    <row r="73" spans="2:11" x14ac:dyDescent="0.25">
      <c r="B73" s="295">
        <v>45770</v>
      </c>
      <c r="C73" s="296" t="s">
        <v>2072</v>
      </c>
      <c r="D73" s="296" t="s">
        <v>1780</v>
      </c>
      <c r="E73" s="292" t="s">
        <v>2125</v>
      </c>
      <c r="F73" s="293" t="s">
        <v>6</v>
      </c>
      <c r="G73" s="296" t="s">
        <v>2173</v>
      </c>
      <c r="H73" s="296"/>
      <c r="I73" s="304" t="s">
        <v>3294</v>
      </c>
      <c r="K73" s="296"/>
    </row>
    <row r="74" spans="2:11" x14ac:dyDescent="0.25">
      <c r="B74" s="295">
        <v>45770</v>
      </c>
      <c r="C74" s="296" t="s">
        <v>2072</v>
      </c>
      <c r="D74" s="296" t="s">
        <v>406</v>
      </c>
      <c r="E74" s="292" t="s">
        <v>2125</v>
      </c>
      <c r="F74" s="293" t="s">
        <v>6</v>
      </c>
      <c r="G74" s="296" t="s">
        <v>2174</v>
      </c>
      <c r="H74" s="296"/>
      <c r="I74" s="304" t="s">
        <v>3294</v>
      </c>
      <c r="K74" s="296"/>
    </row>
    <row r="75" spans="2:11" x14ac:dyDescent="0.25">
      <c r="B75" s="295">
        <v>45770</v>
      </c>
      <c r="C75" s="296" t="s">
        <v>2072</v>
      </c>
      <c r="D75" s="296" t="s">
        <v>332</v>
      </c>
      <c r="E75" s="292" t="s">
        <v>2125</v>
      </c>
      <c r="F75" s="293" t="s">
        <v>6</v>
      </c>
      <c r="G75" s="296" t="s">
        <v>2175</v>
      </c>
      <c r="H75" s="296"/>
      <c r="I75" s="304" t="s">
        <v>3294</v>
      </c>
      <c r="K75" s="296"/>
    </row>
    <row r="76" spans="2:11" x14ac:dyDescent="0.25">
      <c r="B76" s="295">
        <v>45771</v>
      </c>
      <c r="C76" s="296" t="s">
        <v>2072</v>
      </c>
      <c r="D76" s="296" t="s">
        <v>332</v>
      </c>
      <c r="E76" s="292" t="s">
        <v>2125</v>
      </c>
      <c r="F76" s="293" t="s">
        <v>6</v>
      </c>
      <c r="G76" s="296" t="s">
        <v>2138</v>
      </c>
      <c r="H76" s="296"/>
      <c r="I76" s="304" t="s">
        <v>3294</v>
      </c>
      <c r="K76" s="296" t="s">
        <v>2176</v>
      </c>
    </row>
    <row r="77" spans="2:11" x14ac:dyDescent="0.25">
      <c r="B77" s="295">
        <v>45771</v>
      </c>
      <c r="C77" s="296" t="s">
        <v>2072</v>
      </c>
      <c r="D77" s="296" t="s">
        <v>2177</v>
      </c>
      <c r="E77" s="292" t="s">
        <v>2125</v>
      </c>
      <c r="F77" s="293" t="s">
        <v>6</v>
      </c>
      <c r="G77" s="296" t="s">
        <v>2178</v>
      </c>
      <c r="H77" s="296"/>
      <c r="I77" s="304" t="s">
        <v>3294</v>
      </c>
      <c r="K77" s="296"/>
    </row>
    <row r="78" spans="2:11" x14ac:dyDescent="0.25">
      <c r="B78" s="295">
        <v>45771</v>
      </c>
      <c r="C78" s="296" t="s">
        <v>2072</v>
      </c>
      <c r="D78" s="296" t="s">
        <v>2177</v>
      </c>
      <c r="E78" s="292" t="s">
        <v>2125</v>
      </c>
      <c r="F78" s="293" t="s">
        <v>6</v>
      </c>
      <c r="G78" s="296" t="s">
        <v>2179</v>
      </c>
      <c r="H78" s="296"/>
      <c r="I78" s="304" t="s">
        <v>3294</v>
      </c>
      <c r="K78" s="296"/>
    </row>
    <row r="79" spans="2:11" x14ac:dyDescent="0.25">
      <c r="B79" s="295">
        <v>45771</v>
      </c>
      <c r="C79" s="296" t="s">
        <v>2072</v>
      </c>
      <c r="D79" s="296" t="s">
        <v>632</v>
      </c>
      <c r="E79" s="292" t="s">
        <v>2125</v>
      </c>
      <c r="F79" s="293" t="s">
        <v>6</v>
      </c>
      <c r="G79" s="296" t="s">
        <v>2180</v>
      </c>
      <c r="H79" s="296"/>
      <c r="I79" s="304" t="s">
        <v>3294</v>
      </c>
      <c r="K79" s="296"/>
    </row>
    <row r="80" spans="2:11" x14ac:dyDescent="0.25">
      <c r="B80" s="295">
        <v>45772</v>
      </c>
      <c r="C80" s="296" t="s">
        <v>2072</v>
      </c>
      <c r="D80" s="296" t="s">
        <v>406</v>
      </c>
      <c r="E80" s="292" t="s">
        <v>2125</v>
      </c>
      <c r="F80" s="293" t="s">
        <v>6</v>
      </c>
      <c r="G80" s="296" t="s">
        <v>2181</v>
      </c>
      <c r="H80" s="296"/>
      <c r="I80" s="304" t="s">
        <v>3294</v>
      </c>
      <c r="K80" s="296"/>
    </row>
    <row r="81" spans="2:11" x14ac:dyDescent="0.25">
      <c r="B81" s="295">
        <v>45805</v>
      </c>
      <c r="C81" s="296" t="s">
        <v>2072</v>
      </c>
      <c r="D81" s="296" t="s">
        <v>2182</v>
      </c>
      <c r="E81" s="292" t="s">
        <v>2125</v>
      </c>
      <c r="F81" s="293" t="s">
        <v>6</v>
      </c>
      <c r="G81" s="296" t="s">
        <v>2183</v>
      </c>
      <c r="H81" s="296"/>
      <c r="I81" s="304" t="s">
        <v>3294</v>
      </c>
      <c r="K81" s="296"/>
    </row>
    <row r="82" spans="2:11" x14ac:dyDescent="0.25">
      <c r="B82" s="295">
        <v>45777</v>
      </c>
      <c r="C82" s="296" t="s">
        <v>2072</v>
      </c>
      <c r="D82" s="296" t="s">
        <v>2184</v>
      </c>
      <c r="E82" s="292" t="s">
        <v>2125</v>
      </c>
      <c r="F82" s="293" t="s">
        <v>6</v>
      </c>
      <c r="G82" s="296" t="s">
        <v>2185</v>
      </c>
      <c r="H82" s="296"/>
      <c r="I82" s="304" t="s">
        <v>3294</v>
      </c>
      <c r="K82" s="296"/>
    </row>
    <row r="83" spans="2:11" x14ac:dyDescent="0.25">
      <c r="B83" s="295">
        <v>45777</v>
      </c>
      <c r="C83" s="296" t="s">
        <v>2072</v>
      </c>
      <c r="D83" s="296" t="s">
        <v>2186</v>
      </c>
      <c r="E83" s="292" t="s">
        <v>2125</v>
      </c>
      <c r="F83" s="293" t="s">
        <v>6</v>
      </c>
      <c r="G83" s="296" t="s">
        <v>2187</v>
      </c>
      <c r="H83" s="296"/>
      <c r="I83" s="304" t="s">
        <v>3294</v>
      </c>
      <c r="K83" s="296"/>
    </row>
    <row r="84" spans="2:11" x14ac:dyDescent="0.25">
      <c r="B84" s="295">
        <v>45779</v>
      </c>
      <c r="C84" s="296" t="s">
        <v>2188</v>
      </c>
      <c r="D84" s="296" t="s">
        <v>332</v>
      </c>
      <c r="E84" s="292" t="s">
        <v>2125</v>
      </c>
      <c r="F84" s="293" t="s">
        <v>6</v>
      </c>
      <c r="G84" s="296" t="s">
        <v>2189</v>
      </c>
      <c r="I84" s="304" t="s">
        <v>3294</v>
      </c>
    </row>
    <row r="85" spans="2:11" x14ac:dyDescent="0.25">
      <c r="B85" s="295">
        <v>45782</v>
      </c>
      <c r="C85" s="296" t="s">
        <v>2188</v>
      </c>
      <c r="D85" s="296" t="s">
        <v>332</v>
      </c>
      <c r="E85" s="292" t="s">
        <v>2125</v>
      </c>
      <c r="F85" s="293" t="s">
        <v>6</v>
      </c>
      <c r="G85" s="296" t="s">
        <v>2190</v>
      </c>
      <c r="I85" s="304" t="s">
        <v>3294</v>
      </c>
    </row>
    <row r="86" spans="2:11" x14ac:dyDescent="0.25">
      <c r="B86" s="295">
        <v>45782</v>
      </c>
      <c r="C86" s="296" t="s">
        <v>2188</v>
      </c>
      <c r="D86" s="296" t="s">
        <v>332</v>
      </c>
      <c r="E86" s="292" t="s">
        <v>2125</v>
      </c>
      <c r="F86" s="293" t="s">
        <v>6</v>
      </c>
      <c r="G86" s="296" t="s">
        <v>2191</v>
      </c>
      <c r="I86" s="304" t="s">
        <v>3294</v>
      </c>
    </row>
    <row r="87" spans="2:11" x14ac:dyDescent="0.25">
      <c r="B87" s="295">
        <v>45782</v>
      </c>
      <c r="C87" s="296" t="s">
        <v>2188</v>
      </c>
      <c r="D87" s="296" t="s">
        <v>332</v>
      </c>
      <c r="E87" s="292" t="s">
        <v>2125</v>
      </c>
      <c r="F87" s="293" t="s">
        <v>6</v>
      </c>
      <c r="G87" s="296" t="s">
        <v>2192</v>
      </c>
      <c r="I87" s="304" t="s">
        <v>3294</v>
      </c>
    </row>
    <row r="88" spans="2:11" x14ac:dyDescent="0.25">
      <c r="B88" s="295">
        <v>45782</v>
      </c>
      <c r="C88" s="296" t="s">
        <v>2188</v>
      </c>
      <c r="D88" s="296" t="s">
        <v>1820</v>
      </c>
      <c r="E88" s="292" t="s">
        <v>2125</v>
      </c>
      <c r="F88" s="293" t="s">
        <v>6</v>
      </c>
      <c r="G88" s="296" t="s">
        <v>2193</v>
      </c>
      <c r="I88" s="304" t="s">
        <v>3294</v>
      </c>
    </row>
    <row r="89" spans="2:11" x14ac:dyDescent="0.25">
      <c r="B89" s="295">
        <v>45782</v>
      </c>
      <c r="C89" s="296" t="s">
        <v>2188</v>
      </c>
      <c r="D89" s="296" t="s">
        <v>332</v>
      </c>
      <c r="E89" s="292" t="s">
        <v>2125</v>
      </c>
      <c r="F89" s="293" t="s">
        <v>6</v>
      </c>
      <c r="G89" s="296" t="s">
        <v>2194</v>
      </c>
      <c r="I89" s="304" t="s">
        <v>3294</v>
      </c>
    </row>
    <row r="90" spans="2:11" x14ac:dyDescent="0.25">
      <c r="B90" s="295">
        <v>45783</v>
      </c>
      <c r="C90" s="296" t="s">
        <v>2188</v>
      </c>
      <c r="D90" s="296" t="s">
        <v>332</v>
      </c>
      <c r="E90" s="292" t="s">
        <v>2125</v>
      </c>
      <c r="F90" s="293" t="s">
        <v>6</v>
      </c>
      <c r="G90" s="296" t="s">
        <v>2195</v>
      </c>
      <c r="I90" s="304" t="s">
        <v>3294</v>
      </c>
    </row>
    <row r="91" spans="2:11" x14ac:dyDescent="0.25">
      <c r="B91" s="295">
        <v>45783</v>
      </c>
      <c r="C91" s="296" t="s">
        <v>2188</v>
      </c>
      <c r="D91" s="296" t="s">
        <v>2196</v>
      </c>
      <c r="E91" s="292" t="s">
        <v>2125</v>
      </c>
      <c r="F91" s="293" t="s">
        <v>6</v>
      </c>
      <c r="G91" s="296" t="s">
        <v>2197</v>
      </c>
      <c r="I91" s="304" t="s">
        <v>3294</v>
      </c>
    </row>
    <row r="92" spans="2:11" x14ac:dyDescent="0.25">
      <c r="B92" s="295">
        <v>45783</v>
      </c>
      <c r="C92" s="296" t="s">
        <v>2188</v>
      </c>
      <c r="D92" s="296" t="s">
        <v>1775</v>
      </c>
      <c r="E92" s="292" t="s">
        <v>2125</v>
      </c>
      <c r="F92" s="293" t="s">
        <v>6</v>
      </c>
      <c r="G92" s="296" t="s">
        <v>2198</v>
      </c>
      <c r="I92" s="304" t="s">
        <v>3294</v>
      </c>
    </row>
    <row r="93" spans="2:11" x14ac:dyDescent="0.25">
      <c r="B93" s="295">
        <v>45785</v>
      </c>
      <c r="C93" s="296" t="s">
        <v>2188</v>
      </c>
      <c r="D93" s="296" t="s">
        <v>1775</v>
      </c>
      <c r="E93" s="292" t="s">
        <v>2125</v>
      </c>
      <c r="F93" s="293" t="s">
        <v>6</v>
      </c>
      <c r="G93" s="296" t="s">
        <v>2198</v>
      </c>
      <c r="I93" s="304" t="s">
        <v>3294</v>
      </c>
    </row>
    <row r="94" spans="2:11" x14ac:dyDescent="0.25">
      <c r="B94" s="295">
        <v>45786</v>
      </c>
      <c r="C94" s="296" t="s">
        <v>2188</v>
      </c>
      <c r="D94" s="296" t="s">
        <v>2151</v>
      </c>
      <c r="E94" s="292" t="s">
        <v>2125</v>
      </c>
      <c r="F94" s="293" t="s">
        <v>6</v>
      </c>
      <c r="G94" s="296" t="s">
        <v>2199</v>
      </c>
      <c r="I94" s="304" t="s">
        <v>3294</v>
      </c>
    </row>
    <row r="95" spans="2:11" x14ac:dyDescent="0.25">
      <c r="B95" s="295">
        <v>45784</v>
      </c>
      <c r="C95" s="296" t="s">
        <v>2188</v>
      </c>
      <c r="D95" s="296" t="s">
        <v>2200</v>
      </c>
      <c r="E95" s="292" t="s">
        <v>2125</v>
      </c>
      <c r="F95" s="293" t="s">
        <v>6</v>
      </c>
      <c r="G95" s="296" t="s">
        <v>2201</v>
      </c>
      <c r="I95" s="304" t="s">
        <v>3294</v>
      </c>
    </row>
    <row r="96" spans="2:11" x14ac:dyDescent="0.25">
      <c r="B96" s="295">
        <v>45784</v>
      </c>
      <c r="C96" s="296" t="s">
        <v>2188</v>
      </c>
      <c r="D96" s="296" t="s">
        <v>2200</v>
      </c>
      <c r="E96" s="292" t="s">
        <v>2125</v>
      </c>
      <c r="F96" s="293" t="s">
        <v>6</v>
      </c>
      <c r="G96" s="296" t="s">
        <v>2202</v>
      </c>
      <c r="I96" s="304" t="s">
        <v>3294</v>
      </c>
    </row>
    <row r="97" spans="2:9" x14ac:dyDescent="0.25">
      <c r="B97" s="295">
        <v>45784</v>
      </c>
      <c r="C97" s="296" t="s">
        <v>2188</v>
      </c>
      <c r="D97" s="296" t="s">
        <v>2200</v>
      </c>
      <c r="E97" s="292" t="s">
        <v>2125</v>
      </c>
      <c r="F97" s="293" t="s">
        <v>6</v>
      </c>
      <c r="G97" s="296" t="s">
        <v>2203</v>
      </c>
      <c r="I97" s="304" t="s">
        <v>3294</v>
      </c>
    </row>
    <row r="98" spans="2:9" x14ac:dyDescent="0.25">
      <c r="B98" s="295">
        <v>45784</v>
      </c>
      <c r="C98" s="296" t="s">
        <v>2188</v>
      </c>
      <c r="D98" s="296" t="s">
        <v>2200</v>
      </c>
      <c r="E98" s="292" t="s">
        <v>2125</v>
      </c>
      <c r="F98" s="293" t="s">
        <v>6</v>
      </c>
      <c r="G98" s="296" t="s">
        <v>2204</v>
      </c>
      <c r="I98" s="304" t="s">
        <v>3294</v>
      </c>
    </row>
    <row r="99" spans="2:9" x14ac:dyDescent="0.25">
      <c r="B99" s="295">
        <v>45784</v>
      </c>
      <c r="C99" s="296" t="s">
        <v>2188</v>
      </c>
      <c r="D99" s="296" t="s">
        <v>2200</v>
      </c>
      <c r="E99" s="292" t="s">
        <v>2125</v>
      </c>
      <c r="F99" s="293" t="s">
        <v>6</v>
      </c>
      <c r="G99" s="296" t="s">
        <v>2205</v>
      </c>
      <c r="I99" s="304" t="s">
        <v>3294</v>
      </c>
    </row>
    <row r="100" spans="2:9" x14ac:dyDescent="0.25">
      <c r="B100" s="295">
        <v>45784</v>
      </c>
      <c r="C100" s="296" t="s">
        <v>2188</v>
      </c>
      <c r="D100" s="296" t="s">
        <v>2206</v>
      </c>
      <c r="E100" s="292" t="s">
        <v>2125</v>
      </c>
      <c r="F100" s="293" t="s">
        <v>6</v>
      </c>
      <c r="G100" s="296" t="s">
        <v>2207</v>
      </c>
      <c r="I100" s="304" t="s">
        <v>3294</v>
      </c>
    </row>
    <row r="101" spans="2:9" x14ac:dyDescent="0.25">
      <c r="B101" s="295">
        <v>45784</v>
      </c>
      <c r="C101" s="296" t="s">
        <v>2188</v>
      </c>
      <c r="D101" s="296" t="s">
        <v>2200</v>
      </c>
      <c r="E101" s="292" t="s">
        <v>2125</v>
      </c>
      <c r="F101" s="293" t="s">
        <v>6</v>
      </c>
      <c r="G101" s="296" t="s">
        <v>2208</v>
      </c>
      <c r="I101" s="304" t="s">
        <v>3294</v>
      </c>
    </row>
    <row r="102" spans="2:9" x14ac:dyDescent="0.25">
      <c r="B102" s="295">
        <v>45784</v>
      </c>
      <c r="C102" s="296" t="s">
        <v>2188</v>
      </c>
      <c r="D102" s="296" t="s">
        <v>2200</v>
      </c>
      <c r="E102" s="292" t="s">
        <v>2125</v>
      </c>
      <c r="F102" s="293" t="s">
        <v>6</v>
      </c>
      <c r="G102" s="296" t="s">
        <v>2209</v>
      </c>
      <c r="I102" s="304" t="s">
        <v>3294</v>
      </c>
    </row>
    <row r="103" spans="2:9" x14ac:dyDescent="0.25">
      <c r="B103" s="295">
        <v>45784</v>
      </c>
      <c r="C103" s="296" t="s">
        <v>2188</v>
      </c>
      <c r="D103" s="296" t="s">
        <v>2200</v>
      </c>
      <c r="E103" s="292" t="s">
        <v>2125</v>
      </c>
      <c r="F103" s="293" t="s">
        <v>6</v>
      </c>
      <c r="G103" s="296" t="s">
        <v>2210</v>
      </c>
      <c r="I103" s="304" t="s">
        <v>3294</v>
      </c>
    </row>
    <row r="104" spans="2:9" x14ac:dyDescent="0.25">
      <c r="B104" s="295">
        <v>45784</v>
      </c>
      <c r="C104" s="296" t="s">
        <v>2188</v>
      </c>
      <c r="D104" s="296" t="s">
        <v>2200</v>
      </c>
      <c r="E104" s="292" t="s">
        <v>2125</v>
      </c>
      <c r="F104" s="293" t="s">
        <v>6</v>
      </c>
      <c r="G104" s="296" t="s">
        <v>2211</v>
      </c>
      <c r="I104" s="304" t="s">
        <v>3294</v>
      </c>
    </row>
    <row r="105" spans="2:9" x14ac:dyDescent="0.25">
      <c r="B105" s="295">
        <v>45784</v>
      </c>
      <c r="C105" s="296" t="s">
        <v>2188</v>
      </c>
      <c r="D105" s="296" t="s">
        <v>632</v>
      </c>
      <c r="E105" s="292" t="s">
        <v>2125</v>
      </c>
      <c r="F105" s="293" t="s">
        <v>6</v>
      </c>
      <c r="G105" s="296" t="s">
        <v>2212</v>
      </c>
      <c r="I105" s="304" t="s">
        <v>3294</v>
      </c>
    </row>
    <row r="106" spans="2:9" x14ac:dyDescent="0.25">
      <c r="B106" s="295">
        <v>45786</v>
      </c>
      <c r="C106" s="296" t="s">
        <v>2188</v>
      </c>
      <c r="D106" s="296" t="s">
        <v>2151</v>
      </c>
      <c r="E106" s="292" t="s">
        <v>2125</v>
      </c>
      <c r="F106" s="293" t="s">
        <v>6</v>
      </c>
      <c r="G106" s="296" t="s">
        <v>2199</v>
      </c>
      <c r="I106" s="304" t="s">
        <v>3294</v>
      </c>
    </row>
    <row r="107" spans="2:9" x14ac:dyDescent="0.25">
      <c r="B107" s="295">
        <v>45789</v>
      </c>
      <c r="C107" s="296" t="s">
        <v>2188</v>
      </c>
      <c r="D107" s="296" t="s">
        <v>1775</v>
      </c>
      <c r="E107" s="292" t="s">
        <v>2125</v>
      </c>
      <c r="F107" s="293" t="s">
        <v>6</v>
      </c>
      <c r="G107" s="296" t="s">
        <v>2198</v>
      </c>
      <c r="I107" s="304" t="s">
        <v>3294</v>
      </c>
    </row>
    <row r="108" spans="2:9" x14ac:dyDescent="0.25">
      <c r="B108" s="295">
        <v>45790</v>
      </c>
      <c r="C108" s="296" t="s">
        <v>2188</v>
      </c>
      <c r="D108" s="296" t="s">
        <v>332</v>
      </c>
      <c r="E108" s="292" t="s">
        <v>2125</v>
      </c>
      <c r="F108" s="293" t="s">
        <v>6</v>
      </c>
      <c r="G108" s="296" t="s">
        <v>2213</v>
      </c>
      <c r="I108" s="304" t="s">
        <v>3294</v>
      </c>
    </row>
    <row r="109" spans="2:9" x14ac:dyDescent="0.25">
      <c r="B109" s="295">
        <v>45790</v>
      </c>
      <c r="C109" s="296" t="s">
        <v>2188</v>
      </c>
      <c r="D109" s="296" t="s">
        <v>1831</v>
      </c>
      <c r="E109" s="292" t="s">
        <v>2125</v>
      </c>
      <c r="F109" s="293" t="s">
        <v>6</v>
      </c>
      <c r="G109" s="296" t="s">
        <v>2214</v>
      </c>
      <c r="I109" s="304" t="s">
        <v>3294</v>
      </c>
    </row>
    <row r="110" spans="2:9" x14ac:dyDescent="0.25">
      <c r="B110" s="295">
        <v>45792</v>
      </c>
      <c r="C110" s="296" t="s">
        <v>2188</v>
      </c>
      <c r="D110" s="296" t="s">
        <v>1816</v>
      </c>
      <c r="E110" s="292" t="s">
        <v>2125</v>
      </c>
      <c r="F110" s="293" t="s">
        <v>6</v>
      </c>
      <c r="G110" s="296" t="s">
        <v>2215</v>
      </c>
      <c r="I110" s="304" t="s">
        <v>3294</v>
      </c>
    </row>
    <row r="111" spans="2:9" x14ac:dyDescent="0.25">
      <c r="B111" s="295">
        <v>45792</v>
      </c>
      <c r="C111" s="296" t="s">
        <v>2188</v>
      </c>
      <c r="D111" s="296" t="s">
        <v>1820</v>
      </c>
      <c r="E111" s="292" t="s">
        <v>2125</v>
      </c>
      <c r="F111" s="293" t="s">
        <v>6</v>
      </c>
      <c r="G111" s="296" t="s">
        <v>2216</v>
      </c>
      <c r="I111" s="304" t="s">
        <v>3294</v>
      </c>
    </row>
    <row r="112" spans="2:9" x14ac:dyDescent="0.25">
      <c r="B112" s="295">
        <v>45792</v>
      </c>
      <c r="C112" s="296" t="s">
        <v>2188</v>
      </c>
      <c r="D112" s="296" t="s">
        <v>332</v>
      </c>
      <c r="E112" s="292" t="s">
        <v>2125</v>
      </c>
      <c r="F112" s="293" t="s">
        <v>6</v>
      </c>
      <c r="G112" s="296" t="s">
        <v>2190</v>
      </c>
      <c r="I112" s="304" t="s">
        <v>3294</v>
      </c>
    </row>
    <row r="113" spans="2:9" x14ac:dyDescent="0.25">
      <c r="B113" s="295">
        <v>45793</v>
      </c>
      <c r="C113" s="296" t="s">
        <v>2188</v>
      </c>
      <c r="D113" s="296" t="s">
        <v>1764</v>
      </c>
      <c r="E113" s="292" t="s">
        <v>2125</v>
      </c>
      <c r="F113" s="293" t="s">
        <v>6</v>
      </c>
      <c r="G113" s="296" t="s">
        <v>2217</v>
      </c>
      <c r="I113" s="304" t="s">
        <v>3294</v>
      </c>
    </row>
    <row r="114" spans="2:9" x14ac:dyDescent="0.25">
      <c r="B114" s="295">
        <v>45793</v>
      </c>
      <c r="C114" s="296" t="s">
        <v>2188</v>
      </c>
      <c r="D114" s="296" t="s">
        <v>2049</v>
      </c>
      <c r="E114" s="292" t="s">
        <v>2125</v>
      </c>
      <c r="F114" s="293" t="s">
        <v>6</v>
      </c>
      <c r="G114" s="296" t="s">
        <v>2218</v>
      </c>
      <c r="I114" s="304" t="s">
        <v>3294</v>
      </c>
    </row>
    <row r="115" spans="2:9" x14ac:dyDescent="0.25">
      <c r="B115" s="298">
        <v>45796</v>
      </c>
      <c r="C115" s="299" t="s">
        <v>2219</v>
      </c>
      <c r="D115" s="299" t="s">
        <v>1820</v>
      </c>
      <c r="E115" s="300" t="s">
        <v>2125</v>
      </c>
      <c r="F115" s="300" t="s">
        <v>6</v>
      </c>
      <c r="G115" s="299" t="s">
        <v>2220</v>
      </c>
      <c r="I115" s="304" t="s">
        <v>3294</v>
      </c>
    </row>
    <row r="116" spans="2:9" x14ac:dyDescent="0.25">
      <c r="B116" s="295">
        <v>45799</v>
      </c>
      <c r="C116" s="296" t="s">
        <v>2188</v>
      </c>
      <c r="D116" s="296" t="s">
        <v>200</v>
      </c>
      <c r="E116" s="292" t="s">
        <v>2125</v>
      </c>
      <c r="F116" s="293" t="s">
        <v>6</v>
      </c>
      <c r="G116" s="296" t="s">
        <v>2221</v>
      </c>
      <c r="I116" s="304" t="s">
        <v>3294</v>
      </c>
    </row>
    <row r="117" spans="2:9" x14ac:dyDescent="0.25">
      <c r="B117" s="295">
        <v>45799</v>
      </c>
      <c r="C117" s="296" t="s">
        <v>2188</v>
      </c>
      <c r="D117" s="296" t="s">
        <v>2073</v>
      </c>
      <c r="E117" s="292" t="s">
        <v>2125</v>
      </c>
      <c r="F117" s="293" t="s">
        <v>6</v>
      </c>
      <c r="G117" s="296" t="s">
        <v>2222</v>
      </c>
      <c r="I117" s="304" t="s">
        <v>3294</v>
      </c>
    </row>
    <row r="118" spans="2:9" x14ac:dyDescent="0.25">
      <c r="B118" s="295">
        <v>45803</v>
      </c>
      <c r="C118" s="296" t="s">
        <v>2188</v>
      </c>
      <c r="D118" s="296" t="s">
        <v>1764</v>
      </c>
      <c r="E118" s="292" t="s">
        <v>2125</v>
      </c>
      <c r="F118" s="293" t="s">
        <v>6</v>
      </c>
      <c r="G118" s="296" t="s">
        <v>2223</v>
      </c>
      <c r="I118" s="304" t="s">
        <v>3294</v>
      </c>
    </row>
    <row r="119" spans="2:9" x14ac:dyDescent="0.25">
      <c r="B119" s="295">
        <v>45804</v>
      </c>
      <c r="C119" s="296" t="s">
        <v>2188</v>
      </c>
      <c r="D119" s="296" t="s">
        <v>332</v>
      </c>
      <c r="E119" s="292" t="s">
        <v>2125</v>
      </c>
      <c r="F119" s="293" t="s">
        <v>6</v>
      </c>
      <c r="G119" s="296" t="s">
        <v>2224</v>
      </c>
      <c r="I119" s="304" t="s">
        <v>3294</v>
      </c>
    </row>
    <row r="120" spans="2:9" x14ac:dyDescent="0.25">
      <c r="B120" s="295">
        <v>45804</v>
      </c>
      <c r="C120" s="296" t="s">
        <v>2188</v>
      </c>
      <c r="D120" s="296" t="s">
        <v>332</v>
      </c>
      <c r="E120" s="292" t="s">
        <v>2125</v>
      </c>
      <c r="F120" s="293" t="s">
        <v>6</v>
      </c>
      <c r="G120" s="296" t="s">
        <v>2189</v>
      </c>
      <c r="I120" s="304" t="s">
        <v>3294</v>
      </c>
    </row>
    <row r="121" spans="2:9" x14ac:dyDescent="0.25">
      <c r="B121" s="295">
        <v>45804</v>
      </c>
      <c r="C121" s="296" t="s">
        <v>2188</v>
      </c>
      <c r="D121" s="296" t="s">
        <v>632</v>
      </c>
      <c r="E121" s="292" t="s">
        <v>2125</v>
      </c>
      <c r="F121" s="293" t="s">
        <v>6</v>
      </c>
      <c r="G121" s="296" t="s">
        <v>2225</v>
      </c>
      <c r="I121" s="304" t="s">
        <v>3294</v>
      </c>
    </row>
    <row r="122" spans="2:9" x14ac:dyDescent="0.25">
      <c r="B122" s="295">
        <v>45804</v>
      </c>
      <c r="C122" s="296" t="s">
        <v>2188</v>
      </c>
      <c r="D122" s="296" t="s">
        <v>632</v>
      </c>
      <c r="E122" s="292" t="s">
        <v>2125</v>
      </c>
      <c r="F122" s="293" t="s">
        <v>6</v>
      </c>
      <c r="G122" s="296" t="s">
        <v>2226</v>
      </c>
      <c r="I122" s="304" t="s">
        <v>3294</v>
      </c>
    </row>
    <row r="123" spans="2:9" x14ac:dyDescent="0.25">
      <c r="B123" s="295">
        <v>45806</v>
      </c>
      <c r="C123" s="296" t="s">
        <v>2188</v>
      </c>
      <c r="D123" s="296" t="s">
        <v>2200</v>
      </c>
      <c r="E123" s="292" t="s">
        <v>2125</v>
      </c>
      <c r="F123" s="293" t="s">
        <v>6</v>
      </c>
      <c r="G123" s="296" t="s">
        <v>2227</v>
      </c>
      <c r="I123" s="304" t="s">
        <v>3294</v>
      </c>
    </row>
    <row r="124" spans="2:9" x14ac:dyDescent="0.25">
      <c r="B124" s="295">
        <v>45806</v>
      </c>
      <c r="C124" s="296" t="s">
        <v>2188</v>
      </c>
      <c r="D124" s="296" t="s">
        <v>283</v>
      </c>
      <c r="E124" s="292" t="s">
        <v>2125</v>
      </c>
      <c r="F124" s="293" t="s">
        <v>6</v>
      </c>
      <c r="G124" s="296" t="s">
        <v>2228</v>
      </c>
      <c r="I124" s="304" t="s">
        <v>3294</v>
      </c>
    </row>
    <row r="125" spans="2:9" x14ac:dyDescent="0.25">
      <c r="B125" s="295">
        <v>45806</v>
      </c>
      <c r="C125" s="296" t="s">
        <v>2188</v>
      </c>
      <c r="D125" s="296" t="s">
        <v>283</v>
      </c>
      <c r="E125" s="292" t="s">
        <v>2125</v>
      </c>
      <c r="F125" s="293" t="s">
        <v>6</v>
      </c>
      <c r="G125" s="296" t="s">
        <v>2229</v>
      </c>
      <c r="I125" s="304" t="s">
        <v>3294</v>
      </c>
    </row>
    <row r="126" spans="2:9" x14ac:dyDescent="0.25">
      <c r="B126" s="295">
        <v>45806</v>
      </c>
      <c r="C126" s="296" t="s">
        <v>2188</v>
      </c>
      <c r="D126" s="296" t="s">
        <v>1764</v>
      </c>
      <c r="E126" s="292" t="s">
        <v>2125</v>
      </c>
      <c r="F126" s="293" t="s">
        <v>6</v>
      </c>
      <c r="G126" s="296" t="s">
        <v>2230</v>
      </c>
      <c r="I126" s="304" t="s">
        <v>3294</v>
      </c>
    </row>
    <row r="127" spans="2:9" x14ac:dyDescent="0.25">
      <c r="B127" s="295">
        <v>45807</v>
      </c>
      <c r="C127" s="296" t="s">
        <v>2188</v>
      </c>
      <c r="D127" s="296" t="s">
        <v>2200</v>
      </c>
      <c r="E127" s="292" t="s">
        <v>2125</v>
      </c>
      <c r="F127" s="293" t="s">
        <v>6</v>
      </c>
      <c r="G127" s="296" t="s">
        <v>2231</v>
      </c>
      <c r="I127" s="304" t="s">
        <v>3294</v>
      </c>
    </row>
    <row r="128" spans="2:9" x14ac:dyDescent="0.25">
      <c r="B128" s="295">
        <v>45807</v>
      </c>
      <c r="C128" s="296" t="s">
        <v>2188</v>
      </c>
      <c r="D128" s="296" t="s">
        <v>2200</v>
      </c>
      <c r="E128" s="292" t="s">
        <v>2125</v>
      </c>
      <c r="F128" s="293" t="s">
        <v>6</v>
      </c>
      <c r="G128" s="296" t="s">
        <v>2232</v>
      </c>
      <c r="I128" s="304" t="s">
        <v>3294</v>
      </c>
    </row>
    <row r="129" spans="2:9" x14ac:dyDescent="0.25">
      <c r="B129" s="295">
        <v>45807</v>
      </c>
      <c r="C129" s="296" t="s">
        <v>2188</v>
      </c>
      <c r="D129" s="296" t="s">
        <v>406</v>
      </c>
      <c r="E129" s="292" t="s">
        <v>2125</v>
      </c>
      <c r="F129" s="293" t="s">
        <v>6</v>
      </c>
      <c r="G129" s="296" t="s">
        <v>2233</v>
      </c>
      <c r="I129" s="304" t="s">
        <v>3294</v>
      </c>
    </row>
    <row r="130" spans="2:9" x14ac:dyDescent="0.25">
      <c r="B130" s="295">
        <v>45807</v>
      </c>
      <c r="C130" s="296" t="s">
        <v>2188</v>
      </c>
      <c r="D130" s="296" t="s">
        <v>2200</v>
      </c>
      <c r="E130" s="292" t="s">
        <v>2125</v>
      </c>
      <c r="F130" s="293" t="s">
        <v>6</v>
      </c>
      <c r="G130" s="296" t="s">
        <v>2234</v>
      </c>
      <c r="I130" s="304" t="s">
        <v>3294</v>
      </c>
    </row>
    <row r="131" spans="2:9" x14ac:dyDescent="0.25">
      <c r="B131" s="295">
        <v>45807</v>
      </c>
      <c r="C131" s="296" t="s">
        <v>2188</v>
      </c>
      <c r="D131" s="296" t="s">
        <v>2200</v>
      </c>
      <c r="E131" s="292" t="s">
        <v>2125</v>
      </c>
      <c r="F131" s="293" t="s">
        <v>6</v>
      </c>
      <c r="G131" s="296" t="s">
        <v>2235</v>
      </c>
      <c r="I131" s="304" t="s">
        <v>3294</v>
      </c>
    </row>
    <row r="132" spans="2:9" x14ac:dyDescent="0.25">
      <c r="B132" s="295">
        <v>45807</v>
      </c>
      <c r="C132" s="296" t="s">
        <v>2188</v>
      </c>
      <c r="D132" s="296" t="s">
        <v>1764</v>
      </c>
      <c r="E132" s="292" t="s">
        <v>2125</v>
      </c>
      <c r="F132" s="293" t="s">
        <v>6</v>
      </c>
      <c r="G132" s="296" t="s">
        <v>2236</v>
      </c>
      <c r="I132" s="304" t="s">
        <v>3294</v>
      </c>
    </row>
    <row r="133" spans="2:9" x14ac:dyDescent="0.25">
      <c r="B133" s="295">
        <v>45807</v>
      </c>
      <c r="C133" s="296" t="s">
        <v>2188</v>
      </c>
      <c r="D133" s="296" t="s">
        <v>1764</v>
      </c>
      <c r="E133" s="292" t="s">
        <v>2125</v>
      </c>
      <c r="F133" s="293" t="s">
        <v>6</v>
      </c>
      <c r="G133" s="296" t="s">
        <v>2237</v>
      </c>
      <c r="I133" s="304" t="s">
        <v>3294</v>
      </c>
    </row>
    <row r="134" spans="2:9" x14ac:dyDescent="0.25">
      <c r="B134" s="295">
        <v>45810</v>
      </c>
      <c r="C134" s="296" t="s">
        <v>2188</v>
      </c>
      <c r="D134" s="296" t="s">
        <v>1760</v>
      </c>
      <c r="E134" s="292" t="s">
        <v>2125</v>
      </c>
      <c r="F134" s="293" t="s">
        <v>6</v>
      </c>
      <c r="G134" s="296" t="s">
        <v>2238</v>
      </c>
      <c r="I134" s="304" t="s">
        <v>3294</v>
      </c>
    </row>
    <row r="135" spans="2:9" x14ac:dyDescent="0.25">
      <c r="B135" s="295">
        <v>45812</v>
      </c>
      <c r="C135" s="296" t="s">
        <v>2188</v>
      </c>
      <c r="D135" s="296" t="s">
        <v>406</v>
      </c>
      <c r="E135" s="292" t="s">
        <v>2125</v>
      </c>
      <c r="F135" s="293" t="s">
        <v>6</v>
      </c>
      <c r="G135" s="296" t="s">
        <v>2239</v>
      </c>
      <c r="I135" s="304" t="s">
        <v>3294</v>
      </c>
    </row>
    <row r="136" spans="2:9" x14ac:dyDescent="0.25">
      <c r="B136" s="295">
        <v>45812</v>
      </c>
      <c r="C136" s="296" t="s">
        <v>2188</v>
      </c>
      <c r="D136" s="296" t="s">
        <v>2092</v>
      </c>
      <c r="E136" s="292" t="s">
        <v>2125</v>
      </c>
      <c r="F136" s="293" t="s">
        <v>6</v>
      </c>
      <c r="G136" s="296" t="s">
        <v>2240</v>
      </c>
      <c r="I136" s="304" t="s">
        <v>3294</v>
      </c>
    </row>
    <row r="137" spans="2:9" x14ac:dyDescent="0.25">
      <c r="B137" s="295">
        <v>45812</v>
      </c>
      <c r="C137" s="296" t="s">
        <v>2188</v>
      </c>
      <c r="D137" s="296" t="s">
        <v>1820</v>
      </c>
      <c r="E137" s="292" t="s">
        <v>2125</v>
      </c>
      <c r="F137" s="293" t="s">
        <v>6</v>
      </c>
      <c r="G137" s="296" t="s">
        <v>2241</v>
      </c>
      <c r="I137" s="304" t="s">
        <v>3294</v>
      </c>
    </row>
    <row r="138" spans="2:9" x14ac:dyDescent="0.25">
      <c r="B138" s="295">
        <v>45814</v>
      </c>
      <c r="C138" s="296" t="s">
        <v>2188</v>
      </c>
      <c r="D138" s="296" t="s">
        <v>406</v>
      </c>
      <c r="E138" s="292" t="s">
        <v>2125</v>
      </c>
      <c r="F138" s="293" t="s">
        <v>6</v>
      </c>
      <c r="G138" s="296" t="s">
        <v>2242</v>
      </c>
      <c r="I138" s="304" t="s">
        <v>3294</v>
      </c>
    </row>
    <row r="139" spans="2:9" x14ac:dyDescent="0.25">
      <c r="B139" s="295">
        <v>45814</v>
      </c>
      <c r="C139" s="296" t="s">
        <v>2188</v>
      </c>
      <c r="D139" s="296" t="s">
        <v>2092</v>
      </c>
      <c r="E139" s="292" t="s">
        <v>2125</v>
      </c>
      <c r="F139" s="293" t="s">
        <v>6</v>
      </c>
      <c r="G139" s="296" t="s">
        <v>2243</v>
      </c>
      <c r="I139" s="304" t="s">
        <v>3294</v>
      </c>
    </row>
    <row r="140" spans="2:9" x14ac:dyDescent="0.25">
      <c r="B140" s="295">
        <v>45814</v>
      </c>
      <c r="C140" s="296" t="s">
        <v>2188</v>
      </c>
      <c r="D140" s="296" t="s">
        <v>1760</v>
      </c>
      <c r="E140" s="292" t="s">
        <v>2125</v>
      </c>
      <c r="F140" s="293" t="s">
        <v>6</v>
      </c>
      <c r="G140" s="296" t="s">
        <v>2244</v>
      </c>
      <c r="I140" s="304" t="s">
        <v>3294</v>
      </c>
    </row>
    <row r="141" spans="2:9" x14ac:dyDescent="0.25">
      <c r="B141" s="295">
        <v>45814</v>
      </c>
      <c r="C141" s="296" t="s">
        <v>2188</v>
      </c>
      <c r="D141" s="296" t="s">
        <v>283</v>
      </c>
      <c r="E141" s="292" t="s">
        <v>2125</v>
      </c>
      <c r="F141" s="293" t="s">
        <v>6</v>
      </c>
      <c r="G141" s="296" t="s">
        <v>2245</v>
      </c>
      <c r="I141" s="304" t="s">
        <v>3294</v>
      </c>
    </row>
    <row r="142" spans="2:9" x14ac:dyDescent="0.25">
      <c r="B142" s="295">
        <v>45814</v>
      </c>
      <c r="C142" s="296" t="s">
        <v>2188</v>
      </c>
      <c r="D142" s="296" t="s">
        <v>2246</v>
      </c>
      <c r="E142" s="292" t="s">
        <v>2125</v>
      </c>
      <c r="F142" s="293" t="s">
        <v>6</v>
      </c>
      <c r="G142" s="296" t="s">
        <v>2247</v>
      </c>
      <c r="I142" s="304" t="s">
        <v>3294</v>
      </c>
    </row>
    <row r="143" spans="2:9" x14ac:dyDescent="0.25">
      <c r="B143" s="295">
        <v>45814</v>
      </c>
      <c r="C143" s="296" t="s">
        <v>2188</v>
      </c>
      <c r="D143" s="296" t="s">
        <v>283</v>
      </c>
      <c r="E143" s="292" t="s">
        <v>2125</v>
      </c>
      <c r="F143" s="293" t="s">
        <v>6</v>
      </c>
      <c r="G143" s="296" t="s">
        <v>2248</v>
      </c>
      <c r="I143" s="304" t="s">
        <v>3294</v>
      </c>
    </row>
    <row r="144" spans="2:9" x14ac:dyDescent="0.25">
      <c r="B144" s="295">
        <v>45814</v>
      </c>
      <c r="C144" s="296" t="s">
        <v>2188</v>
      </c>
      <c r="D144" s="296" t="s">
        <v>1760</v>
      </c>
      <c r="E144" s="292" t="s">
        <v>2125</v>
      </c>
      <c r="F144" s="293" t="s">
        <v>6</v>
      </c>
      <c r="G144" s="296" t="s">
        <v>2249</v>
      </c>
      <c r="I144" s="304" t="s">
        <v>3294</v>
      </c>
    </row>
    <row r="145" spans="2:9" x14ac:dyDescent="0.25">
      <c r="B145" s="295">
        <v>45814</v>
      </c>
      <c r="C145" s="296" t="s">
        <v>2188</v>
      </c>
      <c r="D145" s="296" t="s">
        <v>283</v>
      </c>
      <c r="E145" s="292" t="s">
        <v>2125</v>
      </c>
      <c r="F145" s="293" t="s">
        <v>6</v>
      </c>
      <c r="G145" s="296" t="s">
        <v>2250</v>
      </c>
      <c r="I145" s="304" t="s">
        <v>3294</v>
      </c>
    </row>
    <row r="146" spans="2:9" x14ac:dyDescent="0.25">
      <c r="B146" s="295">
        <v>45814</v>
      </c>
      <c r="C146" s="296" t="s">
        <v>2188</v>
      </c>
      <c r="D146" s="296" t="s">
        <v>1820</v>
      </c>
      <c r="E146" s="292" t="s">
        <v>2125</v>
      </c>
      <c r="F146" s="293" t="s">
        <v>6</v>
      </c>
      <c r="G146" s="296" t="s">
        <v>2251</v>
      </c>
      <c r="I146" s="304" t="s">
        <v>3294</v>
      </c>
    </row>
    <row r="147" spans="2:9" x14ac:dyDescent="0.25">
      <c r="B147" s="295">
        <v>45814</v>
      </c>
      <c r="C147" s="296" t="s">
        <v>2188</v>
      </c>
      <c r="D147" s="296" t="s">
        <v>1820</v>
      </c>
      <c r="E147" s="292" t="s">
        <v>2125</v>
      </c>
      <c r="F147" s="293" t="s">
        <v>6</v>
      </c>
      <c r="G147" s="296" t="s">
        <v>2252</v>
      </c>
      <c r="I147" s="304" t="s">
        <v>3294</v>
      </c>
    </row>
    <row r="148" spans="2:9" x14ac:dyDescent="0.25">
      <c r="B148" s="295">
        <v>45814</v>
      </c>
      <c r="C148" s="296" t="s">
        <v>2188</v>
      </c>
      <c r="D148" s="296" t="s">
        <v>1987</v>
      </c>
      <c r="E148" s="292" t="s">
        <v>2125</v>
      </c>
      <c r="F148" s="293" t="s">
        <v>6</v>
      </c>
      <c r="G148" s="296" t="s">
        <v>2253</v>
      </c>
      <c r="I148" s="304" t="s">
        <v>3294</v>
      </c>
    </row>
    <row r="149" spans="2:9" x14ac:dyDescent="0.25">
      <c r="B149" s="295">
        <v>45820</v>
      </c>
      <c r="C149" s="296" t="s">
        <v>2188</v>
      </c>
      <c r="D149" s="296" t="s">
        <v>283</v>
      </c>
      <c r="E149" s="292" t="s">
        <v>2125</v>
      </c>
      <c r="F149" s="293" t="s">
        <v>6</v>
      </c>
      <c r="G149" s="296" t="s">
        <v>2254</v>
      </c>
      <c r="I149" s="304" t="s">
        <v>3294</v>
      </c>
    </row>
    <row r="150" spans="2:9" x14ac:dyDescent="0.25">
      <c r="B150" s="295">
        <v>45821</v>
      </c>
      <c r="C150" s="296" t="s">
        <v>2188</v>
      </c>
      <c r="D150" s="296" t="s">
        <v>1820</v>
      </c>
      <c r="E150" s="292" t="s">
        <v>2125</v>
      </c>
      <c r="F150" s="293" t="s">
        <v>6</v>
      </c>
      <c r="G150" s="296" t="s">
        <v>2255</v>
      </c>
      <c r="I150" s="304" t="s">
        <v>3294</v>
      </c>
    </row>
    <row r="151" spans="2:9" x14ac:dyDescent="0.25">
      <c r="B151" s="295">
        <v>45822</v>
      </c>
      <c r="C151" s="296" t="s">
        <v>2188</v>
      </c>
      <c r="D151" s="296" t="s">
        <v>1816</v>
      </c>
      <c r="E151" s="292" t="s">
        <v>2125</v>
      </c>
      <c r="F151" s="293" t="s">
        <v>4</v>
      </c>
      <c r="G151" s="296" t="s">
        <v>2256</v>
      </c>
      <c r="I151" s="304" t="s">
        <v>3294</v>
      </c>
    </row>
    <row r="152" spans="2:9" x14ac:dyDescent="0.25">
      <c r="B152" s="295">
        <v>45823</v>
      </c>
      <c r="C152" s="296" t="s">
        <v>2188</v>
      </c>
      <c r="D152" s="296" t="s">
        <v>1790</v>
      </c>
      <c r="E152" s="292" t="s">
        <v>2125</v>
      </c>
      <c r="F152" s="293" t="s">
        <v>4</v>
      </c>
      <c r="G152" s="296" t="s">
        <v>2257</v>
      </c>
      <c r="I152" s="304" t="s">
        <v>3294</v>
      </c>
    </row>
    <row r="153" spans="2:9" x14ac:dyDescent="0.25">
      <c r="B153" s="295">
        <v>45823</v>
      </c>
      <c r="C153" s="296" t="s">
        <v>2188</v>
      </c>
      <c r="D153" s="296" t="s">
        <v>1816</v>
      </c>
      <c r="E153" s="292" t="s">
        <v>2125</v>
      </c>
      <c r="F153" s="293" t="s">
        <v>4</v>
      </c>
      <c r="G153" s="296" t="s">
        <v>2256</v>
      </c>
      <c r="I153" s="304" t="s">
        <v>3294</v>
      </c>
    </row>
    <row r="154" spans="2:9" x14ac:dyDescent="0.25">
      <c r="B154" s="295">
        <v>45824</v>
      </c>
      <c r="C154" s="296" t="s">
        <v>2188</v>
      </c>
      <c r="D154" s="296" t="s">
        <v>1790</v>
      </c>
      <c r="E154" s="292" t="s">
        <v>2125</v>
      </c>
      <c r="F154" s="293" t="s">
        <v>6</v>
      </c>
      <c r="G154" s="296" t="s">
        <v>2258</v>
      </c>
      <c r="I154" s="304" t="s">
        <v>3294</v>
      </c>
    </row>
    <row r="155" spans="2:9" x14ac:dyDescent="0.25">
      <c r="B155" s="295">
        <v>45824</v>
      </c>
      <c r="C155" s="296" t="s">
        <v>2188</v>
      </c>
      <c r="D155" s="296" t="s">
        <v>1790</v>
      </c>
      <c r="E155" s="292" t="s">
        <v>2125</v>
      </c>
      <c r="F155" s="293" t="s">
        <v>6</v>
      </c>
      <c r="G155" s="296" t="s">
        <v>2259</v>
      </c>
      <c r="I155" s="304" t="s">
        <v>3294</v>
      </c>
    </row>
    <row r="156" spans="2:9" ht="30" x14ac:dyDescent="0.25">
      <c r="B156" s="415">
        <v>45831</v>
      </c>
      <c r="C156" s="416" t="s">
        <v>2188</v>
      </c>
      <c r="D156" s="416" t="s">
        <v>1760</v>
      </c>
      <c r="E156" s="417" t="s">
        <v>2125</v>
      </c>
      <c r="F156" s="418" t="s">
        <v>6</v>
      </c>
      <c r="G156" s="301" t="s">
        <v>2260</v>
      </c>
      <c r="I156" s="304" t="s">
        <v>3294</v>
      </c>
    </row>
    <row r="157" spans="2:9" x14ac:dyDescent="0.25">
      <c r="B157" s="415"/>
      <c r="C157" s="416"/>
      <c r="D157" s="416"/>
      <c r="E157" s="417"/>
      <c r="F157" s="418"/>
      <c r="G157" s="301" t="s">
        <v>2261</v>
      </c>
      <c r="I157" s="304" t="s">
        <v>3294</v>
      </c>
    </row>
    <row r="158" spans="2:9" x14ac:dyDescent="0.25">
      <c r="B158" s="295">
        <v>45832</v>
      </c>
      <c r="C158" s="296" t="s">
        <v>2188</v>
      </c>
      <c r="D158" s="296" t="s">
        <v>1760</v>
      </c>
      <c r="E158" s="292" t="s">
        <v>2125</v>
      </c>
      <c r="F158" s="293" t="s">
        <v>6</v>
      </c>
      <c r="G158" s="301" t="s">
        <v>2262</v>
      </c>
      <c r="I158" s="304" t="s">
        <v>3294</v>
      </c>
    </row>
    <row r="159" spans="2:9" x14ac:dyDescent="0.25">
      <c r="B159" s="295">
        <v>45833</v>
      </c>
      <c r="C159" s="296" t="s">
        <v>2188</v>
      </c>
      <c r="D159" s="296" t="s">
        <v>2263</v>
      </c>
      <c r="E159" s="292" t="s">
        <v>2125</v>
      </c>
      <c r="F159" s="293" t="s">
        <v>6</v>
      </c>
      <c r="G159" s="296" t="s">
        <v>2264</v>
      </c>
      <c r="I159" s="304" t="s">
        <v>3294</v>
      </c>
    </row>
    <row r="160" spans="2:9" x14ac:dyDescent="0.25">
      <c r="B160" s="295">
        <v>45834</v>
      </c>
      <c r="C160" s="296" t="s">
        <v>2188</v>
      </c>
      <c r="D160" s="296" t="s">
        <v>2263</v>
      </c>
      <c r="E160" s="292" t="s">
        <v>2125</v>
      </c>
      <c r="F160" s="293" t="s">
        <v>6</v>
      </c>
      <c r="G160" s="296" t="s">
        <v>2265</v>
      </c>
      <c r="I160" s="304" t="s">
        <v>3294</v>
      </c>
    </row>
    <row r="161" spans="2:9" x14ac:dyDescent="0.25">
      <c r="B161" s="295">
        <v>45834</v>
      </c>
      <c r="C161" s="296" t="s">
        <v>2188</v>
      </c>
      <c r="D161" s="296" t="s">
        <v>2263</v>
      </c>
      <c r="E161" s="292" t="s">
        <v>2125</v>
      </c>
      <c r="F161" s="293" t="s">
        <v>6</v>
      </c>
      <c r="G161" s="296" t="s">
        <v>2266</v>
      </c>
      <c r="I161" s="304" t="s">
        <v>3294</v>
      </c>
    </row>
    <row r="162" spans="2:9" x14ac:dyDescent="0.25">
      <c r="B162" s="295">
        <v>45838</v>
      </c>
      <c r="C162" s="296" t="s">
        <v>2188</v>
      </c>
      <c r="D162" s="296" t="s">
        <v>406</v>
      </c>
      <c r="E162" s="292" t="s">
        <v>2125</v>
      </c>
      <c r="F162" s="293" t="s">
        <v>6</v>
      </c>
      <c r="G162" s="296" t="s">
        <v>2267</v>
      </c>
      <c r="I162" s="304" t="s">
        <v>3294</v>
      </c>
    </row>
    <row r="163" spans="2:9" x14ac:dyDescent="0.25">
      <c r="B163" s="295">
        <v>45838</v>
      </c>
      <c r="C163" s="296" t="s">
        <v>2188</v>
      </c>
      <c r="D163" s="296" t="s">
        <v>283</v>
      </c>
      <c r="E163" s="292" t="s">
        <v>2125</v>
      </c>
      <c r="F163" s="293"/>
      <c r="G163" s="296" t="s">
        <v>2268</v>
      </c>
      <c r="I163" s="304" t="s">
        <v>3294</v>
      </c>
    </row>
    <row r="164" spans="2:9" x14ac:dyDescent="0.25">
      <c r="B164" s="295">
        <v>45840</v>
      </c>
      <c r="C164" s="296" t="s">
        <v>2188</v>
      </c>
      <c r="D164" s="296" t="s">
        <v>283</v>
      </c>
      <c r="E164" s="292" t="s">
        <v>2125</v>
      </c>
      <c r="F164" s="293" t="s">
        <v>6</v>
      </c>
      <c r="G164" s="296" t="s">
        <v>2268</v>
      </c>
      <c r="I164" s="304" t="s">
        <v>3294</v>
      </c>
    </row>
    <row r="165" spans="2:9" x14ac:dyDescent="0.25">
      <c r="B165" s="295">
        <v>45840</v>
      </c>
      <c r="C165" s="296" t="s">
        <v>2188</v>
      </c>
      <c r="D165" s="296" t="s">
        <v>406</v>
      </c>
      <c r="E165" s="292" t="s">
        <v>2125</v>
      </c>
      <c r="F165" s="293" t="s">
        <v>6</v>
      </c>
      <c r="G165" s="296" t="s">
        <v>2269</v>
      </c>
      <c r="I165" s="304" t="s">
        <v>3294</v>
      </c>
    </row>
    <row r="166" spans="2:9" x14ac:dyDescent="0.25">
      <c r="B166" s="295">
        <v>45841</v>
      </c>
      <c r="C166" s="296" t="s">
        <v>2188</v>
      </c>
      <c r="D166" s="296" t="s">
        <v>2263</v>
      </c>
      <c r="E166" s="292" t="s">
        <v>2125</v>
      </c>
      <c r="F166" s="293" t="s">
        <v>6</v>
      </c>
      <c r="G166" s="296" t="s">
        <v>2270</v>
      </c>
      <c r="I166" s="304" t="s">
        <v>3294</v>
      </c>
    </row>
    <row r="167" spans="2:9" x14ac:dyDescent="0.25">
      <c r="B167" s="415">
        <v>45841</v>
      </c>
      <c r="C167" s="416" t="s">
        <v>2188</v>
      </c>
      <c r="D167" s="416" t="s">
        <v>2263</v>
      </c>
      <c r="E167" s="417" t="s">
        <v>2125</v>
      </c>
      <c r="F167" s="418" t="s">
        <v>6</v>
      </c>
      <c r="G167" s="297" t="s">
        <v>2271</v>
      </c>
      <c r="I167" s="304" t="s">
        <v>3294</v>
      </c>
    </row>
    <row r="168" spans="2:9" x14ac:dyDescent="0.25">
      <c r="B168" s="415"/>
      <c r="C168" s="416"/>
      <c r="D168" s="416"/>
      <c r="E168" s="417"/>
      <c r="F168" s="418"/>
      <c r="G168" s="297" t="s">
        <v>2272</v>
      </c>
      <c r="I168" s="304" t="s">
        <v>3294</v>
      </c>
    </row>
    <row r="169" spans="2:9" x14ac:dyDescent="0.25">
      <c r="B169" s="415">
        <v>45841</v>
      </c>
      <c r="C169" s="416" t="s">
        <v>2188</v>
      </c>
      <c r="D169" s="416" t="s">
        <v>2263</v>
      </c>
      <c r="E169" s="417" t="s">
        <v>2125</v>
      </c>
      <c r="F169" s="418" t="s">
        <v>6</v>
      </c>
      <c r="G169" s="297" t="s">
        <v>2271</v>
      </c>
      <c r="I169" s="304" t="s">
        <v>3294</v>
      </c>
    </row>
    <row r="170" spans="2:9" ht="30" x14ac:dyDescent="0.25">
      <c r="B170" s="415"/>
      <c r="C170" s="416"/>
      <c r="D170" s="416"/>
      <c r="E170" s="417"/>
      <c r="F170" s="418"/>
      <c r="G170" s="297" t="s">
        <v>2273</v>
      </c>
      <c r="I170" s="304" t="s">
        <v>3294</v>
      </c>
    </row>
    <row r="171" spans="2:9" x14ac:dyDescent="0.25">
      <c r="B171" s="295">
        <v>45841</v>
      </c>
      <c r="C171" s="296" t="s">
        <v>2188</v>
      </c>
      <c r="D171" s="296" t="s">
        <v>2263</v>
      </c>
      <c r="E171" s="292" t="s">
        <v>2125</v>
      </c>
      <c r="F171" s="293" t="s">
        <v>6</v>
      </c>
      <c r="G171" s="297" t="s">
        <v>2270</v>
      </c>
      <c r="I171" s="304" t="s">
        <v>3294</v>
      </c>
    </row>
    <row r="172" spans="2:9" x14ac:dyDescent="0.25">
      <c r="B172" s="295">
        <v>45841</v>
      </c>
      <c r="C172" s="296" t="s">
        <v>2188</v>
      </c>
      <c r="D172" s="296" t="s">
        <v>1811</v>
      </c>
      <c r="E172" s="292" t="s">
        <v>2125</v>
      </c>
      <c r="F172" s="293" t="s">
        <v>6</v>
      </c>
      <c r="G172" s="297" t="s">
        <v>2274</v>
      </c>
      <c r="I172" s="304" t="s">
        <v>3294</v>
      </c>
    </row>
    <row r="173" spans="2:9" x14ac:dyDescent="0.25">
      <c r="B173" s="295">
        <v>45841</v>
      </c>
      <c r="C173" s="296" t="s">
        <v>2188</v>
      </c>
      <c r="D173" s="296" t="s">
        <v>30</v>
      </c>
      <c r="E173" s="292" t="s">
        <v>2125</v>
      </c>
      <c r="F173" s="293" t="s">
        <v>4</v>
      </c>
      <c r="G173" s="297" t="s">
        <v>2275</v>
      </c>
      <c r="I173" s="304" t="s">
        <v>3294</v>
      </c>
    </row>
    <row r="174" spans="2:9" x14ac:dyDescent="0.25">
      <c r="B174" s="295">
        <v>45841</v>
      </c>
      <c r="C174" s="296" t="s">
        <v>2188</v>
      </c>
      <c r="D174" s="296" t="s">
        <v>200</v>
      </c>
      <c r="E174" s="292" t="s">
        <v>2125</v>
      </c>
      <c r="F174" s="293" t="s">
        <v>6</v>
      </c>
      <c r="G174" s="297" t="s">
        <v>2276</v>
      </c>
      <c r="I174" s="304" t="s">
        <v>3294</v>
      </c>
    </row>
    <row r="175" spans="2:9" x14ac:dyDescent="0.25">
      <c r="B175" s="295">
        <v>45844</v>
      </c>
      <c r="C175" s="296" t="s">
        <v>2188</v>
      </c>
      <c r="D175" s="296" t="s">
        <v>1811</v>
      </c>
      <c r="E175" s="292" t="s">
        <v>2125</v>
      </c>
      <c r="F175" s="293" t="s">
        <v>6</v>
      </c>
      <c r="G175" s="297" t="s">
        <v>2270</v>
      </c>
      <c r="I175" s="304" t="s">
        <v>3294</v>
      </c>
    </row>
    <row r="176" spans="2:9" x14ac:dyDescent="0.25">
      <c r="B176" s="295">
        <v>45845</v>
      </c>
      <c r="C176" s="296" t="s">
        <v>2188</v>
      </c>
      <c r="D176" s="296" t="s">
        <v>1820</v>
      </c>
      <c r="E176" s="292" t="s">
        <v>2125</v>
      </c>
      <c r="F176" s="293" t="s">
        <v>6</v>
      </c>
      <c r="G176" s="296" t="s">
        <v>2277</v>
      </c>
      <c r="I176" s="304" t="s">
        <v>3294</v>
      </c>
    </row>
    <row r="177" spans="2:9" x14ac:dyDescent="0.25">
      <c r="B177" s="295">
        <v>45845</v>
      </c>
      <c r="C177" s="296" t="s">
        <v>2188</v>
      </c>
      <c r="D177" s="296" t="s">
        <v>1820</v>
      </c>
      <c r="E177" s="292" t="s">
        <v>2125</v>
      </c>
      <c r="F177" s="293" t="s">
        <v>6</v>
      </c>
      <c r="G177" s="296" t="s">
        <v>2278</v>
      </c>
      <c r="I177" s="304" t="s">
        <v>3294</v>
      </c>
    </row>
    <row r="178" spans="2:9" x14ac:dyDescent="0.25">
      <c r="B178" s="295">
        <v>45846</v>
      </c>
      <c r="C178" s="296" t="s">
        <v>2188</v>
      </c>
      <c r="D178" s="296" t="s">
        <v>2263</v>
      </c>
      <c r="E178" s="292" t="s">
        <v>2125</v>
      </c>
      <c r="F178" s="293" t="s">
        <v>6</v>
      </c>
      <c r="G178" s="296" t="s">
        <v>2279</v>
      </c>
      <c r="I178" s="304" t="s">
        <v>3294</v>
      </c>
    </row>
    <row r="179" spans="2:9" x14ac:dyDescent="0.25">
      <c r="B179" s="295">
        <v>45846</v>
      </c>
      <c r="C179" s="296" t="s">
        <v>2188</v>
      </c>
      <c r="D179" s="296" t="s">
        <v>2263</v>
      </c>
      <c r="E179" s="292" t="s">
        <v>2125</v>
      </c>
      <c r="F179" s="293" t="s">
        <v>6</v>
      </c>
      <c r="G179" s="296" t="s">
        <v>2280</v>
      </c>
      <c r="I179" s="304" t="s">
        <v>3294</v>
      </c>
    </row>
    <row r="180" spans="2:9" x14ac:dyDescent="0.25">
      <c r="B180" s="295">
        <v>45846</v>
      </c>
      <c r="C180" s="296" t="s">
        <v>2188</v>
      </c>
      <c r="D180" s="296" t="s">
        <v>2263</v>
      </c>
      <c r="E180" s="292" t="s">
        <v>2125</v>
      </c>
      <c r="F180" s="293" t="s">
        <v>6</v>
      </c>
      <c r="G180" s="296" t="s">
        <v>2281</v>
      </c>
      <c r="I180" s="304" t="s">
        <v>3294</v>
      </c>
    </row>
    <row r="181" spans="2:9" x14ac:dyDescent="0.25">
      <c r="B181" s="295">
        <v>45846</v>
      </c>
      <c r="C181" s="296" t="s">
        <v>2072</v>
      </c>
      <c r="D181" s="297" t="s">
        <v>2282</v>
      </c>
      <c r="E181" s="292" t="s">
        <v>2125</v>
      </c>
      <c r="F181" s="293" t="s">
        <v>6</v>
      </c>
      <c r="G181" s="297" t="s">
        <v>2283</v>
      </c>
      <c r="I181" s="304" t="s">
        <v>3294</v>
      </c>
    </row>
    <row r="182" spans="2:9" x14ac:dyDescent="0.25">
      <c r="B182" s="295">
        <v>45848</v>
      </c>
      <c r="C182" s="296" t="s">
        <v>2072</v>
      </c>
      <c r="D182" s="296" t="s">
        <v>2284</v>
      </c>
      <c r="E182" s="292" t="s">
        <v>2125</v>
      </c>
      <c r="F182" s="293" t="s">
        <v>6</v>
      </c>
      <c r="G182" s="297" t="s">
        <v>2285</v>
      </c>
      <c r="I182" s="304" t="s">
        <v>3294</v>
      </c>
    </row>
    <row r="183" spans="2:9" ht="30" x14ac:dyDescent="0.25">
      <c r="B183" s="295">
        <v>45848</v>
      </c>
      <c r="C183" s="296" t="s">
        <v>2072</v>
      </c>
      <c r="D183" s="297" t="s">
        <v>2286</v>
      </c>
      <c r="E183" s="292" t="s">
        <v>2125</v>
      </c>
      <c r="F183" s="293" t="s">
        <v>6</v>
      </c>
      <c r="G183" s="297" t="s">
        <v>2287</v>
      </c>
      <c r="I183" s="304" t="s">
        <v>3294</v>
      </c>
    </row>
    <row r="184" spans="2:9" ht="30" x14ac:dyDescent="0.25">
      <c r="B184" s="295">
        <v>45849</v>
      </c>
      <c r="C184" s="296" t="s">
        <v>2072</v>
      </c>
      <c r="D184" s="297" t="s">
        <v>2288</v>
      </c>
      <c r="E184" s="292" t="s">
        <v>2125</v>
      </c>
      <c r="F184" s="293" t="s">
        <v>6</v>
      </c>
      <c r="G184" s="297" t="s">
        <v>2289</v>
      </c>
      <c r="I184" s="304" t="s">
        <v>3294</v>
      </c>
    </row>
    <row r="185" spans="2:9" ht="30" x14ac:dyDescent="0.25">
      <c r="B185" s="295">
        <v>45852</v>
      </c>
      <c r="C185" s="296" t="s">
        <v>2072</v>
      </c>
      <c r="D185" s="296" t="s">
        <v>2290</v>
      </c>
      <c r="E185" s="292" t="s">
        <v>2125</v>
      </c>
      <c r="F185" s="293" t="s">
        <v>4</v>
      </c>
      <c r="G185" s="297" t="s">
        <v>2291</v>
      </c>
      <c r="I185" s="304" t="s">
        <v>3294</v>
      </c>
    </row>
    <row r="186" spans="2:9" ht="30" x14ac:dyDescent="0.25">
      <c r="B186" s="295">
        <v>45856</v>
      </c>
      <c r="C186" s="296" t="s">
        <v>2072</v>
      </c>
      <c r="D186" s="297" t="s">
        <v>2284</v>
      </c>
      <c r="E186" s="292" t="s">
        <v>2125</v>
      </c>
      <c r="F186" s="293" t="s">
        <v>4</v>
      </c>
      <c r="G186" s="297" t="s">
        <v>2292</v>
      </c>
      <c r="I186" s="304" t="s">
        <v>3294</v>
      </c>
    </row>
    <row r="187" spans="2:9" x14ac:dyDescent="0.25">
      <c r="B187" s="295">
        <v>45831</v>
      </c>
      <c r="C187" s="296" t="s">
        <v>2072</v>
      </c>
      <c r="D187" s="297" t="s">
        <v>2286</v>
      </c>
      <c r="E187" s="292" t="s">
        <v>2125</v>
      </c>
      <c r="F187" s="293" t="s">
        <v>4</v>
      </c>
      <c r="G187" s="297" t="s">
        <v>2293</v>
      </c>
      <c r="I187" s="304" t="s">
        <v>3294</v>
      </c>
    </row>
    <row r="188" spans="2:9" x14ac:dyDescent="0.25">
      <c r="B188" s="295">
        <v>45498</v>
      </c>
      <c r="C188" s="296" t="s">
        <v>2072</v>
      </c>
      <c r="D188" s="297" t="s">
        <v>2286</v>
      </c>
      <c r="E188" s="292" t="s">
        <v>2125</v>
      </c>
      <c r="F188" s="293" t="s">
        <v>6</v>
      </c>
      <c r="G188" s="297" t="s">
        <v>2294</v>
      </c>
      <c r="I188" s="304" t="s">
        <v>3294</v>
      </c>
    </row>
    <row r="189" spans="2:9" ht="30" x14ac:dyDescent="0.25">
      <c r="B189" s="295">
        <v>45863</v>
      </c>
      <c r="C189" s="296" t="s">
        <v>2072</v>
      </c>
      <c r="D189" s="297" t="s">
        <v>2288</v>
      </c>
      <c r="E189" s="292" t="s">
        <v>2125</v>
      </c>
      <c r="F189" s="293" t="s">
        <v>6</v>
      </c>
      <c r="G189" s="297" t="s">
        <v>2295</v>
      </c>
      <c r="I189" s="304" t="s">
        <v>3294</v>
      </c>
    </row>
    <row r="190" spans="2:9" x14ac:dyDescent="0.25">
      <c r="B190" s="295">
        <v>45863</v>
      </c>
      <c r="C190" s="296" t="s">
        <v>2072</v>
      </c>
      <c r="D190" s="296" t="s">
        <v>2290</v>
      </c>
      <c r="E190" s="292" t="s">
        <v>2125</v>
      </c>
      <c r="F190" s="293" t="s">
        <v>6</v>
      </c>
      <c r="G190" s="297" t="s">
        <v>2296</v>
      </c>
      <c r="I190" s="304" t="s">
        <v>3294</v>
      </c>
    </row>
    <row r="191" spans="2:9" x14ac:dyDescent="0.25">
      <c r="B191" s="295">
        <v>45863</v>
      </c>
      <c r="C191" s="296" t="s">
        <v>2072</v>
      </c>
      <c r="D191" s="297" t="s">
        <v>2282</v>
      </c>
      <c r="E191" s="292" t="s">
        <v>2125</v>
      </c>
      <c r="F191" s="293" t="s">
        <v>6</v>
      </c>
      <c r="G191" s="297" t="s">
        <v>2297</v>
      </c>
      <c r="I191" s="304" t="s">
        <v>3294</v>
      </c>
    </row>
    <row r="192" spans="2:9" x14ac:dyDescent="0.25">
      <c r="B192" s="295">
        <v>45866</v>
      </c>
      <c r="C192" s="296" t="s">
        <v>2072</v>
      </c>
      <c r="D192" s="296" t="s">
        <v>2282</v>
      </c>
      <c r="E192" s="292" t="s">
        <v>2125</v>
      </c>
      <c r="F192" s="293" t="s">
        <v>6</v>
      </c>
      <c r="G192" s="297" t="s">
        <v>2298</v>
      </c>
      <c r="I192" s="304" t="s">
        <v>3294</v>
      </c>
    </row>
    <row r="193" spans="2:9" ht="30" x14ac:dyDescent="0.25">
      <c r="B193" s="295">
        <v>45867</v>
      </c>
      <c r="C193" s="296" t="s">
        <v>2072</v>
      </c>
      <c r="D193" s="297" t="s">
        <v>2286</v>
      </c>
      <c r="E193" s="292" t="s">
        <v>2125</v>
      </c>
      <c r="F193" s="293" t="s">
        <v>6</v>
      </c>
      <c r="G193" s="297" t="s">
        <v>2299</v>
      </c>
      <c r="I193" s="304" t="s">
        <v>3294</v>
      </c>
    </row>
    <row r="194" spans="2:9" ht="30" x14ac:dyDescent="0.25">
      <c r="B194" s="295">
        <v>45867</v>
      </c>
      <c r="C194" s="296" t="s">
        <v>2072</v>
      </c>
      <c r="D194" s="297" t="s">
        <v>2286</v>
      </c>
      <c r="E194" s="292" t="s">
        <v>2125</v>
      </c>
      <c r="F194" s="293" t="s">
        <v>6</v>
      </c>
      <c r="G194" s="297" t="s">
        <v>2300</v>
      </c>
      <c r="I194" s="304" t="s">
        <v>3294</v>
      </c>
    </row>
    <row r="195" spans="2:9" ht="30" x14ac:dyDescent="0.25">
      <c r="B195" s="295">
        <v>45867</v>
      </c>
      <c r="C195" s="296" t="s">
        <v>2072</v>
      </c>
      <c r="D195" s="297" t="s">
        <v>2286</v>
      </c>
      <c r="E195" s="292" t="s">
        <v>2125</v>
      </c>
      <c r="F195" s="293" t="s">
        <v>6</v>
      </c>
      <c r="G195" s="297" t="s">
        <v>2301</v>
      </c>
      <c r="I195" s="304" t="s">
        <v>3294</v>
      </c>
    </row>
    <row r="196" spans="2:9" ht="30" x14ac:dyDescent="0.25">
      <c r="B196" s="295">
        <v>45867</v>
      </c>
      <c r="C196" s="296" t="s">
        <v>2072</v>
      </c>
      <c r="D196" s="297" t="s">
        <v>2286</v>
      </c>
      <c r="E196" s="292" t="s">
        <v>2125</v>
      </c>
      <c r="F196" s="293" t="s">
        <v>362</v>
      </c>
      <c r="G196" s="297" t="s">
        <v>2302</v>
      </c>
      <c r="I196" s="304" t="s">
        <v>3294</v>
      </c>
    </row>
    <row r="197" spans="2:9" x14ac:dyDescent="0.25">
      <c r="B197" s="295">
        <v>45867</v>
      </c>
      <c r="C197" s="296" t="s">
        <v>2072</v>
      </c>
      <c r="D197" s="297" t="s">
        <v>2286</v>
      </c>
      <c r="E197" s="292" t="s">
        <v>2125</v>
      </c>
      <c r="F197" s="293" t="s">
        <v>6</v>
      </c>
      <c r="G197" s="297" t="s">
        <v>2303</v>
      </c>
      <c r="I197" s="304" t="s">
        <v>3294</v>
      </c>
    </row>
    <row r="198" spans="2:9" x14ac:dyDescent="0.25">
      <c r="B198" s="295">
        <v>45867</v>
      </c>
      <c r="C198" s="296" t="s">
        <v>2072</v>
      </c>
      <c r="D198" s="297" t="s">
        <v>413</v>
      </c>
      <c r="E198" s="292" t="s">
        <v>2125</v>
      </c>
      <c r="F198" s="293" t="s">
        <v>6</v>
      </c>
      <c r="G198" s="297" t="s">
        <v>2304</v>
      </c>
      <c r="I198" s="304" t="s">
        <v>3294</v>
      </c>
    </row>
    <row r="199" spans="2:9" x14ac:dyDescent="0.25">
      <c r="B199" s="295">
        <v>45868</v>
      </c>
      <c r="C199" s="296" t="s">
        <v>2072</v>
      </c>
      <c r="D199" s="297" t="s">
        <v>2286</v>
      </c>
      <c r="E199" s="292" t="s">
        <v>2125</v>
      </c>
      <c r="F199" s="293" t="s">
        <v>6</v>
      </c>
      <c r="G199" s="297" t="s">
        <v>2305</v>
      </c>
      <c r="I199" s="304" t="s">
        <v>3294</v>
      </c>
    </row>
    <row r="200" spans="2:9" x14ac:dyDescent="0.25">
      <c r="B200" s="295">
        <v>45868</v>
      </c>
      <c r="C200" s="296" t="s">
        <v>2072</v>
      </c>
      <c r="D200" s="296" t="s">
        <v>2306</v>
      </c>
      <c r="E200" s="292" t="s">
        <v>2125</v>
      </c>
      <c r="F200" s="293" t="s">
        <v>6</v>
      </c>
      <c r="G200" s="297" t="s">
        <v>2307</v>
      </c>
      <c r="I200" s="304" t="s">
        <v>3294</v>
      </c>
    </row>
    <row r="201" spans="2:9" ht="30" x14ac:dyDescent="0.25">
      <c r="B201" s="295">
        <v>45868</v>
      </c>
      <c r="C201" s="296" t="s">
        <v>2072</v>
      </c>
      <c r="D201" s="297" t="s">
        <v>2286</v>
      </c>
      <c r="E201" s="292" t="s">
        <v>2125</v>
      </c>
      <c r="F201" s="293" t="s">
        <v>6</v>
      </c>
      <c r="G201" s="297" t="s">
        <v>2308</v>
      </c>
      <c r="I201" s="304" t="s">
        <v>3294</v>
      </c>
    </row>
    <row r="202" spans="2:9" x14ac:dyDescent="0.25">
      <c r="B202" s="295">
        <v>45868</v>
      </c>
      <c r="C202" s="296" t="s">
        <v>2072</v>
      </c>
      <c r="D202" s="297" t="s">
        <v>2286</v>
      </c>
      <c r="E202" s="292" t="s">
        <v>2125</v>
      </c>
      <c r="F202" s="293" t="s">
        <v>6</v>
      </c>
      <c r="G202" s="297" t="s">
        <v>2309</v>
      </c>
      <c r="I202" s="304" t="s">
        <v>3294</v>
      </c>
    </row>
    <row r="203" spans="2:9" x14ac:dyDescent="0.25">
      <c r="B203" s="295">
        <v>45869</v>
      </c>
      <c r="C203" s="296" t="s">
        <v>2072</v>
      </c>
      <c r="D203" s="296" t="s">
        <v>2290</v>
      </c>
      <c r="E203" s="292" t="s">
        <v>2125</v>
      </c>
      <c r="F203" s="293" t="s">
        <v>6</v>
      </c>
      <c r="G203" s="297" t="s">
        <v>2310</v>
      </c>
      <c r="I203" s="304" t="s">
        <v>3294</v>
      </c>
    </row>
    <row r="204" spans="2:9" ht="45" x14ac:dyDescent="0.25">
      <c r="B204" s="295">
        <v>45869</v>
      </c>
      <c r="C204" s="296" t="s">
        <v>2072</v>
      </c>
      <c r="D204" s="297" t="s">
        <v>2286</v>
      </c>
      <c r="E204" s="292" t="s">
        <v>2125</v>
      </c>
      <c r="F204" s="293" t="s">
        <v>4</v>
      </c>
      <c r="G204" s="297" t="s">
        <v>2311</v>
      </c>
      <c r="I204" s="304" t="s">
        <v>3294</v>
      </c>
    </row>
    <row r="205" spans="2:9" x14ac:dyDescent="0.25">
      <c r="B205" s="295">
        <v>45869</v>
      </c>
      <c r="C205" s="296" t="s">
        <v>2072</v>
      </c>
      <c r="D205" s="296" t="s">
        <v>2312</v>
      </c>
      <c r="E205" s="292" t="s">
        <v>2125</v>
      </c>
      <c r="F205" s="293" t="s">
        <v>6</v>
      </c>
      <c r="G205" s="297" t="s">
        <v>2313</v>
      </c>
      <c r="I205" s="304" t="s">
        <v>3294</v>
      </c>
    </row>
    <row r="206" spans="2:9" ht="45" x14ac:dyDescent="0.25">
      <c r="B206" s="295">
        <v>45870</v>
      </c>
      <c r="C206" s="296" t="s">
        <v>2072</v>
      </c>
      <c r="D206" s="296" t="s">
        <v>2286</v>
      </c>
      <c r="E206" s="292" t="s">
        <v>2125</v>
      </c>
      <c r="F206" s="293" t="s">
        <v>6</v>
      </c>
      <c r="G206" s="297" t="s">
        <v>2314</v>
      </c>
      <c r="I206" s="304" t="s">
        <v>3294</v>
      </c>
    </row>
    <row r="207" spans="2:9" x14ac:dyDescent="0.25">
      <c r="B207" s="295">
        <v>45870</v>
      </c>
      <c r="C207" s="296" t="s">
        <v>2072</v>
      </c>
      <c r="D207" s="296" t="s">
        <v>2246</v>
      </c>
      <c r="E207" s="292" t="s">
        <v>2125</v>
      </c>
      <c r="F207" s="293" t="s">
        <v>6</v>
      </c>
      <c r="G207" s="297" t="s">
        <v>2315</v>
      </c>
      <c r="I207" s="304" t="s">
        <v>3294</v>
      </c>
    </row>
    <row r="208" spans="2:9" x14ac:dyDescent="0.25">
      <c r="B208" s="295">
        <v>45873</v>
      </c>
      <c r="C208" s="296" t="s">
        <v>2072</v>
      </c>
      <c r="D208" s="296" t="s">
        <v>2306</v>
      </c>
      <c r="E208" s="292" t="s">
        <v>2125</v>
      </c>
      <c r="F208" s="293" t="s">
        <v>6</v>
      </c>
      <c r="G208" s="297" t="s">
        <v>2316</v>
      </c>
      <c r="I208" s="304" t="s">
        <v>3294</v>
      </c>
    </row>
    <row r="209" spans="2:9" ht="45" x14ac:dyDescent="0.25">
      <c r="B209" s="295">
        <v>45873</v>
      </c>
      <c r="C209" s="296" t="s">
        <v>2072</v>
      </c>
      <c r="D209" s="297" t="s">
        <v>413</v>
      </c>
      <c r="E209" s="292" t="s">
        <v>2125</v>
      </c>
      <c r="F209" s="293" t="s">
        <v>6</v>
      </c>
      <c r="G209" s="297" t="s">
        <v>2317</v>
      </c>
      <c r="I209" s="304" t="s">
        <v>3294</v>
      </c>
    </row>
    <row r="210" spans="2:9" x14ac:dyDescent="0.25">
      <c r="B210" s="295">
        <v>45877</v>
      </c>
      <c r="C210" s="296" t="s">
        <v>2072</v>
      </c>
      <c r="D210" s="296" t="s">
        <v>2284</v>
      </c>
      <c r="E210" s="292" t="s">
        <v>2125</v>
      </c>
      <c r="F210" s="293" t="s">
        <v>6</v>
      </c>
      <c r="G210" s="297" t="s">
        <v>2318</v>
      </c>
      <c r="I210" s="304" t="s">
        <v>3294</v>
      </c>
    </row>
    <row r="211" spans="2:9" x14ac:dyDescent="0.25">
      <c r="B211" s="295">
        <v>45877</v>
      </c>
      <c r="C211" s="296" t="s">
        <v>2072</v>
      </c>
      <c r="D211" s="296" t="s">
        <v>2284</v>
      </c>
      <c r="E211" s="292" t="s">
        <v>2125</v>
      </c>
      <c r="F211" s="293" t="s">
        <v>6</v>
      </c>
      <c r="G211" s="297" t="s">
        <v>2319</v>
      </c>
      <c r="I211" s="304" t="s">
        <v>3294</v>
      </c>
    </row>
    <row r="212" spans="2:9" ht="31.5" x14ac:dyDescent="0.25">
      <c r="B212" s="295">
        <v>45877</v>
      </c>
      <c r="C212" s="296" t="s">
        <v>2072</v>
      </c>
      <c r="D212" s="296" t="s">
        <v>2282</v>
      </c>
      <c r="E212" s="292" t="s">
        <v>2125</v>
      </c>
      <c r="F212" s="293" t="s">
        <v>6</v>
      </c>
      <c r="G212" s="302" t="s">
        <v>2320</v>
      </c>
      <c r="I212" s="304" t="s">
        <v>3294</v>
      </c>
    </row>
    <row r="213" spans="2:9" x14ac:dyDescent="0.25">
      <c r="B213" s="295">
        <v>45877</v>
      </c>
      <c r="C213" s="296" t="s">
        <v>2072</v>
      </c>
      <c r="D213" s="296" t="s">
        <v>2080</v>
      </c>
      <c r="E213" s="292" t="s">
        <v>2125</v>
      </c>
      <c r="F213" s="293" t="s">
        <v>6</v>
      </c>
      <c r="G213" s="297" t="s">
        <v>2321</v>
      </c>
      <c r="I213" s="304" t="s">
        <v>3294</v>
      </c>
    </row>
    <row r="214" spans="2:9" x14ac:dyDescent="0.25">
      <c r="B214" s="295">
        <v>47343</v>
      </c>
      <c r="C214" s="296" t="s">
        <v>2072</v>
      </c>
      <c r="D214" s="296" t="s">
        <v>1816</v>
      </c>
      <c r="E214" s="292" t="s">
        <v>2125</v>
      </c>
      <c r="F214" s="293" t="s">
        <v>6</v>
      </c>
      <c r="G214" s="296" t="s">
        <v>2322</v>
      </c>
      <c r="I214" s="304" t="s">
        <v>3294</v>
      </c>
    </row>
    <row r="215" spans="2:9" x14ac:dyDescent="0.25">
      <c r="B215" s="295">
        <v>45887</v>
      </c>
      <c r="C215" s="296" t="s">
        <v>2072</v>
      </c>
      <c r="D215" s="296" t="s">
        <v>2323</v>
      </c>
      <c r="E215" s="292" t="s">
        <v>2125</v>
      </c>
      <c r="F215" s="293" t="s">
        <v>6</v>
      </c>
      <c r="G215" s="296" t="s">
        <v>2324</v>
      </c>
      <c r="I215" s="304" t="s">
        <v>3294</v>
      </c>
    </row>
    <row r="216" spans="2:9" x14ac:dyDescent="0.25">
      <c r="B216" s="295">
        <v>45888</v>
      </c>
      <c r="C216" s="296" t="s">
        <v>2072</v>
      </c>
      <c r="D216" s="296" t="s">
        <v>2325</v>
      </c>
      <c r="E216" s="292" t="s">
        <v>2125</v>
      </c>
      <c r="F216" s="293" t="s">
        <v>6</v>
      </c>
      <c r="G216" s="296" t="s">
        <v>1417</v>
      </c>
      <c r="I216" s="304" t="s">
        <v>3294</v>
      </c>
    </row>
    <row r="217" spans="2:9" x14ac:dyDescent="0.25">
      <c r="B217" s="295">
        <v>45890</v>
      </c>
      <c r="C217" s="296" t="s">
        <v>2072</v>
      </c>
      <c r="D217" s="296" t="s">
        <v>2325</v>
      </c>
      <c r="E217" s="292" t="s">
        <v>2125</v>
      </c>
      <c r="F217" s="293" t="s">
        <v>6</v>
      </c>
      <c r="G217" s="296" t="s">
        <v>1417</v>
      </c>
      <c r="I217" s="304" t="s">
        <v>3294</v>
      </c>
    </row>
    <row r="218" spans="2:9" x14ac:dyDescent="0.25">
      <c r="B218" s="295">
        <v>45891</v>
      </c>
      <c r="C218" s="296" t="s">
        <v>2072</v>
      </c>
      <c r="D218" s="296" t="s">
        <v>2286</v>
      </c>
      <c r="E218" s="292" t="s">
        <v>2125</v>
      </c>
      <c r="F218" s="293" t="s">
        <v>6</v>
      </c>
      <c r="G218" s="296" t="s">
        <v>2326</v>
      </c>
      <c r="I218" s="304" t="s">
        <v>3294</v>
      </c>
    </row>
    <row r="219" spans="2:9" x14ac:dyDescent="0.25">
      <c r="B219" s="295">
        <v>45894</v>
      </c>
      <c r="C219" s="296" t="s">
        <v>2072</v>
      </c>
      <c r="D219" s="296" t="s">
        <v>2058</v>
      </c>
      <c r="E219" s="292" t="s">
        <v>2125</v>
      </c>
      <c r="F219" s="293" t="s">
        <v>6</v>
      </c>
      <c r="G219" s="296" t="s">
        <v>2327</v>
      </c>
      <c r="I219" s="304" t="s">
        <v>3294</v>
      </c>
    </row>
    <row r="220" spans="2:9" x14ac:dyDescent="0.25">
      <c r="B220" s="295">
        <v>45896</v>
      </c>
      <c r="C220" s="296" t="s">
        <v>2072</v>
      </c>
      <c r="D220" s="296" t="s">
        <v>2328</v>
      </c>
      <c r="E220" s="292" t="s">
        <v>2125</v>
      </c>
      <c r="F220" s="293" t="s">
        <v>6</v>
      </c>
      <c r="G220" s="296" t="s">
        <v>2329</v>
      </c>
      <c r="I220" s="304" t="s">
        <v>3294</v>
      </c>
    </row>
    <row r="221" spans="2:9" x14ac:dyDescent="0.25">
      <c r="B221" s="295">
        <v>45896</v>
      </c>
      <c r="C221" s="296" t="s">
        <v>2072</v>
      </c>
      <c r="D221" s="296" t="s">
        <v>2049</v>
      </c>
      <c r="E221" s="292" t="s">
        <v>2125</v>
      </c>
      <c r="F221" s="293" t="s">
        <v>6</v>
      </c>
      <c r="G221" s="296" t="s">
        <v>2329</v>
      </c>
      <c r="I221" s="304" t="s">
        <v>3294</v>
      </c>
    </row>
    <row r="222" spans="2:9" x14ac:dyDescent="0.25">
      <c r="B222" s="295">
        <v>45896</v>
      </c>
      <c r="C222" s="296" t="s">
        <v>2072</v>
      </c>
      <c r="D222" s="296" t="s">
        <v>2049</v>
      </c>
      <c r="E222" s="292" t="s">
        <v>2125</v>
      </c>
      <c r="F222" s="293" t="s">
        <v>6</v>
      </c>
      <c r="G222" s="296" t="s">
        <v>2330</v>
      </c>
      <c r="I222" s="304" t="s">
        <v>3294</v>
      </c>
    </row>
    <row r="223" spans="2:9" x14ac:dyDescent="0.25">
      <c r="B223" s="295">
        <v>45897</v>
      </c>
      <c r="C223" s="296" t="s">
        <v>2331</v>
      </c>
      <c r="D223" s="296" t="s">
        <v>2332</v>
      </c>
      <c r="E223" s="292" t="s">
        <v>2125</v>
      </c>
      <c r="F223" s="293" t="s">
        <v>6</v>
      </c>
      <c r="G223" s="296" t="s">
        <v>2333</v>
      </c>
      <c r="I223" s="304" t="s">
        <v>3294</v>
      </c>
    </row>
    <row r="224" spans="2:9" x14ac:dyDescent="0.25">
      <c r="B224" s="295">
        <v>45897</v>
      </c>
      <c r="C224" s="296" t="s">
        <v>2331</v>
      </c>
      <c r="D224" s="296" t="s">
        <v>2184</v>
      </c>
      <c r="E224" s="292" t="s">
        <v>2125</v>
      </c>
      <c r="F224" s="293" t="s">
        <v>6</v>
      </c>
      <c r="G224" s="296" t="s">
        <v>2334</v>
      </c>
      <c r="I224" s="304" t="s">
        <v>3294</v>
      </c>
    </row>
    <row r="225" spans="2:9" x14ac:dyDescent="0.25">
      <c r="B225" s="295">
        <v>45897</v>
      </c>
      <c r="C225" s="296" t="s">
        <v>2331</v>
      </c>
      <c r="D225" s="296" t="s">
        <v>2335</v>
      </c>
      <c r="E225" s="292" t="s">
        <v>2125</v>
      </c>
      <c r="F225" s="293" t="s">
        <v>6</v>
      </c>
      <c r="G225" s="296" t="s">
        <v>2336</v>
      </c>
      <c r="I225" s="304" t="s">
        <v>3294</v>
      </c>
    </row>
    <row r="226" spans="2:9" x14ac:dyDescent="0.25">
      <c r="B226" s="295">
        <v>45897</v>
      </c>
      <c r="C226" s="296" t="s">
        <v>2331</v>
      </c>
      <c r="D226" s="296" t="s">
        <v>2337</v>
      </c>
      <c r="E226" s="292" t="s">
        <v>2125</v>
      </c>
      <c r="F226" s="293" t="s">
        <v>6</v>
      </c>
      <c r="G226" s="296" t="s">
        <v>2333</v>
      </c>
      <c r="I226" s="304" t="s">
        <v>3294</v>
      </c>
    </row>
    <row r="227" spans="2:9" x14ac:dyDescent="0.25">
      <c r="B227" s="295">
        <v>45898</v>
      </c>
      <c r="C227" s="296" t="s">
        <v>2072</v>
      </c>
      <c r="D227" s="296" t="s">
        <v>200</v>
      </c>
      <c r="E227" s="292" t="s">
        <v>2125</v>
      </c>
      <c r="F227" s="293" t="s">
        <v>6</v>
      </c>
      <c r="G227" s="296" t="s">
        <v>2338</v>
      </c>
      <c r="I227" s="304" t="s">
        <v>3294</v>
      </c>
    </row>
    <row r="228" spans="2:9" x14ac:dyDescent="0.25">
      <c r="B228" s="295">
        <v>45901</v>
      </c>
      <c r="C228" s="296" t="s">
        <v>2072</v>
      </c>
      <c r="D228" s="296" t="s">
        <v>2339</v>
      </c>
      <c r="E228" s="292" t="s">
        <v>2125</v>
      </c>
      <c r="F228" s="293" t="s">
        <v>6</v>
      </c>
      <c r="G228" s="296" t="s">
        <v>2340</v>
      </c>
      <c r="I228" s="304" t="s">
        <v>3294</v>
      </c>
    </row>
    <row r="229" spans="2:9" x14ac:dyDescent="0.25">
      <c r="B229" s="295">
        <v>45902</v>
      </c>
      <c r="C229" s="296" t="s">
        <v>2072</v>
      </c>
      <c r="D229" s="296" t="s">
        <v>2282</v>
      </c>
      <c r="E229" s="292" t="s">
        <v>2125</v>
      </c>
      <c r="F229" s="293" t="s">
        <v>6</v>
      </c>
      <c r="G229" s="296" t="s">
        <v>2341</v>
      </c>
      <c r="I229" s="304" t="s">
        <v>3294</v>
      </c>
    </row>
    <row r="230" spans="2:9" x14ac:dyDescent="0.25">
      <c r="B230" s="295">
        <v>45903</v>
      </c>
      <c r="C230" s="296" t="s">
        <v>2072</v>
      </c>
      <c r="D230" s="296" t="s">
        <v>2282</v>
      </c>
      <c r="E230" s="292" t="s">
        <v>2125</v>
      </c>
      <c r="F230" s="293" t="s">
        <v>6</v>
      </c>
      <c r="G230" s="296" t="s">
        <v>2341</v>
      </c>
      <c r="I230" s="304" t="s">
        <v>3294</v>
      </c>
    </row>
    <row r="231" spans="2:9" x14ac:dyDescent="0.25">
      <c r="B231" s="295">
        <v>45903</v>
      </c>
      <c r="C231" s="296" t="s">
        <v>2072</v>
      </c>
      <c r="D231" s="296" t="s">
        <v>2282</v>
      </c>
      <c r="E231" s="292" t="s">
        <v>2125</v>
      </c>
      <c r="F231" s="293" t="s">
        <v>6</v>
      </c>
      <c r="G231" s="296" t="s">
        <v>2342</v>
      </c>
      <c r="I231" s="304" t="s">
        <v>3294</v>
      </c>
    </row>
    <row r="232" spans="2:9" x14ac:dyDescent="0.25">
      <c r="B232" s="295">
        <v>45903</v>
      </c>
      <c r="C232" s="296" t="s">
        <v>2072</v>
      </c>
      <c r="D232" s="296" t="s">
        <v>2282</v>
      </c>
      <c r="E232" s="292" t="s">
        <v>2125</v>
      </c>
      <c r="F232" s="293" t="s">
        <v>6</v>
      </c>
      <c r="G232" s="296" t="s">
        <v>2343</v>
      </c>
      <c r="I232" s="304" t="s">
        <v>3294</v>
      </c>
    </row>
    <row r="233" spans="2:9" x14ac:dyDescent="0.25">
      <c r="B233" s="295">
        <v>45903</v>
      </c>
      <c r="C233" s="296" t="s">
        <v>2072</v>
      </c>
      <c r="D233" s="296" t="s">
        <v>2282</v>
      </c>
      <c r="E233" s="292" t="s">
        <v>2125</v>
      </c>
      <c r="F233" s="293" t="s">
        <v>6</v>
      </c>
      <c r="G233" s="296" t="s">
        <v>2344</v>
      </c>
      <c r="I233" s="304" t="s">
        <v>3294</v>
      </c>
    </row>
    <row r="234" spans="2:9" x14ac:dyDescent="0.25">
      <c r="B234" s="295">
        <v>45904</v>
      </c>
      <c r="C234" s="296" t="s">
        <v>2072</v>
      </c>
      <c r="D234" s="296" t="s">
        <v>1816</v>
      </c>
      <c r="E234" s="292" t="s">
        <v>2125</v>
      </c>
      <c r="F234" s="293" t="s">
        <v>6</v>
      </c>
      <c r="G234" s="296" t="s">
        <v>2345</v>
      </c>
      <c r="I234" s="304" t="s">
        <v>3294</v>
      </c>
    </row>
    <row r="235" spans="2:9" x14ac:dyDescent="0.25">
      <c r="B235" s="295">
        <v>45905</v>
      </c>
      <c r="C235" s="296" t="s">
        <v>2072</v>
      </c>
      <c r="D235" s="296" t="s">
        <v>2282</v>
      </c>
      <c r="E235" s="292" t="s">
        <v>2125</v>
      </c>
      <c r="F235" s="293" t="s">
        <v>6</v>
      </c>
      <c r="G235" s="296" t="s">
        <v>2346</v>
      </c>
      <c r="I235" s="304" t="s">
        <v>3294</v>
      </c>
    </row>
    <row r="236" spans="2:9" x14ac:dyDescent="0.25">
      <c r="B236" s="295">
        <v>45908</v>
      </c>
      <c r="C236" s="296" t="s">
        <v>2072</v>
      </c>
      <c r="D236" s="296" t="s">
        <v>1816</v>
      </c>
      <c r="E236" s="292" t="s">
        <v>2125</v>
      </c>
      <c r="F236" s="293" t="s">
        <v>6</v>
      </c>
      <c r="G236" s="296" t="s">
        <v>2347</v>
      </c>
      <c r="I236" s="304" t="s">
        <v>3294</v>
      </c>
    </row>
    <row r="237" spans="2:9" x14ac:dyDescent="0.25">
      <c r="B237" s="295">
        <v>45908</v>
      </c>
      <c r="C237" s="296" t="s">
        <v>2072</v>
      </c>
      <c r="D237" s="296" t="s">
        <v>2286</v>
      </c>
      <c r="E237" s="292" t="s">
        <v>2125</v>
      </c>
      <c r="F237" s="293" t="s">
        <v>6</v>
      </c>
      <c r="G237" s="296" t="s">
        <v>2348</v>
      </c>
      <c r="I237" s="304" t="s">
        <v>3294</v>
      </c>
    </row>
    <row r="238" spans="2:9" x14ac:dyDescent="0.25">
      <c r="B238" s="295">
        <v>45909</v>
      </c>
      <c r="C238" s="296" t="s">
        <v>2072</v>
      </c>
      <c r="D238" s="296" t="s">
        <v>1816</v>
      </c>
      <c r="E238" s="292" t="s">
        <v>2125</v>
      </c>
      <c r="F238" s="293" t="s">
        <v>6</v>
      </c>
      <c r="G238" s="296" t="s">
        <v>2349</v>
      </c>
      <c r="I238" s="304" t="s">
        <v>3294</v>
      </c>
    </row>
    <row r="239" spans="2:9" x14ac:dyDescent="0.25">
      <c r="B239" s="295">
        <v>45922</v>
      </c>
      <c r="C239" s="296" t="s">
        <v>2072</v>
      </c>
      <c r="D239" s="296" t="s">
        <v>2350</v>
      </c>
      <c r="E239" s="292" t="s">
        <v>2125</v>
      </c>
      <c r="F239" s="293" t="s">
        <v>6</v>
      </c>
      <c r="G239" s="296" t="s">
        <v>2351</v>
      </c>
      <c r="I239" s="304" t="s">
        <v>3294</v>
      </c>
    </row>
    <row r="240" spans="2:9" x14ac:dyDescent="0.25">
      <c r="B240" s="295">
        <v>45923</v>
      </c>
      <c r="C240" s="296" t="s">
        <v>2072</v>
      </c>
      <c r="D240" s="296" t="s">
        <v>1780</v>
      </c>
      <c r="E240" s="292" t="s">
        <v>2125</v>
      </c>
      <c r="F240" s="293" t="s">
        <v>6</v>
      </c>
      <c r="G240" s="296" t="s">
        <v>2352</v>
      </c>
      <c r="I240" s="304" t="s">
        <v>3294</v>
      </c>
    </row>
    <row r="241" spans="2:9" x14ac:dyDescent="0.25">
      <c r="B241" s="295">
        <v>45923</v>
      </c>
      <c r="C241" s="296" t="s">
        <v>2072</v>
      </c>
      <c r="D241" s="296" t="s">
        <v>2328</v>
      </c>
      <c r="E241" s="292" t="s">
        <v>2125</v>
      </c>
      <c r="F241" s="293" t="s">
        <v>6</v>
      </c>
      <c r="G241" s="296" t="s">
        <v>2353</v>
      </c>
      <c r="I241" s="304" t="s">
        <v>3294</v>
      </c>
    </row>
    <row r="242" spans="2:9" x14ac:dyDescent="0.25">
      <c r="B242" s="295">
        <v>45925</v>
      </c>
      <c r="C242" s="296" t="s">
        <v>2072</v>
      </c>
      <c r="D242" s="296" t="s">
        <v>1780</v>
      </c>
      <c r="E242" s="292" t="s">
        <v>2125</v>
      </c>
      <c r="F242" s="293" t="s">
        <v>6</v>
      </c>
      <c r="G242" s="296" t="s">
        <v>2354</v>
      </c>
      <c r="I242" s="304" t="s">
        <v>3294</v>
      </c>
    </row>
    <row r="243" spans="2:9" x14ac:dyDescent="0.25">
      <c r="B243" s="295">
        <v>45930</v>
      </c>
      <c r="C243" s="296" t="s">
        <v>2072</v>
      </c>
      <c r="D243" s="296" t="s">
        <v>1760</v>
      </c>
      <c r="E243" s="292" t="s">
        <v>2125</v>
      </c>
      <c r="F243" s="293" t="s">
        <v>6</v>
      </c>
      <c r="G243" s="296" t="s">
        <v>2355</v>
      </c>
      <c r="I243" s="304" t="s">
        <v>3294</v>
      </c>
    </row>
    <row r="244" spans="2:9" x14ac:dyDescent="0.25">
      <c r="B244" s="295">
        <v>45931</v>
      </c>
      <c r="C244" s="296" t="s">
        <v>2072</v>
      </c>
      <c r="D244" s="296" t="s">
        <v>406</v>
      </c>
      <c r="E244" s="292" t="s">
        <v>2125</v>
      </c>
      <c r="F244" s="293" t="s">
        <v>6</v>
      </c>
      <c r="G244" s="296" t="s">
        <v>2356</v>
      </c>
      <c r="I244" s="304" t="s">
        <v>3294</v>
      </c>
    </row>
    <row r="245" spans="2:9" x14ac:dyDescent="0.25">
      <c r="B245" s="295">
        <v>45932</v>
      </c>
      <c r="C245" s="296" t="s">
        <v>2072</v>
      </c>
      <c r="D245" s="296" t="s">
        <v>406</v>
      </c>
      <c r="E245" s="292" t="s">
        <v>2125</v>
      </c>
      <c r="F245" s="293" t="s">
        <v>6</v>
      </c>
      <c r="G245" s="296" t="s">
        <v>2356</v>
      </c>
      <c r="I245" s="304" t="s">
        <v>3294</v>
      </c>
    </row>
    <row r="246" spans="2:9" x14ac:dyDescent="0.25">
      <c r="B246" s="295">
        <v>45933</v>
      </c>
      <c r="C246" s="296" t="s">
        <v>2072</v>
      </c>
      <c r="D246" s="296" t="s">
        <v>406</v>
      </c>
      <c r="E246" s="292" t="s">
        <v>2125</v>
      </c>
      <c r="F246" s="293" t="s">
        <v>6</v>
      </c>
      <c r="G246" s="296" t="s">
        <v>2356</v>
      </c>
      <c r="I246" s="304" t="s">
        <v>3294</v>
      </c>
    </row>
    <row r="247" spans="2:9" x14ac:dyDescent="0.25">
      <c r="B247" s="295">
        <v>45933</v>
      </c>
      <c r="C247" s="296" t="s">
        <v>2072</v>
      </c>
      <c r="D247" s="296" t="s">
        <v>406</v>
      </c>
      <c r="E247" s="292" t="s">
        <v>2125</v>
      </c>
      <c r="F247" s="293" t="s">
        <v>6</v>
      </c>
      <c r="G247" s="296" t="s">
        <v>2357</v>
      </c>
      <c r="I247" s="304" t="s">
        <v>3294</v>
      </c>
    </row>
    <row r="248" spans="2:9" x14ac:dyDescent="0.25">
      <c r="B248" s="295">
        <v>45936</v>
      </c>
      <c r="C248" s="296" t="s">
        <v>2072</v>
      </c>
      <c r="D248" s="296" t="s">
        <v>406</v>
      </c>
      <c r="E248" s="292" t="s">
        <v>2125</v>
      </c>
      <c r="F248" s="293" t="s">
        <v>6</v>
      </c>
      <c r="G248" s="296" t="s">
        <v>2356</v>
      </c>
      <c r="I248" s="304" t="s">
        <v>3294</v>
      </c>
    </row>
    <row r="249" spans="2:9" x14ac:dyDescent="0.25">
      <c r="B249" s="295">
        <v>45936</v>
      </c>
      <c r="C249" s="296" t="s">
        <v>2072</v>
      </c>
      <c r="D249" s="296" t="s">
        <v>406</v>
      </c>
      <c r="E249" s="292" t="s">
        <v>2125</v>
      </c>
      <c r="F249" s="293" t="s">
        <v>6</v>
      </c>
      <c r="G249" s="296" t="s">
        <v>2357</v>
      </c>
      <c r="I249" s="304" t="s">
        <v>3294</v>
      </c>
    </row>
    <row r="250" spans="2:9" x14ac:dyDescent="0.25">
      <c r="B250" s="295">
        <v>45936</v>
      </c>
      <c r="C250" s="296" t="s">
        <v>2072</v>
      </c>
      <c r="D250" s="296" t="s">
        <v>2358</v>
      </c>
      <c r="E250" s="292" t="s">
        <v>2125</v>
      </c>
      <c r="F250" s="293" t="s">
        <v>6</v>
      </c>
      <c r="G250" s="296" t="s">
        <v>2359</v>
      </c>
      <c r="I250" s="304" t="s">
        <v>3294</v>
      </c>
    </row>
    <row r="251" spans="2:9" x14ac:dyDescent="0.25">
      <c r="B251" s="295">
        <v>45937</v>
      </c>
      <c r="C251" s="296" t="s">
        <v>2072</v>
      </c>
      <c r="D251" s="296" t="s">
        <v>406</v>
      </c>
      <c r="E251" s="292" t="s">
        <v>2125</v>
      </c>
      <c r="F251" s="293" t="s">
        <v>6</v>
      </c>
      <c r="G251" s="296" t="s">
        <v>2356</v>
      </c>
      <c r="I251" s="304" t="s">
        <v>3294</v>
      </c>
    </row>
    <row r="252" spans="2:9" x14ac:dyDescent="0.25">
      <c r="B252" s="295">
        <v>45937</v>
      </c>
      <c r="C252" s="296" t="s">
        <v>2072</v>
      </c>
      <c r="D252" s="296" t="s">
        <v>406</v>
      </c>
      <c r="E252" s="292" t="s">
        <v>2125</v>
      </c>
      <c r="F252" s="293" t="s">
        <v>6</v>
      </c>
      <c r="G252" s="296" t="s">
        <v>2357</v>
      </c>
      <c r="I252" s="304" t="s">
        <v>3294</v>
      </c>
    </row>
    <row r="253" spans="2:9" x14ac:dyDescent="0.25">
      <c r="B253" s="295">
        <v>45937</v>
      </c>
      <c r="C253" s="296" t="s">
        <v>2072</v>
      </c>
      <c r="D253" s="296" t="s">
        <v>2360</v>
      </c>
      <c r="E253" s="292" t="s">
        <v>2125</v>
      </c>
      <c r="F253" s="293" t="s">
        <v>6</v>
      </c>
      <c r="G253" s="296" t="s">
        <v>2361</v>
      </c>
      <c r="I253" s="304" t="s">
        <v>3294</v>
      </c>
    </row>
    <row r="254" spans="2:9" x14ac:dyDescent="0.25">
      <c r="B254" s="295">
        <v>45938</v>
      </c>
      <c r="C254" s="296" t="s">
        <v>2072</v>
      </c>
      <c r="D254" s="296" t="s">
        <v>406</v>
      </c>
      <c r="E254" s="292" t="s">
        <v>2125</v>
      </c>
      <c r="F254" s="293" t="s">
        <v>6</v>
      </c>
      <c r="G254" s="296" t="s">
        <v>2356</v>
      </c>
      <c r="I254" s="304" t="s">
        <v>3294</v>
      </c>
    </row>
    <row r="255" spans="2:9" x14ac:dyDescent="0.25">
      <c r="B255" s="295">
        <v>45939</v>
      </c>
      <c r="C255" s="296" t="s">
        <v>2072</v>
      </c>
      <c r="D255" s="296" t="s">
        <v>406</v>
      </c>
      <c r="E255" s="292" t="s">
        <v>2125</v>
      </c>
      <c r="F255" s="293" t="s">
        <v>6</v>
      </c>
      <c r="G255" s="296" t="s">
        <v>2356</v>
      </c>
      <c r="I255" s="304" t="s">
        <v>3294</v>
      </c>
    </row>
    <row r="256" spans="2:9" x14ac:dyDescent="0.25">
      <c r="B256" s="295">
        <v>45940</v>
      </c>
      <c r="C256" s="296" t="s">
        <v>2072</v>
      </c>
      <c r="D256" s="296" t="s">
        <v>406</v>
      </c>
      <c r="E256" s="292" t="s">
        <v>2125</v>
      </c>
      <c r="F256" s="293" t="s">
        <v>6</v>
      </c>
      <c r="G256" s="296" t="s">
        <v>2356</v>
      </c>
      <c r="I256" s="304" t="s">
        <v>3294</v>
      </c>
    </row>
    <row r="257" spans="2:9" x14ac:dyDescent="0.25">
      <c r="B257" s="295">
        <v>45943</v>
      </c>
      <c r="C257" s="296" t="s">
        <v>2072</v>
      </c>
      <c r="D257" s="296" t="s">
        <v>406</v>
      </c>
      <c r="E257" s="292" t="s">
        <v>2125</v>
      </c>
      <c r="F257" s="293" t="s">
        <v>6</v>
      </c>
      <c r="G257" s="296" t="s">
        <v>1906</v>
      </c>
      <c r="I257" s="304" t="s">
        <v>3294</v>
      </c>
    </row>
    <row r="258" spans="2:9" x14ac:dyDescent="0.25">
      <c r="B258" s="295">
        <v>45944</v>
      </c>
      <c r="C258" s="296" t="s">
        <v>2072</v>
      </c>
      <c r="D258" s="296" t="s">
        <v>406</v>
      </c>
      <c r="E258" s="292" t="s">
        <v>2125</v>
      </c>
      <c r="F258" s="293" t="s">
        <v>6</v>
      </c>
      <c r="G258" s="296" t="s">
        <v>1906</v>
      </c>
      <c r="I258" s="304" t="s">
        <v>3294</v>
      </c>
    </row>
    <row r="259" spans="2:9" x14ac:dyDescent="0.25">
      <c r="B259" s="295">
        <v>45945</v>
      </c>
      <c r="C259" s="296" t="s">
        <v>2072</v>
      </c>
      <c r="D259" s="296" t="s">
        <v>406</v>
      </c>
      <c r="E259" s="292" t="s">
        <v>2125</v>
      </c>
      <c r="F259" s="293" t="s">
        <v>6</v>
      </c>
      <c r="G259" s="296" t="s">
        <v>1906</v>
      </c>
      <c r="I259" s="304" t="s">
        <v>3294</v>
      </c>
    </row>
    <row r="260" spans="2:9" x14ac:dyDescent="0.25">
      <c r="B260" s="295">
        <v>45946</v>
      </c>
      <c r="C260" s="296" t="s">
        <v>2072</v>
      </c>
      <c r="D260" s="296" t="s">
        <v>406</v>
      </c>
      <c r="E260" s="292" t="s">
        <v>2125</v>
      </c>
      <c r="F260" s="293" t="s">
        <v>6</v>
      </c>
      <c r="G260" s="296" t="s">
        <v>1906</v>
      </c>
      <c r="I260" s="304" t="s">
        <v>3294</v>
      </c>
    </row>
    <row r="261" spans="2:9" x14ac:dyDescent="0.25">
      <c r="B261" s="295">
        <v>45947</v>
      </c>
      <c r="C261" s="296" t="s">
        <v>2072</v>
      </c>
      <c r="D261" s="296" t="s">
        <v>406</v>
      </c>
      <c r="E261" s="292" t="s">
        <v>2125</v>
      </c>
      <c r="F261" s="293" t="s">
        <v>6</v>
      </c>
      <c r="G261" s="296" t="s">
        <v>1906</v>
      </c>
      <c r="I261" s="304" t="s">
        <v>3294</v>
      </c>
    </row>
    <row r="262" spans="2:9" x14ac:dyDescent="0.25">
      <c r="B262" s="295">
        <v>45950</v>
      </c>
      <c r="C262" s="296" t="s">
        <v>2072</v>
      </c>
      <c r="D262" s="296" t="s">
        <v>406</v>
      </c>
      <c r="E262" s="292" t="s">
        <v>2125</v>
      </c>
      <c r="F262" s="293" t="s">
        <v>6</v>
      </c>
      <c r="G262" s="296" t="s">
        <v>1906</v>
      </c>
      <c r="I262" s="304" t="s">
        <v>3294</v>
      </c>
    </row>
    <row r="263" spans="2:9" x14ac:dyDescent="0.25">
      <c r="B263" s="295">
        <v>45951</v>
      </c>
      <c r="C263" s="296" t="s">
        <v>2072</v>
      </c>
      <c r="D263" s="296" t="s">
        <v>406</v>
      </c>
      <c r="E263" s="292" t="s">
        <v>2125</v>
      </c>
      <c r="F263" s="293" t="s">
        <v>6</v>
      </c>
      <c r="G263" s="296" t="s">
        <v>1906</v>
      </c>
      <c r="I263" s="304" t="s">
        <v>3294</v>
      </c>
    </row>
    <row r="264" spans="2:9" x14ac:dyDescent="0.25">
      <c r="B264" s="295">
        <v>45951</v>
      </c>
      <c r="C264" s="296" t="s">
        <v>2072</v>
      </c>
      <c r="D264" s="296" t="s">
        <v>1963</v>
      </c>
      <c r="E264" s="292" t="s">
        <v>2125</v>
      </c>
      <c r="F264" s="293" t="s">
        <v>6</v>
      </c>
      <c r="G264" s="296" t="s">
        <v>2362</v>
      </c>
      <c r="I264" s="304" t="s">
        <v>3294</v>
      </c>
    </row>
    <row r="265" spans="2:9" x14ac:dyDescent="0.25">
      <c r="B265" s="295">
        <v>45952</v>
      </c>
      <c r="C265" s="296" t="s">
        <v>2072</v>
      </c>
      <c r="D265" s="296" t="s">
        <v>406</v>
      </c>
      <c r="E265" s="292" t="s">
        <v>2125</v>
      </c>
      <c r="F265" s="293" t="s">
        <v>6</v>
      </c>
      <c r="G265" s="296" t="s">
        <v>1906</v>
      </c>
      <c r="I265" s="304" t="s">
        <v>3294</v>
      </c>
    </row>
    <row r="266" spans="2:9" x14ac:dyDescent="0.25">
      <c r="B266" s="295">
        <v>45953</v>
      </c>
      <c r="C266" s="296" t="s">
        <v>2072</v>
      </c>
      <c r="D266" s="296" t="s">
        <v>406</v>
      </c>
      <c r="E266" s="292" t="s">
        <v>2125</v>
      </c>
      <c r="F266" s="293" t="s">
        <v>6</v>
      </c>
      <c r="G266" s="296" t="s">
        <v>1906</v>
      </c>
      <c r="I266" s="304" t="s">
        <v>3294</v>
      </c>
    </row>
    <row r="267" spans="2:9" x14ac:dyDescent="0.25">
      <c r="B267" s="295">
        <v>45953</v>
      </c>
      <c r="C267" s="296" t="s">
        <v>2072</v>
      </c>
      <c r="D267" s="296" t="s">
        <v>2363</v>
      </c>
      <c r="E267" s="292" t="s">
        <v>2125</v>
      </c>
      <c r="F267" s="293" t="s">
        <v>6</v>
      </c>
      <c r="G267" s="296" t="s">
        <v>2364</v>
      </c>
      <c r="I267" s="304" t="s">
        <v>3294</v>
      </c>
    </row>
    <row r="268" spans="2:9" x14ac:dyDescent="0.25">
      <c r="B268" s="295">
        <v>45953</v>
      </c>
      <c r="C268" s="296" t="s">
        <v>2072</v>
      </c>
      <c r="D268" s="296" t="s">
        <v>2363</v>
      </c>
      <c r="E268" s="292" t="s">
        <v>2125</v>
      </c>
      <c r="F268" s="293" t="s">
        <v>6</v>
      </c>
      <c r="G268" s="296" t="s">
        <v>2365</v>
      </c>
      <c r="I268" s="304" t="s">
        <v>3294</v>
      </c>
    </row>
    <row r="269" spans="2:9" x14ac:dyDescent="0.25">
      <c r="B269" s="295">
        <v>45954</v>
      </c>
      <c r="C269" s="296" t="s">
        <v>2072</v>
      </c>
      <c r="D269" s="296" t="s">
        <v>406</v>
      </c>
      <c r="E269" s="292" t="s">
        <v>2125</v>
      </c>
      <c r="F269" s="293" t="s">
        <v>6</v>
      </c>
      <c r="G269" s="296" t="s">
        <v>1906</v>
      </c>
      <c r="I269" s="304" t="s">
        <v>3294</v>
      </c>
    </row>
    <row r="270" spans="2:9" x14ac:dyDescent="0.25">
      <c r="B270" s="295">
        <v>45957</v>
      </c>
      <c r="C270" s="296" t="s">
        <v>2072</v>
      </c>
      <c r="D270" s="296" t="s">
        <v>406</v>
      </c>
      <c r="E270" s="292" t="s">
        <v>2125</v>
      </c>
      <c r="F270" s="293" t="s">
        <v>6</v>
      </c>
      <c r="G270" s="296" t="s">
        <v>1906</v>
      </c>
      <c r="I270" s="304" t="s">
        <v>3294</v>
      </c>
    </row>
    <row r="271" spans="2:9" x14ac:dyDescent="0.25">
      <c r="B271" s="295">
        <v>45957</v>
      </c>
      <c r="C271" s="296" t="s">
        <v>2072</v>
      </c>
      <c r="D271" s="296" t="s">
        <v>2363</v>
      </c>
      <c r="E271" s="292" t="s">
        <v>2125</v>
      </c>
      <c r="F271" s="293" t="s">
        <v>6</v>
      </c>
      <c r="G271" s="296" t="s">
        <v>2366</v>
      </c>
      <c r="I271" s="304" t="s">
        <v>3294</v>
      </c>
    </row>
    <row r="272" spans="2:9" x14ac:dyDescent="0.25">
      <c r="B272" s="295">
        <v>45958</v>
      </c>
      <c r="C272" s="296" t="s">
        <v>2072</v>
      </c>
      <c r="D272" s="296" t="s">
        <v>406</v>
      </c>
      <c r="E272" s="292" t="s">
        <v>2125</v>
      </c>
      <c r="F272" s="293" t="s">
        <v>6</v>
      </c>
      <c r="G272" s="296" t="s">
        <v>1906</v>
      </c>
      <c r="I272" s="304" t="s">
        <v>3294</v>
      </c>
    </row>
    <row r="273" spans="2:9" x14ac:dyDescent="0.25">
      <c r="B273" s="295">
        <v>45958</v>
      </c>
      <c r="C273" s="296" t="s">
        <v>2072</v>
      </c>
      <c r="D273" s="296" t="s">
        <v>2080</v>
      </c>
      <c r="E273" s="292" t="s">
        <v>2125</v>
      </c>
      <c r="F273" s="293" t="s">
        <v>6</v>
      </c>
      <c r="G273" s="296" t="s">
        <v>2367</v>
      </c>
      <c r="I273" s="304" t="s">
        <v>3294</v>
      </c>
    </row>
    <row r="274" spans="2:9" x14ac:dyDescent="0.25">
      <c r="B274" s="295">
        <v>45958</v>
      </c>
      <c r="C274" s="296" t="s">
        <v>2072</v>
      </c>
      <c r="D274" s="296" t="s">
        <v>2080</v>
      </c>
      <c r="E274" s="292" t="s">
        <v>2125</v>
      </c>
      <c r="F274" s="293" t="s">
        <v>6</v>
      </c>
      <c r="G274" s="296" t="s">
        <v>2368</v>
      </c>
      <c r="I274" s="304" t="s">
        <v>3294</v>
      </c>
    </row>
    <row r="275" spans="2:9" x14ac:dyDescent="0.25">
      <c r="B275" s="295">
        <v>45959</v>
      </c>
      <c r="C275" s="296" t="s">
        <v>2072</v>
      </c>
      <c r="D275" s="296" t="s">
        <v>406</v>
      </c>
      <c r="E275" s="292" t="s">
        <v>2125</v>
      </c>
      <c r="F275" s="293" t="s">
        <v>6</v>
      </c>
      <c r="G275" s="296" t="s">
        <v>1906</v>
      </c>
      <c r="I275" s="304" t="s">
        <v>3294</v>
      </c>
    </row>
    <row r="276" spans="2:9" x14ac:dyDescent="0.25">
      <c r="B276" s="295">
        <v>45960</v>
      </c>
      <c r="C276" s="296" t="s">
        <v>2072</v>
      </c>
      <c r="D276" s="296" t="s">
        <v>406</v>
      </c>
      <c r="E276" s="292" t="s">
        <v>2125</v>
      </c>
      <c r="F276" s="293" t="s">
        <v>6</v>
      </c>
      <c r="G276" s="296" t="s">
        <v>1906</v>
      </c>
      <c r="I276" s="304" t="s">
        <v>3294</v>
      </c>
    </row>
    <row r="277" spans="2:9" x14ac:dyDescent="0.25">
      <c r="B277" s="295">
        <v>45960</v>
      </c>
      <c r="C277" s="296" t="s">
        <v>2072</v>
      </c>
      <c r="D277" s="296" t="s">
        <v>406</v>
      </c>
      <c r="E277" s="292" t="s">
        <v>2125</v>
      </c>
      <c r="F277" s="293" t="s">
        <v>6</v>
      </c>
      <c r="G277" s="296" t="s">
        <v>1906</v>
      </c>
      <c r="I277" s="304" t="s">
        <v>3294</v>
      </c>
    </row>
    <row r="278" spans="2:9" x14ac:dyDescent="0.25">
      <c r="B278" s="295">
        <v>45960</v>
      </c>
      <c r="C278" s="296" t="s">
        <v>2072</v>
      </c>
      <c r="D278" s="296" t="s">
        <v>2363</v>
      </c>
      <c r="E278" s="292" t="s">
        <v>2125</v>
      </c>
      <c r="F278" s="293" t="s">
        <v>6</v>
      </c>
      <c r="G278" s="296" t="s">
        <v>2364</v>
      </c>
      <c r="I278" s="304" t="s">
        <v>3294</v>
      </c>
    </row>
    <row r="279" spans="2:9" x14ac:dyDescent="0.25">
      <c r="B279" s="295">
        <v>45960</v>
      </c>
      <c r="C279" s="296" t="s">
        <v>2072</v>
      </c>
      <c r="D279" s="296" t="s">
        <v>2363</v>
      </c>
      <c r="E279" s="292" t="s">
        <v>2125</v>
      </c>
      <c r="F279" s="293" t="s">
        <v>6</v>
      </c>
      <c r="G279" s="296" t="s">
        <v>2369</v>
      </c>
      <c r="I279" s="304" t="s">
        <v>3294</v>
      </c>
    </row>
    <row r="280" spans="2:9" x14ac:dyDescent="0.25">
      <c r="B280" s="295">
        <v>45960</v>
      </c>
      <c r="C280" s="296" t="s">
        <v>2072</v>
      </c>
      <c r="D280" s="296" t="s">
        <v>2363</v>
      </c>
      <c r="E280" s="292" t="s">
        <v>2125</v>
      </c>
      <c r="F280" s="293" t="s">
        <v>6</v>
      </c>
      <c r="G280" s="296" t="s">
        <v>2370</v>
      </c>
      <c r="I280" s="304" t="s">
        <v>3294</v>
      </c>
    </row>
    <row r="281" spans="2:9" x14ac:dyDescent="0.25">
      <c r="B281" s="295">
        <v>45961</v>
      </c>
      <c r="C281" s="296" t="s">
        <v>2072</v>
      </c>
      <c r="D281" s="296" t="s">
        <v>406</v>
      </c>
      <c r="E281" s="292" t="s">
        <v>2125</v>
      </c>
      <c r="F281" s="293" t="s">
        <v>6</v>
      </c>
      <c r="G281" s="296" t="s">
        <v>1906</v>
      </c>
      <c r="I281" s="304" t="s">
        <v>3294</v>
      </c>
    </row>
    <row r="282" spans="2:9" x14ac:dyDescent="0.25">
      <c r="B282" s="295">
        <v>45964</v>
      </c>
      <c r="C282" s="296" t="s">
        <v>2072</v>
      </c>
      <c r="D282" s="296" t="s">
        <v>406</v>
      </c>
      <c r="E282" s="292" t="s">
        <v>2125</v>
      </c>
      <c r="F282" s="293" t="s">
        <v>6</v>
      </c>
      <c r="G282" s="296" t="s">
        <v>1906</v>
      </c>
      <c r="I282" s="304" t="s">
        <v>3294</v>
      </c>
    </row>
    <row r="283" spans="2:9" x14ac:dyDescent="0.25">
      <c r="B283" s="295">
        <v>45964</v>
      </c>
      <c r="C283" s="296" t="s">
        <v>2072</v>
      </c>
      <c r="D283" s="296" t="s">
        <v>406</v>
      </c>
      <c r="E283" s="292" t="s">
        <v>2125</v>
      </c>
      <c r="F283" s="293" t="s">
        <v>362</v>
      </c>
      <c r="G283" s="296" t="s">
        <v>2371</v>
      </c>
      <c r="I283" s="304" t="s">
        <v>3294</v>
      </c>
    </row>
    <row r="284" spans="2:9" x14ac:dyDescent="0.25">
      <c r="B284" s="295">
        <v>45965</v>
      </c>
      <c r="C284" s="296" t="s">
        <v>2072</v>
      </c>
      <c r="D284" s="296" t="s">
        <v>406</v>
      </c>
      <c r="E284" s="292" t="s">
        <v>2125</v>
      </c>
      <c r="F284" s="293" t="s">
        <v>6</v>
      </c>
      <c r="G284" s="296" t="s">
        <v>1906</v>
      </c>
      <c r="I284" s="304" t="s">
        <v>3294</v>
      </c>
    </row>
    <row r="285" spans="2:9" x14ac:dyDescent="0.25">
      <c r="B285" s="295">
        <v>45965</v>
      </c>
      <c r="C285" s="296" t="s">
        <v>2072</v>
      </c>
      <c r="D285" s="296" t="s">
        <v>406</v>
      </c>
      <c r="E285" s="292" t="s">
        <v>2125</v>
      </c>
      <c r="F285" s="293" t="s">
        <v>362</v>
      </c>
      <c r="G285" s="296" t="s">
        <v>2371</v>
      </c>
      <c r="I285" s="304" t="s">
        <v>3294</v>
      </c>
    </row>
    <row r="286" spans="2:9" x14ac:dyDescent="0.25">
      <c r="B286" s="295">
        <v>45965</v>
      </c>
      <c r="C286" s="296" t="s">
        <v>2072</v>
      </c>
      <c r="D286" s="296" t="s">
        <v>406</v>
      </c>
      <c r="E286" s="292" t="s">
        <v>2125</v>
      </c>
      <c r="F286" s="293" t="s">
        <v>362</v>
      </c>
      <c r="G286" s="296" t="s">
        <v>2372</v>
      </c>
      <c r="I286" s="304" t="s">
        <v>3294</v>
      </c>
    </row>
    <row r="287" spans="2:9" x14ac:dyDescent="0.25">
      <c r="B287" s="295">
        <v>45965</v>
      </c>
      <c r="C287" s="296" t="s">
        <v>2072</v>
      </c>
      <c r="D287" s="296" t="s">
        <v>2363</v>
      </c>
      <c r="E287" s="292" t="s">
        <v>2125</v>
      </c>
      <c r="F287" s="293" t="s">
        <v>6</v>
      </c>
      <c r="G287" s="296" t="s">
        <v>2373</v>
      </c>
      <c r="I287" s="304" t="s">
        <v>3294</v>
      </c>
    </row>
    <row r="288" spans="2:9" x14ac:dyDescent="0.25">
      <c r="B288" s="295">
        <v>45966</v>
      </c>
      <c r="C288" s="296" t="s">
        <v>2072</v>
      </c>
      <c r="D288" s="296" t="s">
        <v>406</v>
      </c>
      <c r="E288" s="292" t="s">
        <v>2125</v>
      </c>
      <c r="F288" s="293" t="s">
        <v>6</v>
      </c>
      <c r="G288" s="296" t="s">
        <v>1906</v>
      </c>
      <c r="I288" s="304" t="s">
        <v>3294</v>
      </c>
    </row>
    <row r="289" spans="2:9" x14ac:dyDescent="0.25">
      <c r="B289" s="295">
        <v>45966</v>
      </c>
      <c r="C289" s="296" t="s">
        <v>2072</v>
      </c>
      <c r="D289" s="296" t="s">
        <v>406</v>
      </c>
      <c r="E289" s="292" t="s">
        <v>2125</v>
      </c>
      <c r="F289" s="293" t="s">
        <v>362</v>
      </c>
      <c r="G289" s="296" t="s">
        <v>2371</v>
      </c>
      <c r="I289" s="304" t="s">
        <v>3294</v>
      </c>
    </row>
    <row r="290" spans="2:9" x14ac:dyDescent="0.25">
      <c r="B290" s="295">
        <v>45967</v>
      </c>
      <c r="C290" s="296" t="s">
        <v>2072</v>
      </c>
      <c r="D290" s="296" t="s">
        <v>406</v>
      </c>
      <c r="E290" s="292" t="s">
        <v>2125</v>
      </c>
      <c r="F290" s="293" t="s">
        <v>6</v>
      </c>
      <c r="G290" s="296" t="s">
        <v>1906</v>
      </c>
      <c r="I290" s="304" t="s">
        <v>3294</v>
      </c>
    </row>
    <row r="291" spans="2:9" x14ac:dyDescent="0.25">
      <c r="B291" s="295">
        <v>45967</v>
      </c>
      <c r="C291" s="296" t="s">
        <v>2072</v>
      </c>
      <c r="D291" s="296" t="s">
        <v>406</v>
      </c>
      <c r="E291" s="292" t="s">
        <v>2125</v>
      </c>
      <c r="F291" s="293" t="s">
        <v>362</v>
      </c>
      <c r="G291" s="296" t="s">
        <v>2371</v>
      </c>
      <c r="I291" s="304" t="s">
        <v>3294</v>
      </c>
    </row>
    <row r="292" spans="2:9" x14ac:dyDescent="0.25">
      <c r="B292" s="295">
        <v>45968</v>
      </c>
      <c r="C292" s="296" t="s">
        <v>2072</v>
      </c>
      <c r="D292" s="296" t="s">
        <v>406</v>
      </c>
      <c r="E292" s="292" t="s">
        <v>2125</v>
      </c>
      <c r="F292" s="293" t="s">
        <v>6</v>
      </c>
      <c r="G292" s="296" t="s">
        <v>1906</v>
      </c>
      <c r="I292" s="304" t="s">
        <v>3294</v>
      </c>
    </row>
    <row r="293" spans="2:9" x14ac:dyDescent="0.25">
      <c r="B293" s="295">
        <v>45968</v>
      </c>
      <c r="C293" s="296" t="s">
        <v>2072</v>
      </c>
      <c r="D293" s="296" t="s">
        <v>406</v>
      </c>
      <c r="E293" s="292" t="s">
        <v>2125</v>
      </c>
      <c r="F293" s="293" t="s">
        <v>362</v>
      </c>
      <c r="G293" s="296" t="s">
        <v>2371</v>
      </c>
      <c r="I293" s="304" t="s">
        <v>3294</v>
      </c>
    </row>
    <row r="294" spans="2:9" x14ac:dyDescent="0.25">
      <c r="B294" s="295">
        <v>45971</v>
      </c>
      <c r="C294" s="296" t="s">
        <v>2072</v>
      </c>
      <c r="D294" s="296" t="s">
        <v>406</v>
      </c>
      <c r="E294" s="292" t="s">
        <v>2125</v>
      </c>
      <c r="F294" s="293" t="s">
        <v>6</v>
      </c>
      <c r="G294" s="296" t="s">
        <v>1906</v>
      </c>
      <c r="I294" s="304" t="s">
        <v>3294</v>
      </c>
    </row>
    <row r="295" spans="2:9" x14ac:dyDescent="0.25">
      <c r="B295" s="295">
        <v>45971</v>
      </c>
      <c r="C295" s="296" t="s">
        <v>2072</v>
      </c>
      <c r="D295" s="296" t="s">
        <v>406</v>
      </c>
      <c r="E295" s="292" t="s">
        <v>2125</v>
      </c>
      <c r="F295" s="293" t="s">
        <v>362</v>
      </c>
      <c r="G295" s="296" t="s">
        <v>2371</v>
      </c>
      <c r="I295" s="304" t="s">
        <v>3294</v>
      </c>
    </row>
    <row r="296" spans="2:9" x14ac:dyDescent="0.25">
      <c r="B296" s="295">
        <v>45972</v>
      </c>
      <c r="C296" s="296" t="s">
        <v>2072</v>
      </c>
      <c r="D296" s="296" t="s">
        <v>406</v>
      </c>
      <c r="E296" s="292" t="s">
        <v>2125</v>
      </c>
      <c r="F296" s="293" t="s">
        <v>6</v>
      </c>
      <c r="G296" s="296" t="s">
        <v>1906</v>
      </c>
      <c r="I296" s="304" t="s">
        <v>3294</v>
      </c>
    </row>
    <row r="297" spans="2:9" x14ac:dyDescent="0.25">
      <c r="B297" s="295">
        <v>45972</v>
      </c>
      <c r="C297" s="296" t="s">
        <v>2072</v>
      </c>
      <c r="D297" s="296" t="s">
        <v>406</v>
      </c>
      <c r="E297" s="292" t="s">
        <v>2125</v>
      </c>
      <c r="F297" s="293" t="s">
        <v>362</v>
      </c>
      <c r="G297" s="296" t="s">
        <v>2371</v>
      </c>
      <c r="I297" s="304" t="s">
        <v>3294</v>
      </c>
    </row>
    <row r="298" spans="2:9" x14ac:dyDescent="0.25">
      <c r="B298" s="295">
        <v>45973</v>
      </c>
      <c r="C298" s="296" t="s">
        <v>2072</v>
      </c>
      <c r="D298" s="296" t="s">
        <v>406</v>
      </c>
      <c r="E298" s="292" t="s">
        <v>2125</v>
      </c>
      <c r="F298" s="293" t="s">
        <v>6</v>
      </c>
      <c r="G298" s="296" t="s">
        <v>1906</v>
      </c>
      <c r="I298" s="304" t="s">
        <v>3294</v>
      </c>
    </row>
    <row r="299" spans="2:9" x14ac:dyDescent="0.25">
      <c r="B299" s="295">
        <v>45974</v>
      </c>
      <c r="C299" s="296" t="s">
        <v>2072</v>
      </c>
      <c r="D299" s="296" t="s">
        <v>406</v>
      </c>
      <c r="E299" s="292" t="s">
        <v>2125</v>
      </c>
      <c r="F299" s="293" t="s">
        <v>6</v>
      </c>
      <c r="G299" s="296" t="s">
        <v>1906</v>
      </c>
      <c r="I299" s="304" t="s">
        <v>3294</v>
      </c>
    </row>
    <row r="300" spans="2:9" x14ac:dyDescent="0.25">
      <c r="B300" s="295">
        <v>45975</v>
      </c>
      <c r="C300" s="296" t="s">
        <v>2072</v>
      </c>
      <c r="D300" s="296" t="s">
        <v>406</v>
      </c>
      <c r="E300" s="292" t="s">
        <v>2125</v>
      </c>
      <c r="F300" s="293" t="s">
        <v>6</v>
      </c>
      <c r="G300" s="296" t="s">
        <v>1906</v>
      </c>
      <c r="I300" s="304" t="s">
        <v>3294</v>
      </c>
    </row>
    <row r="301" spans="2:9" x14ac:dyDescent="0.25">
      <c r="B301" s="295">
        <v>45978</v>
      </c>
      <c r="C301" s="296" t="s">
        <v>2072</v>
      </c>
      <c r="D301" s="296" t="s">
        <v>406</v>
      </c>
      <c r="E301" s="292" t="s">
        <v>2125</v>
      </c>
      <c r="F301" s="293" t="s">
        <v>6</v>
      </c>
      <c r="G301" s="296" t="s">
        <v>1906</v>
      </c>
      <c r="I301" s="304" t="s">
        <v>3294</v>
      </c>
    </row>
    <row r="302" spans="2:9" x14ac:dyDescent="0.25">
      <c r="B302" s="295">
        <v>45979</v>
      </c>
      <c r="C302" s="296" t="s">
        <v>2072</v>
      </c>
      <c r="D302" s="296" t="s">
        <v>406</v>
      </c>
      <c r="E302" s="292" t="s">
        <v>2125</v>
      </c>
      <c r="F302" s="293" t="s">
        <v>6</v>
      </c>
      <c r="G302" s="296" t="s">
        <v>1906</v>
      </c>
      <c r="I302" s="304" t="s">
        <v>3294</v>
      </c>
    </row>
    <row r="303" spans="2:9" x14ac:dyDescent="0.25">
      <c r="B303" s="295">
        <v>45979</v>
      </c>
      <c r="C303" s="296" t="s">
        <v>2072</v>
      </c>
      <c r="D303" s="296" t="s">
        <v>406</v>
      </c>
      <c r="E303" s="292" t="s">
        <v>2125</v>
      </c>
      <c r="F303" s="293" t="s">
        <v>6</v>
      </c>
      <c r="G303" s="296" t="s">
        <v>2374</v>
      </c>
      <c r="I303" s="304" t="s">
        <v>3294</v>
      </c>
    </row>
    <row r="304" spans="2:9" x14ac:dyDescent="0.25">
      <c r="B304" s="295">
        <v>45979</v>
      </c>
      <c r="C304" s="296" t="s">
        <v>2072</v>
      </c>
      <c r="D304" s="296" t="s">
        <v>406</v>
      </c>
      <c r="E304" s="292" t="s">
        <v>2125</v>
      </c>
      <c r="F304" s="293" t="s">
        <v>6</v>
      </c>
      <c r="G304" s="296" t="s">
        <v>2375</v>
      </c>
      <c r="I304" s="304" t="s">
        <v>3294</v>
      </c>
    </row>
    <row r="305" spans="2:9" ht="45" x14ac:dyDescent="0.25">
      <c r="B305" s="295">
        <v>45979</v>
      </c>
      <c r="C305" s="296" t="s">
        <v>2072</v>
      </c>
      <c r="D305" s="296" t="s">
        <v>406</v>
      </c>
      <c r="E305" s="292" t="s">
        <v>2125</v>
      </c>
      <c r="F305" s="293" t="s">
        <v>6</v>
      </c>
      <c r="G305" s="297" t="s">
        <v>2376</v>
      </c>
      <c r="I305" s="304" t="s">
        <v>3294</v>
      </c>
    </row>
    <row r="306" spans="2:9" x14ac:dyDescent="0.25">
      <c r="B306" s="295">
        <v>45979</v>
      </c>
      <c r="C306" s="296" t="s">
        <v>2072</v>
      </c>
      <c r="D306" s="296" t="s">
        <v>406</v>
      </c>
      <c r="E306" s="292" t="s">
        <v>2125</v>
      </c>
      <c r="F306" s="293" t="s">
        <v>6</v>
      </c>
      <c r="G306" s="297" t="s">
        <v>2377</v>
      </c>
      <c r="I306" s="304" t="s">
        <v>3294</v>
      </c>
    </row>
    <row r="307" spans="2:9" x14ac:dyDescent="0.25">
      <c r="B307" s="295">
        <v>45980</v>
      </c>
      <c r="C307" s="296" t="s">
        <v>2072</v>
      </c>
      <c r="D307" s="296" t="s">
        <v>406</v>
      </c>
      <c r="E307" s="292" t="s">
        <v>2125</v>
      </c>
      <c r="F307" s="293" t="s">
        <v>6</v>
      </c>
      <c r="G307" s="296" t="s">
        <v>1906</v>
      </c>
      <c r="I307" s="304" t="s">
        <v>3294</v>
      </c>
    </row>
    <row r="308" spans="2:9" x14ac:dyDescent="0.25">
      <c r="B308" s="295">
        <v>45980</v>
      </c>
      <c r="C308" s="296" t="s">
        <v>2072</v>
      </c>
      <c r="D308" s="296" t="s">
        <v>406</v>
      </c>
      <c r="E308" s="292" t="s">
        <v>2125</v>
      </c>
      <c r="F308" s="293" t="s">
        <v>6</v>
      </c>
      <c r="G308" s="297" t="s">
        <v>2378</v>
      </c>
      <c r="I308" s="304" t="s">
        <v>3294</v>
      </c>
    </row>
    <row r="309" spans="2:9" x14ac:dyDescent="0.25">
      <c r="B309" s="295">
        <v>45981</v>
      </c>
      <c r="C309" s="296" t="s">
        <v>2072</v>
      </c>
      <c r="D309" s="296" t="s">
        <v>406</v>
      </c>
      <c r="E309" s="292" t="s">
        <v>2125</v>
      </c>
      <c r="F309" s="293" t="s">
        <v>6</v>
      </c>
      <c r="G309" s="296" t="s">
        <v>1906</v>
      </c>
      <c r="I309" s="304" t="s">
        <v>3294</v>
      </c>
    </row>
    <row r="310" spans="2:9" x14ac:dyDescent="0.25">
      <c r="B310" s="295">
        <v>45981</v>
      </c>
      <c r="C310" s="296" t="s">
        <v>2072</v>
      </c>
      <c r="D310" s="296" t="s">
        <v>406</v>
      </c>
      <c r="E310" s="292" t="s">
        <v>2125</v>
      </c>
      <c r="F310" s="293" t="s">
        <v>6</v>
      </c>
      <c r="G310" s="296" t="s">
        <v>2375</v>
      </c>
      <c r="I310" s="304" t="s">
        <v>3294</v>
      </c>
    </row>
    <row r="311" spans="2:9" x14ac:dyDescent="0.25">
      <c r="B311" s="295">
        <v>45981</v>
      </c>
      <c r="C311" s="296" t="s">
        <v>2072</v>
      </c>
      <c r="D311" s="296" t="s">
        <v>406</v>
      </c>
      <c r="E311" s="292" t="s">
        <v>2125</v>
      </c>
      <c r="F311" s="293" t="s">
        <v>6</v>
      </c>
      <c r="G311" s="296" t="s">
        <v>2379</v>
      </c>
      <c r="I311" s="304" t="s">
        <v>3294</v>
      </c>
    </row>
    <row r="312" spans="2:9" x14ac:dyDescent="0.25">
      <c r="B312" s="295">
        <v>45981</v>
      </c>
      <c r="C312" s="296" t="s">
        <v>2072</v>
      </c>
      <c r="D312" s="296" t="s">
        <v>1811</v>
      </c>
      <c r="E312" s="292" t="s">
        <v>2125</v>
      </c>
      <c r="F312" s="293" t="s">
        <v>6</v>
      </c>
      <c r="G312" s="296" t="s">
        <v>2380</v>
      </c>
      <c r="I312" s="304" t="s">
        <v>3294</v>
      </c>
    </row>
    <row r="313" spans="2:9" x14ac:dyDescent="0.25">
      <c r="B313" s="295">
        <v>45982</v>
      </c>
      <c r="C313" s="296" t="s">
        <v>2072</v>
      </c>
      <c r="D313" s="296" t="s">
        <v>406</v>
      </c>
      <c r="E313" s="292" t="s">
        <v>2125</v>
      </c>
      <c r="F313" s="293" t="s">
        <v>6</v>
      </c>
      <c r="G313" s="296" t="s">
        <v>1906</v>
      </c>
      <c r="I313" s="304" t="s">
        <v>3294</v>
      </c>
    </row>
    <row r="314" spans="2:9" x14ac:dyDescent="0.25">
      <c r="B314" s="295">
        <v>45982</v>
      </c>
      <c r="C314" s="296" t="s">
        <v>2072</v>
      </c>
      <c r="D314" s="296" t="s">
        <v>406</v>
      </c>
      <c r="E314" s="292" t="s">
        <v>2125</v>
      </c>
      <c r="F314" s="293" t="s">
        <v>6</v>
      </c>
      <c r="G314" s="296" t="s">
        <v>2375</v>
      </c>
      <c r="I314" s="304" t="s">
        <v>3294</v>
      </c>
    </row>
    <row r="315" spans="2:9" x14ac:dyDescent="0.25">
      <c r="B315" s="295">
        <v>45982</v>
      </c>
      <c r="C315" s="296" t="s">
        <v>2072</v>
      </c>
      <c r="D315" s="296" t="s">
        <v>406</v>
      </c>
      <c r="E315" s="292" t="s">
        <v>2125</v>
      </c>
      <c r="F315" s="293" t="s">
        <v>6</v>
      </c>
      <c r="G315" s="296" t="s">
        <v>2381</v>
      </c>
      <c r="I315" s="304" t="s">
        <v>3294</v>
      </c>
    </row>
    <row r="316" spans="2:9" x14ac:dyDescent="0.25">
      <c r="B316" s="295">
        <v>45982</v>
      </c>
      <c r="C316" s="296" t="s">
        <v>2072</v>
      </c>
      <c r="D316" s="296" t="s">
        <v>406</v>
      </c>
      <c r="E316" s="292" t="s">
        <v>2125</v>
      </c>
      <c r="F316" s="293" t="s">
        <v>6</v>
      </c>
      <c r="G316" s="296" t="s">
        <v>2382</v>
      </c>
      <c r="I316" s="304" t="s">
        <v>3294</v>
      </c>
    </row>
    <row r="317" spans="2:9" ht="45" x14ac:dyDescent="0.25">
      <c r="B317" s="295">
        <v>45982</v>
      </c>
      <c r="C317" s="296" t="s">
        <v>2072</v>
      </c>
      <c r="D317" s="296" t="s">
        <v>406</v>
      </c>
      <c r="E317" s="292" t="s">
        <v>2125</v>
      </c>
      <c r="F317" s="293" t="s">
        <v>6</v>
      </c>
      <c r="G317" s="297" t="s">
        <v>2383</v>
      </c>
      <c r="I317" s="304" t="s">
        <v>3294</v>
      </c>
    </row>
    <row r="318" spans="2:9" ht="30" x14ac:dyDescent="0.25">
      <c r="B318" s="295">
        <v>45982</v>
      </c>
      <c r="C318" s="296" t="s">
        <v>2072</v>
      </c>
      <c r="D318" s="296" t="s">
        <v>406</v>
      </c>
      <c r="E318" s="292" t="s">
        <v>2125</v>
      </c>
      <c r="F318" s="293" t="s">
        <v>6</v>
      </c>
      <c r="G318" s="297" t="s">
        <v>2384</v>
      </c>
      <c r="I318" s="304" t="s">
        <v>3294</v>
      </c>
    </row>
    <row r="319" spans="2:9" x14ac:dyDescent="0.25">
      <c r="B319" s="295">
        <v>45985</v>
      </c>
      <c r="C319" s="296" t="s">
        <v>2072</v>
      </c>
      <c r="D319" s="296" t="s">
        <v>406</v>
      </c>
      <c r="E319" s="292" t="s">
        <v>2125</v>
      </c>
      <c r="F319" s="293" t="s">
        <v>6</v>
      </c>
      <c r="G319" s="296" t="s">
        <v>1906</v>
      </c>
      <c r="I319" s="304" t="s">
        <v>3294</v>
      </c>
    </row>
    <row r="320" spans="2:9" x14ac:dyDescent="0.25">
      <c r="B320" s="295">
        <v>45985</v>
      </c>
      <c r="C320" s="296" t="s">
        <v>2072</v>
      </c>
      <c r="D320" s="296" t="s">
        <v>1811</v>
      </c>
      <c r="E320" s="292" t="s">
        <v>2125</v>
      </c>
      <c r="F320" s="293" t="s">
        <v>6</v>
      </c>
      <c r="G320" s="296" t="s">
        <v>2385</v>
      </c>
      <c r="I320" s="304" t="s">
        <v>3294</v>
      </c>
    </row>
    <row r="321" spans="2:9" x14ac:dyDescent="0.25">
      <c r="B321" s="295">
        <v>45985</v>
      </c>
      <c r="C321" s="296" t="s">
        <v>2072</v>
      </c>
      <c r="D321" s="296" t="s">
        <v>406</v>
      </c>
      <c r="E321" s="292" t="s">
        <v>2125</v>
      </c>
      <c r="F321" s="293" t="s">
        <v>6</v>
      </c>
      <c r="G321" s="296" t="s">
        <v>2386</v>
      </c>
      <c r="I321" s="304" t="s">
        <v>3294</v>
      </c>
    </row>
    <row r="322" spans="2:9" x14ac:dyDescent="0.25">
      <c r="B322" s="295">
        <v>45985</v>
      </c>
      <c r="C322" s="296" t="s">
        <v>2072</v>
      </c>
      <c r="D322" s="296" t="s">
        <v>406</v>
      </c>
      <c r="E322" s="292" t="s">
        <v>2125</v>
      </c>
      <c r="F322" s="293" t="s">
        <v>6</v>
      </c>
      <c r="G322" s="296" t="s">
        <v>2387</v>
      </c>
      <c r="I322" s="304" t="s">
        <v>3294</v>
      </c>
    </row>
    <row r="323" spans="2:9" x14ac:dyDescent="0.25">
      <c r="B323" s="295">
        <v>45986</v>
      </c>
      <c r="C323" s="296" t="s">
        <v>2072</v>
      </c>
      <c r="D323" s="296" t="s">
        <v>406</v>
      </c>
      <c r="E323" s="292" t="s">
        <v>2125</v>
      </c>
      <c r="F323" s="293" t="s">
        <v>6</v>
      </c>
      <c r="G323" s="296" t="s">
        <v>1906</v>
      </c>
      <c r="I323" s="304" t="s">
        <v>3294</v>
      </c>
    </row>
    <row r="324" spans="2:9" x14ac:dyDescent="0.25">
      <c r="B324" s="295">
        <v>45986</v>
      </c>
      <c r="C324" s="296" t="s">
        <v>2072</v>
      </c>
      <c r="D324" s="296" t="s">
        <v>611</v>
      </c>
      <c r="E324" s="292" t="s">
        <v>2125</v>
      </c>
      <c r="F324" s="293" t="s">
        <v>6</v>
      </c>
      <c r="G324" s="296" t="s">
        <v>2388</v>
      </c>
      <c r="I324" s="304" t="s">
        <v>3294</v>
      </c>
    </row>
    <row r="325" spans="2:9" x14ac:dyDescent="0.25">
      <c r="B325" s="295">
        <v>45986</v>
      </c>
      <c r="C325" s="296" t="s">
        <v>2072</v>
      </c>
      <c r="D325" s="296" t="s">
        <v>406</v>
      </c>
      <c r="E325" s="292" t="s">
        <v>2125</v>
      </c>
      <c r="F325" s="293" t="s">
        <v>6</v>
      </c>
      <c r="G325" s="296" t="s">
        <v>2389</v>
      </c>
      <c r="I325" s="304" t="s">
        <v>3294</v>
      </c>
    </row>
    <row r="326" spans="2:9" x14ac:dyDescent="0.25">
      <c r="B326" s="295">
        <v>45986</v>
      </c>
      <c r="C326" s="296" t="s">
        <v>2072</v>
      </c>
      <c r="D326" s="296" t="s">
        <v>406</v>
      </c>
      <c r="E326" s="292" t="s">
        <v>2125</v>
      </c>
      <c r="F326" s="293" t="s">
        <v>6</v>
      </c>
      <c r="G326" s="296" t="s">
        <v>2390</v>
      </c>
      <c r="I326" s="304" t="s">
        <v>3294</v>
      </c>
    </row>
    <row r="327" spans="2:9" x14ac:dyDescent="0.25">
      <c r="B327" s="295">
        <v>45987</v>
      </c>
      <c r="C327" s="296" t="s">
        <v>2072</v>
      </c>
      <c r="D327" s="296" t="s">
        <v>406</v>
      </c>
      <c r="E327" s="292" t="s">
        <v>2125</v>
      </c>
      <c r="F327" s="293" t="s">
        <v>6</v>
      </c>
      <c r="G327" s="296" t="s">
        <v>1906</v>
      </c>
      <c r="I327" s="304" t="s">
        <v>3294</v>
      </c>
    </row>
    <row r="328" spans="2:9" x14ac:dyDescent="0.25">
      <c r="B328" s="295">
        <v>45987</v>
      </c>
      <c r="C328" s="296" t="s">
        <v>2072</v>
      </c>
      <c r="D328" s="296" t="s">
        <v>406</v>
      </c>
      <c r="E328" s="292" t="s">
        <v>2125</v>
      </c>
      <c r="F328" s="293" t="s">
        <v>6</v>
      </c>
      <c r="G328" s="296" t="s">
        <v>2391</v>
      </c>
      <c r="I328" s="304" t="s">
        <v>3294</v>
      </c>
    </row>
    <row r="329" spans="2:9" x14ac:dyDescent="0.25">
      <c r="B329" s="295">
        <v>45987</v>
      </c>
      <c r="C329" s="296" t="s">
        <v>2072</v>
      </c>
      <c r="D329" s="296" t="s">
        <v>406</v>
      </c>
      <c r="E329" s="292" t="s">
        <v>2125</v>
      </c>
      <c r="F329" s="293" t="s">
        <v>6</v>
      </c>
      <c r="G329" s="296" t="s">
        <v>2392</v>
      </c>
      <c r="I329" s="304" t="s">
        <v>3294</v>
      </c>
    </row>
    <row r="330" spans="2:9" x14ac:dyDescent="0.25">
      <c r="B330" s="295">
        <v>45987</v>
      </c>
      <c r="C330" s="296" t="s">
        <v>2072</v>
      </c>
      <c r="D330" s="296" t="s">
        <v>406</v>
      </c>
      <c r="E330" s="292" t="s">
        <v>2125</v>
      </c>
      <c r="F330" s="293" t="s">
        <v>6</v>
      </c>
      <c r="G330" s="296" t="s">
        <v>2393</v>
      </c>
      <c r="I330" s="304" t="s">
        <v>3294</v>
      </c>
    </row>
    <row r="331" spans="2:9" x14ac:dyDescent="0.25">
      <c r="B331" s="295">
        <v>45987</v>
      </c>
      <c r="C331" s="296" t="s">
        <v>2072</v>
      </c>
      <c r="D331" s="296" t="s">
        <v>406</v>
      </c>
      <c r="E331" s="292" t="s">
        <v>2125</v>
      </c>
      <c r="F331" s="293" t="s">
        <v>6</v>
      </c>
      <c r="G331" s="296" t="s">
        <v>2394</v>
      </c>
      <c r="I331" s="304" t="s">
        <v>3294</v>
      </c>
    </row>
    <row r="332" spans="2:9" x14ac:dyDescent="0.25">
      <c r="B332" s="295">
        <v>45988</v>
      </c>
      <c r="C332" s="296" t="s">
        <v>2072</v>
      </c>
      <c r="D332" s="296" t="s">
        <v>406</v>
      </c>
      <c r="E332" s="292" t="s">
        <v>2125</v>
      </c>
      <c r="F332" s="293" t="s">
        <v>6</v>
      </c>
      <c r="G332" s="296" t="s">
        <v>1906</v>
      </c>
      <c r="I332" s="304" t="s">
        <v>3294</v>
      </c>
    </row>
    <row r="333" spans="2:9" x14ac:dyDescent="0.25">
      <c r="B333" s="295">
        <v>45992</v>
      </c>
      <c r="C333" s="296" t="s">
        <v>2072</v>
      </c>
      <c r="D333" s="296" t="s">
        <v>406</v>
      </c>
      <c r="E333" s="292" t="s">
        <v>2125</v>
      </c>
      <c r="F333" s="293" t="s">
        <v>6</v>
      </c>
      <c r="G333" s="296" t="s">
        <v>1906</v>
      </c>
      <c r="I333" s="304" t="s">
        <v>3294</v>
      </c>
    </row>
    <row r="334" spans="2:9" x14ac:dyDescent="0.25">
      <c r="B334" s="295">
        <v>45993</v>
      </c>
      <c r="C334" s="296" t="s">
        <v>2072</v>
      </c>
      <c r="D334" s="296" t="s">
        <v>406</v>
      </c>
      <c r="E334" s="292" t="s">
        <v>2125</v>
      </c>
      <c r="F334" s="293" t="s">
        <v>6</v>
      </c>
      <c r="G334" s="296" t="s">
        <v>1906</v>
      </c>
      <c r="I334" s="304" t="s">
        <v>3294</v>
      </c>
    </row>
    <row r="335" spans="2:9" x14ac:dyDescent="0.25">
      <c r="B335" s="295">
        <v>45994</v>
      </c>
      <c r="C335" s="296" t="s">
        <v>2072</v>
      </c>
      <c r="D335" s="296" t="s">
        <v>406</v>
      </c>
      <c r="E335" s="292" t="s">
        <v>2125</v>
      </c>
      <c r="F335" s="293" t="s">
        <v>6</v>
      </c>
      <c r="G335" s="296" t="s">
        <v>1906</v>
      </c>
      <c r="I335" s="304" t="s">
        <v>3294</v>
      </c>
    </row>
    <row r="336" spans="2:9" x14ac:dyDescent="0.25">
      <c r="B336" s="295">
        <v>45995</v>
      </c>
      <c r="C336" s="296" t="s">
        <v>2072</v>
      </c>
      <c r="D336" s="296" t="s">
        <v>406</v>
      </c>
      <c r="E336" s="292" t="s">
        <v>2125</v>
      </c>
      <c r="F336" s="293" t="s">
        <v>6</v>
      </c>
      <c r="G336" s="296" t="s">
        <v>1906</v>
      </c>
      <c r="I336" s="304" t="s">
        <v>3294</v>
      </c>
    </row>
    <row r="337" spans="2:9" x14ac:dyDescent="0.25">
      <c r="B337" s="295">
        <v>45995</v>
      </c>
      <c r="C337" s="296" t="s">
        <v>2072</v>
      </c>
      <c r="D337" s="296" t="s">
        <v>406</v>
      </c>
      <c r="E337" s="292" t="s">
        <v>2125</v>
      </c>
      <c r="F337" s="293" t="s">
        <v>6</v>
      </c>
      <c r="G337" s="296" t="s">
        <v>2395</v>
      </c>
      <c r="I337" s="304" t="s">
        <v>3294</v>
      </c>
    </row>
    <row r="338" spans="2:9" x14ac:dyDescent="0.25">
      <c r="B338" s="295">
        <v>45995</v>
      </c>
      <c r="C338" s="296" t="s">
        <v>2072</v>
      </c>
      <c r="D338" s="296" t="s">
        <v>1780</v>
      </c>
      <c r="E338" s="292" t="s">
        <v>2125</v>
      </c>
      <c r="F338" s="293" t="s">
        <v>6</v>
      </c>
      <c r="G338" s="296" t="s">
        <v>2396</v>
      </c>
      <c r="I338" s="304" t="s">
        <v>3294</v>
      </c>
    </row>
    <row r="339" spans="2:9" x14ac:dyDescent="0.25">
      <c r="B339" s="295">
        <v>45995</v>
      </c>
      <c r="C339" s="296" t="s">
        <v>2072</v>
      </c>
      <c r="D339" s="296" t="s">
        <v>2397</v>
      </c>
      <c r="E339" s="292" t="s">
        <v>2125</v>
      </c>
      <c r="F339" s="293" t="s">
        <v>6</v>
      </c>
      <c r="G339" s="296" t="s">
        <v>2398</v>
      </c>
      <c r="I339" s="304" t="s">
        <v>3294</v>
      </c>
    </row>
    <row r="340" spans="2:9" x14ac:dyDescent="0.25">
      <c r="B340" s="295">
        <v>45996</v>
      </c>
      <c r="C340" s="296" t="s">
        <v>2072</v>
      </c>
      <c r="D340" s="296" t="s">
        <v>406</v>
      </c>
      <c r="E340" s="292" t="s">
        <v>2125</v>
      </c>
      <c r="F340" s="293" t="s">
        <v>6</v>
      </c>
      <c r="G340" s="296" t="s">
        <v>1906</v>
      </c>
      <c r="I340" s="304" t="s">
        <v>3294</v>
      </c>
    </row>
    <row r="341" spans="2:9" x14ac:dyDescent="0.25">
      <c r="B341" s="295">
        <v>45996</v>
      </c>
      <c r="C341" s="296" t="s">
        <v>2072</v>
      </c>
      <c r="D341" s="296" t="s">
        <v>2399</v>
      </c>
      <c r="E341" s="292" t="s">
        <v>362</v>
      </c>
      <c r="F341" s="293" t="s">
        <v>362</v>
      </c>
      <c r="G341" s="296" t="s">
        <v>2400</v>
      </c>
      <c r="I341" s="304" t="s">
        <v>3294</v>
      </c>
    </row>
    <row r="342" spans="2:9" x14ac:dyDescent="0.25">
      <c r="B342" s="295">
        <v>46000</v>
      </c>
      <c r="C342" s="296" t="s">
        <v>2072</v>
      </c>
      <c r="D342" s="296" t="s">
        <v>406</v>
      </c>
      <c r="E342" s="292" t="s">
        <v>2125</v>
      </c>
      <c r="F342" s="293" t="s">
        <v>6</v>
      </c>
      <c r="G342" s="296" t="s">
        <v>1906</v>
      </c>
      <c r="I342" s="304" t="s">
        <v>3294</v>
      </c>
    </row>
    <row r="343" spans="2:9" x14ac:dyDescent="0.25">
      <c r="B343" s="295">
        <v>46000</v>
      </c>
      <c r="C343" s="296" t="s">
        <v>2072</v>
      </c>
      <c r="D343" s="296" t="s">
        <v>2401</v>
      </c>
      <c r="E343" s="292" t="s">
        <v>2125</v>
      </c>
      <c r="F343" s="293" t="s">
        <v>6</v>
      </c>
      <c r="G343" s="296" t="s">
        <v>2402</v>
      </c>
      <c r="I343" s="304" t="s">
        <v>3294</v>
      </c>
    </row>
    <row r="344" spans="2:9" x14ac:dyDescent="0.25">
      <c r="B344" s="295">
        <v>46000</v>
      </c>
      <c r="C344" s="296" t="s">
        <v>2072</v>
      </c>
      <c r="D344" s="296" t="s">
        <v>531</v>
      </c>
      <c r="E344" s="292" t="s">
        <v>2125</v>
      </c>
      <c r="F344" s="293" t="s">
        <v>6</v>
      </c>
      <c r="G344" s="296" t="s">
        <v>2403</v>
      </c>
      <c r="I344" s="304" t="s">
        <v>3294</v>
      </c>
    </row>
    <row r="345" spans="2:9" x14ac:dyDescent="0.25">
      <c r="B345" s="295">
        <v>46000</v>
      </c>
      <c r="C345" s="296" t="s">
        <v>2072</v>
      </c>
      <c r="D345" s="296" t="s">
        <v>406</v>
      </c>
      <c r="E345" s="292" t="s">
        <v>2125</v>
      </c>
      <c r="F345" s="293" t="s">
        <v>6</v>
      </c>
      <c r="G345" s="296" t="s">
        <v>2404</v>
      </c>
      <c r="I345" s="304" t="s">
        <v>3294</v>
      </c>
    </row>
    <row r="346" spans="2:9" x14ac:dyDescent="0.25">
      <c r="B346" s="295">
        <v>46000</v>
      </c>
      <c r="C346" s="296" t="s">
        <v>2072</v>
      </c>
      <c r="D346" s="296" t="s">
        <v>406</v>
      </c>
      <c r="E346" s="292" t="s">
        <v>2125</v>
      </c>
      <c r="F346" s="293" t="s">
        <v>6</v>
      </c>
      <c r="G346" s="296" t="s">
        <v>2405</v>
      </c>
      <c r="I346" s="304" t="s">
        <v>3294</v>
      </c>
    </row>
    <row r="347" spans="2:9" x14ac:dyDescent="0.25">
      <c r="B347" s="295">
        <v>46001</v>
      </c>
      <c r="C347" s="296" t="s">
        <v>2072</v>
      </c>
      <c r="D347" s="296" t="s">
        <v>406</v>
      </c>
      <c r="E347" s="292" t="s">
        <v>2125</v>
      </c>
      <c r="F347" s="293" t="s">
        <v>6</v>
      </c>
      <c r="G347" s="296" t="s">
        <v>1906</v>
      </c>
      <c r="I347" s="304" t="s">
        <v>3294</v>
      </c>
    </row>
    <row r="348" spans="2:9" x14ac:dyDescent="0.25">
      <c r="B348" s="295">
        <v>46001</v>
      </c>
      <c r="C348" s="296" t="s">
        <v>2072</v>
      </c>
      <c r="D348" s="296" t="s">
        <v>406</v>
      </c>
      <c r="E348" s="292" t="s">
        <v>2125</v>
      </c>
      <c r="F348" s="293" t="s">
        <v>6</v>
      </c>
      <c r="G348" s="296" t="s">
        <v>2404</v>
      </c>
      <c r="I348" s="304" t="s">
        <v>3294</v>
      </c>
    </row>
    <row r="349" spans="2:9" x14ac:dyDescent="0.25">
      <c r="B349" s="295">
        <v>46001</v>
      </c>
      <c r="C349" s="296" t="s">
        <v>2072</v>
      </c>
      <c r="D349" s="296" t="s">
        <v>406</v>
      </c>
      <c r="E349" s="292" t="s">
        <v>2125</v>
      </c>
      <c r="F349" s="293" t="s">
        <v>6</v>
      </c>
      <c r="G349" s="296" t="s">
        <v>2406</v>
      </c>
      <c r="I349" s="304" t="s">
        <v>3294</v>
      </c>
    </row>
    <row r="350" spans="2:9" x14ac:dyDescent="0.25">
      <c r="B350" s="295">
        <v>46001</v>
      </c>
      <c r="C350" s="296" t="s">
        <v>2072</v>
      </c>
      <c r="D350" s="296" t="s">
        <v>406</v>
      </c>
      <c r="E350" s="292" t="s">
        <v>2125</v>
      </c>
      <c r="F350" s="293" t="s">
        <v>6</v>
      </c>
      <c r="G350" s="296" t="s">
        <v>2404</v>
      </c>
      <c r="I350" s="304" t="s">
        <v>3294</v>
      </c>
    </row>
    <row r="351" spans="2:9" x14ac:dyDescent="0.25">
      <c r="B351" s="295">
        <v>46001</v>
      </c>
      <c r="C351" s="296" t="s">
        <v>2072</v>
      </c>
      <c r="D351" s="296" t="s">
        <v>406</v>
      </c>
      <c r="E351" s="292" t="s">
        <v>2125</v>
      </c>
      <c r="F351" s="293" t="s">
        <v>6</v>
      </c>
      <c r="G351" s="296" t="s">
        <v>2405</v>
      </c>
      <c r="I351" s="304" t="s">
        <v>3294</v>
      </c>
    </row>
    <row r="352" spans="2:9" x14ac:dyDescent="0.25">
      <c r="B352" s="295">
        <v>46002</v>
      </c>
      <c r="C352" s="296" t="s">
        <v>2072</v>
      </c>
      <c r="D352" s="296" t="s">
        <v>406</v>
      </c>
      <c r="E352" s="292" t="s">
        <v>2125</v>
      </c>
      <c r="F352" s="293" t="s">
        <v>6</v>
      </c>
      <c r="G352" s="296" t="s">
        <v>1906</v>
      </c>
      <c r="I352" s="304" t="s">
        <v>3294</v>
      </c>
    </row>
    <row r="353" spans="2:9" x14ac:dyDescent="0.25">
      <c r="B353" s="295">
        <v>46003</v>
      </c>
      <c r="C353" s="296" t="s">
        <v>2072</v>
      </c>
      <c r="D353" s="296" t="s">
        <v>406</v>
      </c>
      <c r="E353" s="292" t="s">
        <v>2125</v>
      </c>
      <c r="F353" s="293" t="s">
        <v>6</v>
      </c>
      <c r="G353" s="296" t="s">
        <v>1906</v>
      </c>
      <c r="I353" s="304" t="s">
        <v>3294</v>
      </c>
    </row>
    <row r="354" spans="2:9" x14ac:dyDescent="0.25">
      <c r="B354" s="295">
        <v>46003</v>
      </c>
      <c r="C354" s="296" t="s">
        <v>2072</v>
      </c>
      <c r="D354" s="296" t="s">
        <v>2080</v>
      </c>
      <c r="E354" s="292" t="s">
        <v>2125</v>
      </c>
      <c r="F354" s="293" t="s">
        <v>6</v>
      </c>
      <c r="G354" s="296" t="s">
        <v>2407</v>
      </c>
      <c r="I354" s="304" t="s">
        <v>3294</v>
      </c>
    </row>
    <row r="355" spans="2:9" x14ac:dyDescent="0.25">
      <c r="B355" s="295">
        <v>46003</v>
      </c>
      <c r="C355" s="296" t="s">
        <v>2072</v>
      </c>
      <c r="D355" s="296" t="s">
        <v>2080</v>
      </c>
      <c r="E355" s="292" t="s">
        <v>2125</v>
      </c>
      <c r="F355" s="293" t="s">
        <v>6</v>
      </c>
      <c r="G355" s="296" t="s">
        <v>2408</v>
      </c>
      <c r="I355" s="304" t="s">
        <v>3294</v>
      </c>
    </row>
    <row r="356" spans="2:9" x14ac:dyDescent="0.25">
      <c r="B356" s="295">
        <v>46006</v>
      </c>
      <c r="C356" s="296" t="s">
        <v>2072</v>
      </c>
      <c r="D356" s="296" t="s">
        <v>406</v>
      </c>
      <c r="E356" s="292" t="s">
        <v>2125</v>
      </c>
      <c r="F356" s="293" t="s">
        <v>6</v>
      </c>
      <c r="G356" s="296" t="s">
        <v>1906</v>
      </c>
      <c r="I356" s="304" t="s">
        <v>3294</v>
      </c>
    </row>
    <row r="357" spans="2:9" x14ac:dyDescent="0.25">
      <c r="B357" s="295">
        <v>46006</v>
      </c>
      <c r="C357" s="296" t="s">
        <v>2072</v>
      </c>
      <c r="D357" s="296" t="s">
        <v>406</v>
      </c>
      <c r="E357" s="292" t="s">
        <v>2125</v>
      </c>
      <c r="F357" s="293" t="s">
        <v>6</v>
      </c>
      <c r="G357" s="296" t="s">
        <v>2409</v>
      </c>
      <c r="I357" s="304" t="s">
        <v>3294</v>
      </c>
    </row>
    <row r="358" spans="2:9" x14ac:dyDescent="0.25">
      <c r="B358" s="295">
        <v>46006</v>
      </c>
      <c r="C358" s="296" t="s">
        <v>2072</v>
      </c>
      <c r="D358" s="296" t="s">
        <v>406</v>
      </c>
      <c r="E358" s="292" t="s">
        <v>2125</v>
      </c>
      <c r="F358" s="293" t="s">
        <v>6</v>
      </c>
      <c r="G358" s="296" t="s">
        <v>2410</v>
      </c>
      <c r="I358" s="304" t="s">
        <v>3294</v>
      </c>
    </row>
    <row r="359" spans="2:9" x14ac:dyDescent="0.25">
      <c r="B359" s="295">
        <v>46007</v>
      </c>
      <c r="C359" s="296" t="s">
        <v>2072</v>
      </c>
      <c r="D359" s="296" t="s">
        <v>2080</v>
      </c>
      <c r="E359" s="292" t="s">
        <v>2125</v>
      </c>
      <c r="F359" s="293" t="s">
        <v>6</v>
      </c>
      <c r="G359" s="296" t="s">
        <v>2411</v>
      </c>
      <c r="I359" s="304" t="s">
        <v>3294</v>
      </c>
    </row>
    <row r="360" spans="2:9" x14ac:dyDescent="0.25">
      <c r="B360" s="295">
        <v>46007</v>
      </c>
      <c r="C360" s="296" t="s">
        <v>2072</v>
      </c>
      <c r="D360" s="296" t="s">
        <v>2080</v>
      </c>
      <c r="E360" s="292" t="s">
        <v>2125</v>
      </c>
      <c r="F360" s="293" t="s">
        <v>6</v>
      </c>
      <c r="G360" s="296" t="s">
        <v>2412</v>
      </c>
      <c r="I360" s="304" t="s">
        <v>3294</v>
      </c>
    </row>
    <row r="361" spans="2:9" x14ac:dyDescent="0.25">
      <c r="B361" s="295">
        <v>46007</v>
      </c>
      <c r="C361" s="296" t="s">
        <v>2072</v>
      </c>
      <c r="D361" s="296" t="s">
        <v>2080</v>
      </c>
      <c r="E361" s="292" t="s">
        <v>2125</v>
      </c>
      <c r="F361" s="293" t="s">
        <v>6</v>
      </c>
      <c r="G361" s="296" t="s">
        <v>2413</v>
      </c>
      <c r="I361" s="304" t="s">
        <v>3294</v>
      </c>
    </row>
    <row r="362" spans="2:9" x14ac:dyDescent="0.25">
      <c r="B362" s="295">
        <v>46009</v>
      </c>
      <c r="C362" s="296" t="s">
        <v>2072</v>
      </c>
      <c r="D362" s="296" t="s">
        <v>2414</v>
      </c>
      <c r="E362" s="292" t="s">
        <v>2125</v>
      </c>
      <c r="F362" s="293" t="s">
        <v>6</v>
      </c>
      <c r="G362" s="296" t="s">
        <v>2415</v>
      </c>
      <c r="I362" s="304" t="s">
        <v>3294</v>
      </c>
    </row>
    <row r="363" spans="2:9" x14ac:dyDescent="0.25">
      <c r="B363" s="295">
        <v>46009</v>
      </c>
      <c r="C363" s="296" t="s">
        <v>2072</v>
      </c>
      <c r="D363" s="296" t="s">
        <v>2080</v>
      </c>
      <c r="E363" s="292" t="s">
        <v>2125</v>
      </c>
      <c r="F363" s="293" t="s">
        <v>6</v>
      </c>
      <c r="G363" s="296" t="s">
        <v>2416</v>
      </c>
      <c r="I363" s="304" t="s">
        <v>3294</v>
      </c>
    </row>
    <row r="364" spans="2:9" x14ac:dyDescent="0.25">
      <c r="B364" s="295">
        <v>46009</v>
      </c>
      <c r="C364" s="296" t="s">
        <v>2072</v>
      </c>
      <c r="D364" s="296" t="s">
        <v>2080</v>
      </c>
      <c r="E364" s="292" t="s">
        <v>2125</v>
      </c>
      <c r="F364" s="293" t="s">
        <v>6</v>
      </c>
      <c r="G364" s="296" t="s">
        <v>2417</v>
      </c>
      <c r="I364" s="304" t="s">
        <v>3294</v>
      </c>
    </row>
    <row r="365" spans="2:9" x14ac:dyDescent="0.25">
      <c r="B365" s="295">
        <v>46009</v>
      </c>
      <c r="C365" s="296" t="s">
        <v>2072</v>
      </c>
      <c r="D365" s="296" t="s">
        <v>2080</v>
      </c>
      <c r="E365" s="292" t="s">
        <v>2125</v>
      </c>
      <c r="F365" s="293" t="s">
        <v>6</v>
      </c>
      <c r="G365" s="296" t="s">
        <v>2418</v>
      </c>
      <c r="I365" s="304" t="s">
        <v>3294</v>
      </c>
    </row>
    <row r="366" spans="2:9" x14ac:dyDescent="0.25">
      <c r="B366" s="295">
        <v>46009</v>
      </c>
      <c r="C366" s="296" t="s">
        <v>2072</v>
      </c>
      <c r="D366" s="296" t="s">
        <v>2080</v>
      </c>
      <c r="E366" s="292" t="s">
        <v>2125</v>
      </c>
      <c r="F366" s="293" t="s">
        <v>6</v>
      </c>
      <c r="G366" s="296" t="s">
        <v>2419</v>
      </c>
      <c r="I366" s="304" t="s">
        <v>3294</v>
      </c>
    </row>
    <row r="367" spans="2:9" x14ac:dyDescent="0.25">
      <c r="B367" s="295">
        <v>46009</v>
      </c>
      <c r="C367" s="296" t="s">
        <v>2072</v>
      </c>
      <c r="D367" s="296" t="s">
        <v>2080</v>
      </c>
      <c r="E367" s="292" t="s">
        <v>2125</v>
      </c>
      <c r="F367" s="293" t="s">
        <v>6</v>
      </c>
      <c r="G367" s="296" t="s">
        <v>2420</v>
      </c>
      <c r="I367" s="304" t="s">
        <v>3294</v>
      </c>
    </row>
    <row r="368" spans="2:9" x14ac:dyDescent="0.25">
      <c r="B368" s="295">
        <v>46010</v>
      </c>
      <c r="C368" s="296" t="s">
        <v>2072</v>
      </c>
      <c r="D368" s="296" t="s">
        <v>406</v>
      </c>
      <c r="E368" s="292" t="s">
        <v>2125</v>
      </c>
      <c r="F368" s="293" t="s">
        <v>6</v>
      </c>
      <c r="G368" s="296" t="s">
        <v>1906</v>
      </c>
      <c r="I368" s="304" t="s">
        <v>3294</v>
      </c>
    </row>
    <row r="369" spans="2:9" x14ac:dyDescent="0.25">
      <c r="B369" s="295">
        <v>46010</v>
      </c>
      <c r="C369" s="296" t="s">
        <v>2072</v>
      </c>
      <c r="D369" s="296" t="s">
        <v>2080</v>
      </c>
      <c r="E369" s="292" t="s">
        <v>2125</v>
      </c>
      <c r="F369" s="293" t="s">
        <v>6</v>
      </c>
      <c r="G369" s="296" t="s">
        <v>2421</v>
      </c>
      <c r="I369" s="304" t="s">
        <v>3294</v>
      </c>
    </row>
    <row r="370" spans="2:9" x14ac:dyDescent="0.25">
      <c r="B370" s="295">
        <v>46010</v>
      </c>
      <c r="C370" s="296" t="s">
        <v>2072</v>
      </c>
      <c r="D370" s="296" t="s">
        <v>2080</v>
      </c>
      <c r="E370" s="292" t="s">
        <v>2125</v>
      </c>
      <c r="F370" s="293" t="s">
        <v>6</v>
      </c>
      <c r="G370" s="296" t="s">
        <v>2422</v>
      </c>
      <c r="I370" s="304" t="s">
        <v>3294</v>
      </c>
    </row>
    <row r="371" spans="2:9" x14ac:dyDescent="0.25">
      <c r="B371" s="295">
        <v>46010</v>
      </c>
      <c r="C371" s="296" t="s">
        <v>2072</v>
      </c>
      <c r="D371" s="296" t="s">
        <v>2080</v>
      </c>
      <c r="E371" s="292" t="s">
        <v>2125</v>
      </c>
      <c r="F371" s="293" t="s">
        <v>6</v>
      </c>
      <c r="G371" s="296" t="s">
        <v>2423</v>
      </c>
      <c r="I371" s="304" t="s">
        <v>3294</v>
      </c>
    </row>
    <row r="372" spans="2:9" x14ac:dyDescent="0.25">
      <c r="B372" s="295">
        <v>46010</v>
      </c>
      <c r="C372" s="296" t="s">
        <v>2072</v>
      </c>
      <c r="D372" s="296" t="s">
        <v>2080</v>
      </c>
      <c r="E372" s="292" t="s">
        <v>2125</v>
      </c>
      <c r="F372" s="293" t="s">
        <v>6</v>
      </c>
      <c r="G372" s="296" t="s">
        <v>2424</v>
      </c>
      <c r="I372" s="304" t="s">
        <v>3294</v>
      </c>
    </row>
    <row r="373" spans="2:9" x14ac:dyDescent="0.25">
      <c r="B373" s="295">
        <v>46010</v>
      </c>
      <c r="C373" s="296" t="s">
        <v>2072</v>
      </c>
      <c r="D373" s="296" t="s">
        <v>2080</v>
      </c>
      <c r="E373" s="292" t="s">
        <v>2125</v>
      </c>
      <c r="F373" s="293" t="s">
        <v>6</v>
      </c>
      <c r="G373" s="296" t="s">
        <v>2425</v>
      </c>
      <c r="I373" s="304" t="s">
        <v>3294</v>
      </c>
    </row>
    <row r="374" spans="2:9" x14ac:dyDescent="0.25">
      <c r="B374" s="295">
        <v>46013</v>
      </c>
      <c r="C374" s="296" t="s">
        <v>2072</v>
      </c>
      <c r="D374" s="296" t="s">
        <v>406</v>
      </c>
      <c r="E374" s="292" t="s">
        <v>2125</v>
      </c>
      <c r="F374" s="293" t="s">
        <v>6</v>
      </c>
      <c r="G374" s="296" t="s">
        <v>1906</v>
      </c>
      <c r="I374" s="304" t="s">
        <v>3294</v>
      </c>
    </row>
    <row r="375" spans="2:9" x14ac:dyDescent="0.25">
      <c r="B375" s="295">
        <v>46013</v>
      </c>
      <c r="C375" s="296" t="s">
        <v>2072</v>
      </c>
      <c r="D375" s="296" t="s">
        <v>406</v>
      </c>
      <c r="E375" s="292" t="s">
        <v>2125</v>
      </c>
      <c r="F375" s="293" t="s">
        <v>6</v>
      </c>
      <c r="G375" s="296" t="s">
        <v>2426</v>
      </c>
      <c r="I375" s="304" t="s">
        <v>3294</v>
      </c>
    </row>
    <row r="376" spans="2:9" ht="60" x14ac:dyDescent="0.25">
      <c r="B376" s="295">
        <v>46013</v>
      </c>
      <c r="C376" s="296" t="s">
        <v>2072</v>
      </c>
      <c r="D376" s="296" t="s">
        <v>2080</v>
      </c>
      <c r="E376" s="292" t="s">
        <v>2125</v>
      </c>
      <c r="F376" s="293" t="s">
        <v>6</v>
      </c>
      <c r="G376" s="297" t="s">
        <v>2427</v>
      </c>
      <c r="I376" s="304" t="s">
        <v>3294</v>
      </c>
    </row>
    <row r="377" spans="2:9" x14ac:dyDescent="0.25">
      <c r="B377" s="295">
        <v>46013</v>
      </c>
      <c r="C377" s="296" t="s">
        <v>2072</v>
      </c>
      <c r="D377" s="296" t="s">
        <v>2080</v>
      </c>
      <c r="E377" s="292" t="s">
        <v>2125</v>
      </c>
      <c r="F377" s="293" t="s">
        <v>6</v>
      </c>
      <c r="G377" s="297" t="s">
        <v>2428</v>
      </c>
      <c r="I377" s="304" t="s">
        <v>3294</v>
      </c>
    </row>
    <row r="378" spans="2:9" x14ac:dyDescent="0.25">
      <c r="B378" s="295">
        <v>46014</v>
      </c>
      <c r="C378" s="296" t="s">
        <v>2072</v>
      </c>
      <c r="D378" s="296" t="s">
        <v>406</v>
      </c>
      <c r="E378" s="292" t="s">
        <v>2125</v>
      </c>
      <c r="F378" s="293" t="s">
        <v>6</v>
      </c>
      <c r="G378" s="296" t="s">
        <v>1906</v>
      </c>
      <c r="I378" s="304" t="s">
        <v>3294</v>
      </c>
    </row>
    <row r="379" spans="2:9" x14ac:dyDescent="0.25">
      <c r="B379" s="295">
        <v>46014</v>
      </c>
      <c r="C379" s="296" t="s">
        <v>2072</v>
      </c>
      <c r="D379" s="296" t="s">
        <v>406</v>
      </c>
      <c r="E379" s="292" t="s">
        <v>2125</v>
      </c>
      <c r="F379" s="293" t="s">
        <v>6</v>
      </c>
      <c r="G379" s="296" t="s">
        <v>2429</v>
      </c>
      <c r="I379" s="304" t="s">
        <v>3294</v>
      </c>
    </row>
    <row r="380" spans="2:9" x14ac:dyDescent="0.25">
      <c r="B380" s="295">
        <v>46014</v>
      </c>
      <c r="C380" s="296" t="s">
        <v>2072</v>
      </c>
      <c r="D380" s="296" t="s">
        <v>406</v>
      </c>
      <c r="E380" s="292" t="s">
        <v>2125</v>
      </c>
      <c r="F380" s="293" t="s">
        <v>6</v>
      </c>
      <c r="G380" s="296" t="s">
        <v>2430</v>
      </c>
      <c r="I380" s="304" t="s">
        <v>3294</v>
      </c>
    </row>
    <row r="381" spans="2:9" x14ac:dyDescent="0.25">
      <c r="B381" s="295">
        <v>46014</v>
      </c>
      <c r="C381" s="296" t="s">
        <v>2072</v>
      </c>
      <c r="D381" s="296" t="s">
        <v>406</v>
      </c>
      <c r="E381" s="292" t="s">
        <v>2125</v>
      </c>
      <c r="F381" s="293" t="s">
        <v>6</v>
      </c>
      <c r="G381" s="296" t="s">
        <v>2431</v>
      </c>
      <c r="I381" s="304" t="s">
        <v>3294</v>
      </c>
    </row>
    <row r="382" spans="2:9" x14ac:dyDescent="0.25">
      <c r="B382" s="295">
        <v>46014</v>
      </c>
      <c r="C382" s="296" t="s">
        <v>2072</v>
      </c>
      <c r="D382" s="296" t="s">
        <v>406</v>
      </c>
      <c r="E382" s="292" t="s">
        <v>2125</v>
      </c>
      <c r="F382" s="293" t="s">
        <v>6</v>
      </c>
      <c r="G382" s="296" t="s">
        <v>2432</v>
      </c>
      <c r="I382" s="304" t="s">
        <v>3294</v>
      </c>
    </row>
    <row r="383" spans="2:9" x14ac:dyDescent="0.25">
      <c r="B383" s="295">
        <v>46014</v>
      </c>
      <c r="C383" s="296" t="s">
        <v>2072</v>
      </c>
      <c r="D383" s="296" t="s">
        <v>406</v>
      </c>
      <c r="E383" s="292" t="s">
        <v>2125</v>
      </c>
      <c r="F383" s="293" t="s">
        <v>6</v>
      </c>
      <c r="G383" s="296" t="s">
        <v>2433</v>
      </c>
      <c r="I383" s="304" t="s">
        <v>3294</v>
      </c>
    </row>
    <row r="384" spans="2:9" x14ac:dyDescent="0.25">
      <c r="B384" s="295">
        <v>46015</v>
      </c>
      <c r="C384" s="296" t="s">
        <v>2072</v>
      </c>
      <c r="D384" s="296" t="s">
        <v>406</v>
      </c>
      <c r="E384" s="292" t="s">
        <v>2125</v>
      </c>
      <c r="F384" s="293" t="s">
        <v>6</v>
      </c>
      <c r="G384" s="296" t="s">
        <v>1906</v>
      </c>
      <c r="I384" s="304" t="s">
        <v>3294</v>
      </c>
    </row>
    <row r="385" spans="1:15" x14ac:dyDescent="0.25">
      <c r="B385" s="295">
        <v>46015</v>
      </c>
      <c r="C385" s="296" t="s">
        <v>2072</v>
      </c>
      <c r="D385" s="296" t="s">
        <v>406</v>
      </c>
      <c r="E385" s="292" t="s">
        <v>2125</v>
      </c>
      <c r="F385" s="293" t="s">
        <v>6</v>
      </c>
      <c r="G385" s="296" t="s">
        <v>2434</v>
      </c>
      <c r="I385" s="304" t="s">
        <v>3294</v>
      </c>
    </row>
    <row r="386" spans="1:15" x14ac:dyDescent="0.25">
      <c r="B386" s="295">
        <v>46017</v>
      </c>
      <c r="C386" s="296" t="s">
        <v>2072</v>
      </c>
      <c r="D386" s="296" t="s">
        <v>406</v>
      </c>
      <c r="E386" s="292" t="s">
        <v>2125</v>
      </c>
      <c r="F386" s="293" t="s">
        <v>6</v>
      </c>
      <c r="G386" s="296" t="s">
        <v>1906</v>
      </c>
      <c r="I386" s="304" t="s">
        <v>3294</v>
      </c>
    </row>
    <row r="387" spans="1:15" x14ac:dyDescent="0.25">
      <c r="B387" s="295">
        <v>46020</v>
      </c>
      <c r="C387" s="296" t="s">
        <v>2072</v>
      </c>
      <c r="D387" s="296" t="s">
        <v>406</v>
      </c>
      <c r="E387" s="292" t="s">
        <v>2125</v>
      </c>
      <c r="F387" s="293" t="s">
        <v>6</v>
      </c>
      <c r="G387" s="296" t="s">
        <v>2435</v>
      </c>
      <c r="I387" s="304" t="s">
        <v>3294</v>
      </c>
    </row>
    <row r="388" spans="1:15" x14ac:dyDescent="0.25">
      <c r="B388" s="295">
        <v>46020</v>
      </c>
      <c r="C388" s="296" t="s">
        <v>2072</v>
      </c>
      <c r="D388" s="296" t="s">
        <v>406</v>
      </c>
      <c r="E388" s="292" t="s">
        <v>2125</v>
      </c>
      <c r="F388" s="293" t="s">
        <v>6</v>
      </c>
      <c r="G388" s="296" t="s">
        <v>1906</v>
      </c>
      <c r="I388" s="304" t="s">
        <v>3294</v>
      </c>
    </row>
    <row r="389" spans="1:15" x14ac:dyDescent="0.25">
      <c r="B389" s="295">
        <v>46021</v>
      </c>
      <c r="C389" s="296" t="s">
        <v>2072</v>
      </c>
      <c r="D389" s="296" t="s">
        <v>2080</v>
      </c>
      <c r="E389" s="292" t="s">
        <v>2125</v>
      </c>
      <c r="F389" s="293" t="s">
        <v>6</v>
      </c>
      <c r="G389" s="296" t="s">
        <v>2436</v>
      </c>
      <c r="I389" s="304" t="s">
        <v>3294</v>
      </c>
    </row>
    <row r="390" spans="1:15" x14ac:dyDescent="0.25">
      <c r="B390" s="295">
        <v>46021</v>
      </c>
      <c r="C390" s="296" t="s">
        <v>2072</v>
      </c>
      <c r="D390" s="296" t="s">
        <v>2080</v>
      </c>
      <c r="E390" s="292" t="s">
        <v>2125</v>
      </c>
      <c r="F390" s="293" t="s">
        <v>6</v>
      </c>
      <c r="G390" s="296" t="s">
        <v>2437</v>
      </c>
      <c r="I390" s="304" t="s">
        <v>3294</v>
      </c>
    </row>
    <row r="391" spans="1:15" x14ac:dyDescent="0.25">
      <c r="B391" s="295">
        <v>46021</v>
      </c>
      <c r="C391" s="296" t="s">
        <v>2072</v>
      </c>
      <c r="D391" s="296" t="s">
        <v>2080</v>
      </c>
      <c r="E391" s="292" t="s">
        <v>2125</v>
      </c>
      <c r="F391" s="293" t="s">
        <v>6</v>
      </c>
      <c r="G391" s="296" t="s">
        <v>2438</v>
      </c>
      <c r="I391" s="304" t="s">
        <v>3294</v>
      </c>
    </row>
    <row r="392" spans="1:15" x14ac:dyDescent="0.25">
      <c r="B392" s="295">
        <v>46021</v>
      </c>
      <c r="C392" s="296" t="s">
        <v>2072</v>
      </c>
      <c r="D392" s="296" t="s">
        <v>2080</v>
      </c>
      <c r="E392" s="292" t="s">
        <v>2125</v>
      </c>
      <c r="F392" s="293" t="s">
        <v>6</v>
      </c>
      <c r="G392" s="296" t="s">
        <v>2439</v>
      </c>
      <c r="I392" s="304" t="s">
        <v>3294</v>
      </c>
    </row>
    <row r="393" spans="1:15" x14ac:dyDescent="0.25">
      <c r="B393" s="295">
        <v>46021</v>
      </c>
      <c r="C393" s="296" t="s">
        <v>2072</v>
      </c>
      <c r="D393" s="296" t="s">
        <v>406</v>
      </c>
      <c r="E393" s="292" t="s">
        <v>2125</v>
      </c>
      <c r="F393" s="293" t="s">
        <v>6</v>
      </c>
      <c r="G393" s="296" t="s">
        <v>2440</v>
      </c>
      <c r="I393" s="304" t="s">
        <v>3294</v>
      </c>
    </row>
    <row r="394" spans="1:15" x14ac:dyDescent="0.25">
      <c r="B394" s="295">
        <v>46022</v>
      </c>
      <c r="C394" s="296" t="s">
        <v>2072</v>
      </c>
      <c r="D394" s="296" t="s">
        <v>2080</v>
      </c>
      <c r="E394" s="292" t="s">
        <v>2125</v>
      </c>
      <c r="F394" s="293" t="s">
        <v>6</v>
      </c>
      <c r="G394" s="296" t="s">
        <v>2441</v>
      </c>
      <c r="I394" s="304" t="s">
        <v>3294</v>
      </c>
    </row>
    <row r="395" spans="1:15" x14ac:dyDescent="0.25">
      <c r="A395" s="327"/>
      <c r="B395" s="328"/>
      <c r="C395" s="329"/>
      <c r="D395" s="329"/>
      <c r="E395" s="330"/>
      <c r="F395" s="330"/>
      <c r="G395" s="329"/>
      <c r="H395" s="329"/>
      <c r="I395" s="331"/>
      <c r="J395" s="327"/>
      <c r="K395" s="329"/>
      <c r="L395" s="323"/>
      <c r="M395" s="323"/>
      <c r="N395" s="323"/>
      <c r="O395" s="325"/>
    </row>
    <row r="396" spans="1:15" x14ac:dyDescent="0.25">
      <c r="B396" s="295">
        <v>46024</v>
      </c>
      <c r="C396" s="296" t="s">
        <v>2072</v>
      </c>
      <c r="D396" s="296" t="s">
        <v>406</v>
      </c>
      <c r="E396" s="292" t="s">
        <v>2125</v>
      </c>
      <c r="F396" s="293" t="s">
        <v>6</v>
      </c>
      <c r="G396" s="296" t="s">
        <v>1906</v>
      </c>
      <c r="H396" s="296"/>
      <c r="I396" s="304" t="s">
        <v>3294</v>
      </c>
      <c r="K396" s="296"/>
    </row>
    <row r="397" spans="1:15" x14ac:dyDescent="0.25">
      <c r="B397" s="295">
        <v>46024</v>
      </c>
      <c r="C397" s="296" t="s">
        <v>2072</v>
      </c>
      <c r="D397" s="296" t="s">
        <v>406</v>
      </c>
      <c r="E397" s="292" t="s">
        <v>2125</v>
      </c>
      <c r="F397" s="293" t="s">
        <v>6</v>
      </c>
      <c r="G397" s="296" t="s">
        <v>2442</v>
      </c>
      <c r="H397" s="296"/>
      <c r="I397" s="304" t="s">
        <v>3294</v>
      </c>
      <c r="K397" s="296"/>
    </row>
    <row r="398" spans="1:15" x14ac:dyDescent="0.25">
      <c r="B398" s="295">
        <v>46024</v>
      </c>
      <c r="C398" s="296" t="s">
        <v>2072</v>
      </c>
      <c r="D398" s="296" t="s">
        <v>406</v>
      </c>
      <c r="E398" s="292" t="s">
        <v>2125</v>
      </c>
      <c r="F398" s="293" t="s">
        <v>6</v>
      </c>
      <c r="G398" s="296" t="s">
        <v>2443</v>
      </c>
      <c r="H398" s="296"/>
      <c r="I398" s="304" t="s">
        <v>3294</v>
      </c>
      <c r="K398" s="296"/>
    </row>
    <row r="399" spans="1:15" x14ac:dyDescent="0.25">
      <c r="B399" s="295">
        <v>46024</v>
      </c>
      <c r="C399" s="296" t="s">
        <v>2072</v>
      </c>
      <c r="D399" s="296" t="s">
        <v>406</v>
      </c>
      <c r="E399" s="292" t="s">
        <v>2125</v>
      </c>
      <c r="F399" s="293" t="s">
        <v>6</v>
      </c>
      <c r="G399" s="296" t="s">
        <v>2444</v>
      </c>
      <c r="H399" s="296"/>
      <c r="I399" s="304" t="s">
        <v>3294</v>
      </c>
      <c r="K399" s="296"/>
    </row>
    <row r="400" spans="1:15" x14ac:dyDescent="0.25">
      <c r="B400" s="295">
        <v>46027</v>
      </c>
      <c r="C400" s="296" t="s">
        <v>2072</v>
      </c>
      <c r="D400" s="296" t="s">
        <v>406</v>
      </c>
      <c r="E400" s="292" t="s">
        <v>2125</v>
      </c>
      <c r="F400" s="293" t="s">
        <v>6</v>
      </c>
      <c r="G400" s="296" t="s">
        <v>1906</v>
      </c>
      <c r="H400" s="296"/>
      <c r="I400" s="304" t="s">
        <v>3294</v>
      </c>
      <c r="K400" s="296"/>
    </row>
    <row r="401" spans="2:11" x14ac:dyDescent="0.25">
      <c r="B401" s="295">
        <v>46027</v>
      </c>
      <c r="C401" s="296" t="s">
        <v>2072</v>
      </c>
      <c r="D401" s="296" t="s">
        <v>406</v>
      </c>
      <c r="E401" s="292" t="s">
        <v>2125</v>
      </c>
      <c r="F401" s="293" t="s">
        <v>6</v>
      </c>
      <c r="G401" s="296" t="s">
        <v>2445</v>
      </c>
      <c r="H401" s="296"/>
      <c r="I401" s="304" t="s">
        <v>3294</v>
      </c>
      <c r="K401" s="296"/>
    </row>
    <row r="402" spans="2:11" x14ac:dyDescent="0.25">
      <c r="B402" s="295">
        <v>46027</v>
      </c>
      <c r="C402" s="296" t="s">
        <v>2072</v>
      </c>
      <c r="D402" s="296" t="s">
        <v>406</v>
      </c>
      <c r="E402" s="292" t="s">
        <v>2125</v>
      </c>
      <c r="F402" s="293" t="s">
        <v>6</v>
      </c>
      <c r="G402" s="296" t="s">
        <v>2446</v>
      </c>
      <c r="H402" s="296"/>
      <c r="I402" s="304" t="s">
        <v>3294</v>
      </c>
      <c r="K402" s="296"/>
    </row>
    <row r="403" spans="2:11" x14ac:dyDescent="0.25">
      <c r="B403" s="295">
        <v>46028</v>
      </c>
      <c r="C403" s="296" t="s">
        <v>2072</v>
      </c>
      <c r="D403" s="296" t="s">
        <v>406</v>
      </c>
      <c r="E403" s="292" t="s">
        <v>2125</v>
      </c>
      <c r="F403" s="293" t="s">
        <v>6</v>
      </c>
      <c r="G403" s="296" t="s">
        <v>1906</v>
      </c>
      <c r="H403" s="296"/>
      <c r="I403" s="304" t="s">
        <v>3294</v>
      </c>
      <c r="K403" s="296"/>
    </row>
    <row r="404" spans="2:11" x14ac:dyDescent="0.25">
      <c r="B404" s="295">
        <v>46029</v>
      </c>
      <c r="C404" s="296" t="s">
        <v>2072</v>
      </c>
      <c r="D404" s="296" t="s">
        <v>2080</v>
      </c>
      <c r="E404" s="292" t="s">
        <v>2125</v>
      </c>
      <c r="F404" s="293" t="s">
        <v>6</v>
      </c>
      <c r="G404" s="296" t="s">
        <v>2447</v>
      </c>
      <c r="H404" s="296"/>
      <c r="I404" s="304" t="s">
        <v>3294</v>
      </c>
      <c r="K404" s="296"/>
    </row>
    <row r="405" spans="2:11" x14ac:dyDescent="0.25">
      <c r="B405" s="295">
        <v>46028</v>
      </c>
      <c r="C405" s="296" t="s">
        <v>2072</v>
      </c>
      <c r="D405" s="296" t="s">
        <v>406</v>
      </c>
      <c r="E405" s="292" t="s">
        <v>2125</v>
      </c>
      <c r="F405" s="293" t="s">
        <v>6</v>
      </c>
      <c r="G405" s="296" t="s">
        <v>2448</v>
      </c>
      <c r="H405" s="296"/>
      <c r="I405" s="304" t="s">
        <v>3294</v>
      </c>
      <c r="K405" s="296"/>
    </row>
    <row r="406" spans="2:11" x14ac:dyDescent="0.25">
      <c r="B406" s="295">
        <v>46028</v>
      </c>
      <c r="C406" s="296" t="s">
        <v>2072</v>
      </c>
      <c r="D406" s="296" t="s">
        <v>406</v>
      </c>
      <c r="E406" s="292" t="s">
        <v>2125</v>
      </c>
      <c r="F406" s="293" t="s">
        <v>6</v>
      </c>
      <c r="G406" s="296" t="s">
        <v>2449</v>
      </c>
      <c r="H406" s="296"/>
      <c r="I406" s="304" t="s">
        <v>3294</v>
      </c>
      <c r="K406" s="296"/>
    </row>
    <row r="407" spans="2:11" x14ac:dyDescent="0.25">
      <c r="B407" s="295">
        <v>46029</v>
      </c>
      <c r="C407" s="296" t="s">
        <v>2072</v>
      </c>
      <c r="D407" s="296" t="s">
        <v>406</v>
      </c>
      <c r="E407" s="292" t="s">
        <v>2125</v>
      </c>
      <c r="F407" s="293" t="s">
        <v>6</v>
      </c>
      <c r="G407" s="296" t="s">
        <v>1906</v>
      </c>
      <c r="H407" s="296"/>
      <c r="I407" s="304" t="s">
        <v>3294</v>
      </c>
      <c r="K407" s="296"/>
    </row>
    <row r="408" spans="2:11" x14ac:dyDescent="0.25">
      <c r="B408" s="295">
        <v>46029</v>
      </c>
      <c r="C408" s="296" t="s">
        <v>2072</v>
      </c>
      <c r="D408" s="296" t="s">
        <v>2080</v>
      </c>
      <c r="E408" s="292" t="s">
        <v>2125</v>
      </c>
      <c r="F408" s="293" t="s">
        <v>6</v>
      </c>
      <c r="G408" s="296" t="s">
        <v>2450</v>
      </c>
      <c r="H408" s="296"/>
      <c r="I408" s="304" t="s">
        <v>3294</v>
      </c>
      <c r="K408" s="296"/>
    </row>
    <row r="409" spans="2:11" x14ac:dyDescent="0.25">
      <c r="B409" s="295">
        <v>46030</v>
      </c>
      <c r="C409" s="296" t="s">
        <v>2072</v>
      </c>
      <c r="D409" s="296" t="s">
        <v>406</v>
      </c>
      <c r="E409" s="292" t="s">
        <v>2125</v>
      </c>
      <c r="F409" s="293" t="s">
        <v>6</v>
      </c>
      <c r="G409" s="296" t="s">
        <v>1906</v>
      </c>
      <c r="H409" s="296"/>
      <c r="I409" s="304" t="s">
        <v>3294</v>
      </c>
      <c r="K409" s="296"/>
    </row>
    <row r="410" spans="2:11" x14ac:dyDescent="0.25">
      <c r="B410" s="295">
        <v>46031</v>
      </c>
      <c r="C410" s="296" t="s">
        <v>2072</v>
      </c>
      <c r="D410" s="296" t="s">
        <v>406</v>
      </c>
      <c r="E410" s="292" t="s">
        <v>2125</v>
      </c>
      <c r="F410" s="293" t="s">
        <v>6</v>
      </c>
      <c r="G410" s="296" t="s">
        <v>1906</v>
      </c>
      <c r="H410" s="296"/>
      <c r="I410" s="304" t="s">
        <v>3294</v>
      </c>
      <c r="K410" s="296"/>
    </row>
    <row r="411" spans="2:11" x14ac:dyDescent="0.25">
      <c r="B411" s="295">
        <v>46034</v>
      </c>
      <c r="C411" s="296" t="s">
        <v>2072</v>
      </c>
      <c r="D411" s="296" t="s">
        <v>406</v>
      </c>
      <c r="E411" s="292" t="s">
        <v>2125</v>
      </c>
      <c r="F411" s="293" t="s">
        <v>6</v>
      </c>
      <c r="G411" s="296" t="s">
        <v>1906</v>
      </c>
      <c r="H411" s="296"/>
      <c r="I411" s="304" t="s">
        <v>3294</v>
      </c>
      <c r="K411" s="296"/>
    </row>
    <row r="412" spans="2:11" x14ac:dyDescent="0.25">
      <c r="B412" s="295">
        <v>46035</v>
      </c>
      <c r="C412" s="296" t="s">
        <v>2072</v>
      </c>
      <c r="D412" s="296" t="s">
        <v>406</v>
      </c>
      <c r="E412" s="292" t="s">
        <v>2125</v>
      </c>
      <c r="F412" s="293" t="s">
        <v>6</v>
      </c>
      <c r="G412" s="296" t="s">
        <v>1906</v>
      </c>
      <c r="H412" s="296"/>
      <c r="I412" s="304" t="s">
        <v>3294</v>
      </c>
      <c r="K412" s="296"/>
    </row>
    <row r="413" spans="2:11" x14ac:dyDescent="0.25">
      <c r="B413" s="295">
        <v>46036</v>
      </c>
      <c r="C413" s="296" t="s">
        <v>2072</v>
      </c>
      <c r="D413" s="296" t="s">
        <v>406</v>
      </c>
      <c r="E413" s="292" t="s">
        <v>2125</v>
      </c>
      <c r="F413" s="293" t="s">
        <v>6</v>
      </c>
      <c r="G413" s="296" t="s">
        <v>1906</v>
      </c>
      <c r="H413" s="296"/>
      <c r="I413" s="304" t="s">
        <v>3294</v>
      </c>
      <c r="K413" s="296"/>
    </row>
    <row r="414" spans="2:11" x14ac:dyDescent="0.25">
      <c r="B414" s="295">
        <v>46037</v>
      </c>
      <c r="C414" s="296" t="s">
        <v>2072</v>
      </c>
      <c r="D414" s="296" t="s">
        <v>406</v>
      </c>
      <c r="E414" s="292" t="s">
        <v>2125</v>
      </c>
      <c r="F414" s="293" t="s">
        <v>6</v>
      </c>
      <c r="G414" s="296" t="s">
        <v>1906</v>
      </c>
      <c r="H414" s="296"/>
      <c r="I414" s="304" t="s">
        <v>3294</v>
      </c>
      <c r="K414" s="296"/>
    </row>
    <row r="415" spans="2:11" x14ac:dyDescent="0.25">
      <c r="B415" s="295">
        <v>46038</v>
      </c>
      <c r="C415" s="296" t="s">
        <v>2072</v>
      </c>
      <c r="D415" s="296" t="s">
        <v>406</v>
      </c>
      <c r="E415" s="292" t="s">
        <v>2125</v>
      </c>
      <c r="F415" s="293" t="s">
        <v>6</v>
      </c>
      <c r="G415" s="296" t="s">
        <v>1906</v>
      </c>
      <c r="H415" s="296"/>
      <c r="I415" s="304" t="s">
        <v>3294</v>
      </c>
      <c r="K415" s="296"/>
    </row>
    <row r="416" spans="2:11" x14ac:dyDescent="0.25">
      <c r="B416" s="295">
        <v>46041</v>
      </c>
      <c r="C416" s="296" t="s">
        <v>2072</v>
      </c>
      <c r="D416" s="296" t="s">
        <v>406</v>
      </c>
      <c r="E416" s="292" t="s">
        <v>2125</v>
      </c>
      <c r="F416" s="293" t="s">
        <v>6</v>
      </c>
      <c r="G416" s="296" t="s">
        <v>1906</v>
      </c>
      <c r="H416" s="296"/>
      <c r="I416" s="304" t="s">
        <v>3294</v>
      </c>
      <c r="K416" s="296"/>
    </row>
    <row r="417" spans="2:11" x14ac:dyDescent="0.25">
      <c r="B417" s="295">
        <v>46042</v>
      </c>
      <c r="C417" s="296" t="s">
        <v>2072</v>
      </c>
      <c r="D417" s="296" t="s">
        <v>406</v>
      </c>
      <c r="E417" s="292" t="s">
        <v>2125</v>
      </c>
      <c r="F417" s="293" t="s">
        <v>6</v>
      </c>
      <c r="G417" s="296" t="s">
        <v>1906</v>
      </c>
      <c r="H417" s="296"/>
      <c r="I417" s="304" t="s">
        <v>3294</v>
      </c>
      <c r="K417" s="296"/>
    </row>
    <row r="418" spans="2:11" x14ac:dyDescent="0.25">
      <c r="B418" s="295">
        <v>46042</v>
      </c>
      <c r="C418" s="296" t="s">
        <v>2072</v>
      </c>
      <c r="D418" s="296" t="s">
        <v>2080</v>
      </c>
      <c r="E418" s="292" t="s">
        <v>2125</v>
      </c>
      <c r="F418" s="293" t="s">
        <v>6</v>
      </c>
      <c r="G418" s="296" t="s">
        <v>2451</v>
      </c>
      <c r="H418" s="296"/>
      <c r="I418" s="304" t="s">
        <v>3294</v>
      </c>
      <c r="K418" s="296" t="s">
        <v>2452</v>
      </c>
    </row>
    <row r="419" spans="2:11" x14ac:dyDescent="0.25">
      <c r="B419" s="295">
        <v>46042</v>
      </c>
      <c r="C419" s="296" t="s">
        <v>2072</v>
      </c>
      <c r="D419" s="296" t="s">
        <v>2080</v>
      </c>
      <c r="E419" s="292" t="s">
        <v>2125</v>
      </c>
      <c r="F419" s="293" t="s">
        <v>6</v>
      </c>
      <c r="G419" s="296" t="s">
        <v>2453</v>
      </c>
      <c r="H419" s="296"/>
      <c r="I419" s="304" t="s">
        <v>3294</v>
      </c>
      <c r="K419" s="296"/>
    </row>
    <row r="420" spans="2:11" x14ac:dyDescent="0.25">
      <c r="B420" s="295">
        <v>46043</v>
      </c>
      <c r="C420" s="296" t="s">
        <v>2072</v>
      </c>
      <c r="D420" s="296" t="s">
        <v>406</v>
      </c>
      <c r="E420" s="292" t="s">
        <v>2125</v>
      </c>
      <c r="F420" s="293" t="s">
        <v>6</v>
      </c>
      <c r="G420" s="296" t="s">
        <v>1906</v>
      </c>
      <c r="H420" s="296"/>
      <c r="I420" s="304" t="s">
        <v>3294</v>
      </c>
      <c r="K420" s="296"/>
    </row>
    <row r="421" spans="2:11" x14ac:dyDescent="0.25">
      <c r="B421" s="295">
        <v>46043</v>
      </c>
      <c r="C421" s="296" t="s">
        <v>2072</v>
      </c>
      <c r="D421" s="296" t="s">
        <v>2454</v>
      </c>
      <c r="E421" s="292" t="s">
        <v>2125</v>
      </c>
      <c r="F421" s="293" t="s">
        <v>6</v>
      </c>
      <c r="G421" s="296" t="s">
        <v>2455</v>
      </c>
      <c r="H421" s="296"/>
      <c r="I421" s="304" t="s">
        <v>3294</v>
      </c>
      <c r="K421" s="296"/>
    </row>
    <row r="422" spans="2:11" x14ac:dyDescent="0.25">
      <c r="B422" s="295">
        <v>46043</v>
      </c>
      <c r="C422" s="296" t="s">
        <v>2072</v>
      </c>
      <c r="D422" s="296" t="s">
        <v>2454</v>
      </c>
      <c r="E422" s="292" t="s">
        <v>2125</v>
      </c>
      <c r="F422" s="293" t="s">
        <v>6</v>
      </c>
      <c r="G422" s="296" t="s">
        <v>2456</v>
      </c>
      <c r="H422" s="296"/>
      <c r="I422" s="304" t="s">
        <v>3294</v>
      </c>
      <c r="K422" s="296"/>
    </row>
    <row r="423" spans="2:11" x14ac:dyDescent="0.25">
      <c r="B423" s="295">
        <v>46043</v>
      </c>
      <c r="C423" s="296" t="s">
        <v>2072</v>
      </c>
      <c r="D423" s="296" t="s">
        <v>2312</v>
      </c>
      <c r="E423" s="292" t="s">
        <v>2125</v>
      </c>
      <c r="F423" s="293" t="s">
        <v>6</v>
      </c>
      <c r="G423" s="296" t="s">
        <v>2457</v>
      </c>
      <c r="H423" s="296"/>
      <c r="I423" s="304" t="s">
        <v>3294</v>
      </c>
      <c r="K423" s="296"/>
    </row>
    <row r="424" spans="2:11" x14ac:dyDescent="0.25">
      <c r="B424" s="295">
        <v>46044</v>
      </c>
      <c r="C424" s="296" t="s">
        <v>2072</v>
      </c>
      <c r="D424" s="296" t="s">
        <v>2454</v>
      </c>
      <c r="E424" s="292" t="s">
        <v>2125</v>
      </c>
      <c r="F424" s="293" t="s">
        <v>6</v>
      </c>
      <c r="G424" s="296" t="s">
        <v>2458</v>
      </c>
      <c r="H424" s="296"/>
      <c r="I424" s="304" t="s">
        <v>3294</v>
      </c>
      <c r="K424" s="296" t="s">
        <v>2459</v>
      </c>
    </row>
    <row r="425" spans="2:11" x14ac:dyDescent="0.25">
      <c r="B425" s="295">
        <v>46044</v>
      </c>
      <c r="C425" s="296" t="s">
        <v>2072</v>
      </c>
      <c r="D425" s="296" t="s">
        <v>406</v>
      </c>
      <c r="E425" s="292" t="s">
        <v>2125</v>
      </c>
      <c r="F425" s="293" t="s">
        <v>6</v>
      </c>
      <c r="G425" s="296" t="s">
        <v>1906</v>
      </c>
      <c r="H425" s="296"/>
      <c r="I425" s="304" t="s">
        <v>3294</v>
      </c>
      <c r="K425" s="296"/>
    </row>
    <row r="426" spans="2:11" x14ac:dyDescent="0.25">
      <c r="B426" s="295">
        <v>46044</v>
      </c>
      <c r="C426" s="296" t="s">
        <v>2072</v>
      </c>
      <c r="D426" s="296" t="s">
        <v>2454</v>
      </c>
      <c r="E426" s="292" t="s">
        <v>2125</v>
      </c>
      <c r="F426" s="293" t="s">
        <v>6</v>
      </c>
      <c r="G426" s="296" t="s">
        <v>2460</v>
      </c>
      <c r="H426" s="296"/>
      <c r="I426" s="304" t="s">
        <v>3294</v>
      </c>
      <c r="K426" s="296"/>
    </row>
    <row r="427" spans="2:11" x14ac:dyDescent="0.25">
      <c r="B427" s="295">
        <v>46044</v>
      </c>
      <c r="C427" s="296" t="s">
        <v>2072</v>
      </c>
      <c r="D427" s="296" t="s">
        <v>406</v>
      </c>
      <c r="E427" s="292" t="s">
        <v>2125</v>
      </c>
      <c r="F427" s="293" t="s">
        <v>6</v>
      </c>
      <c r="G427" s="296" t="s">
        <v>2461</v>
      </c>
      <c r="H427" s="296"/>
      <c r="I427" s="304" t="s">
        <v>3294</v>
      </c>
      <c r="K427" s="296"/>
    </row>
    <row r="428" spans="2:11" x14ac:dyDescent="0.25">
      <c r="B428" s="295">
        <v>46045</v>
      </c>
      <c r="C428" s="296" t="s">
        <v>2072</v>
      </c>
      <c r="D428" s="296" t="s">
        <v>406</v>
      </c>
      <c r="E428" s="292" t="s">
        <v>2125</v>
      </c>
      <c r="F428" s="293" t="s">
        <v>6</v>
      </c>
      <c r="G428" s="296" t="s">
        <v>2462</v>
      </c>
      <c r="H428" s="296"/>
      <c r="I428" s="304" t="s">
        <v>3294</v>
      </c>
      <c r="K428" s="296"/>
    </row>
    <row r="429" spans="2:11" x14ac:dyDescent="0.25">
      <c r="B429" s="295">
        <v>46045</v>
      </c>
      <c r="C429" s="296" t="s">
        <v>2072</v>
      </c>
      <c r="D429" s="296" t="s">
        <v>2454</v>
      </c>
      <c r="E429" s="292" t="s">
        <v>2125</v>
      </c>
      <c r="F429" s="293" t="s">
        <v>6</v>
      </c>
      <c r="G429" s="296" t="s">
        <v>2463</v>
      </c>
      <c r="H429" s="296"/>
      <c r="I429" s="304" t="s">
        <v>3294</v>
      </c>
      <c r="K429" s="296" t="s">
        <v>2464</v>
      </c>
    </row>
    <row r="430" spans="2:11" x14ac:dyDescent="0.25">
      <c r="B430" s="295">
        <v>46046</v>
      </c>
      <c r="C430" s="296" t="s">
        <v>2072</v>
      </c>
      <c r="D430" s="296" t="s">
        <v>2454</v>
      </c>
      <c r="E430" s="292" t="s">
        <v>2125</v>
      </c>
      <c r="F430" s="293" t="s">
        <v>6</v>
      </c>
      <c r="G430" s="296" t="s">
        <v>1906</v>
      </c>
      <c r="H430" s="296"/>
      <c r="I430" s="304" t="s">
        <v>3294</v>
      </c>
      <c r="K430" s="296"/>
    </row>
    <row r="431" spans="2:11" x14ac:dyDescent="0.25">
      <c r="B431" s="295">
        <v>46048</v>
      </c>
      <c r="C431" s="296" t="s">
        <v>2072</v>
      </c>
      <c r="D431" s="296" t="s">
        <v>2080</v>
      </c>
      <c r="E431" s="292" t="s">
        <v>2125</v>
      </c>
      <c r="F431" s="293" t="s">
        <v>6</v>
      </c>
      <c r="G431" s="296" t="s">
        <v>2465</v>
      </c>
      <c r="H431" s="296"/>
      <c r="I431" s="304" t="s">
        <v>3294</v>
      </c>
      <c r="K431" s="296"/>
    </row>
    <row r="432" spans="2:11" x14ac:dyDescent="0.25">
      <c r="B432" s="295">
        <v>46048</v>
      </c>
      <c r="C432" s="296" t="s">
        <v>2072</v>
      </c>
      <c r="D432" s="296" t="s">
        <v>2080</v>
      </c>
      <c r="E432" s="292" t="s">
        <v>2125</v>
      </c>
      <c r="F432" s="293" t="s">
        <v>6</v>
      </c>
      <c r="G432" s="296" t="s">
        <v>2466</v>
      </c>
      <c r="H432" s="296"/>
      <c r="I432" s="304" t="s">
        <v>3294</v>
      </c>
      <c r="K432" s="296"/>
    </row>
    <row r="433" spans="1:15" x14ac:dyDescent="0.25">
      <c r="B433" s="295">
        <v>46049</v>
      </c>
      <c r="C433" s="296" t="s">
        <v>2072</v>
      </c>
      <c r="D433" s="296" t="s">
        <v>406</v>
      </c>
      <c r="E433" s="292" t="s">
        <v>2125</v>
      </c>
      <c r="F433" s="293" t="s">
        <v>6</v>
      </c>
      <c r="G433" s="296" t="s">
        <v>1906</v>
      </c>
      <c r="H433" s="296"/>
      <c r="I433" s="304" t="s">
        <v>3294</v>
      </c>
      <c r="K433" s="296"/>
    </row>
    <row r="434" spans="1:15" x14ac:dyDescent="0.25">
      <c r="B434" s="295">
        <v>46049</v>
      </c>
      <c r="C434" s="296" t="s">
        <v>2072</v>
      </c>
      <c r="D434" s="296" t="s">
        <v>2080</v>
      </c>
      <c r="E434" s="292" t="s">
        <v>2125</v>
      </c>
      <c r="F434" s="293" t="s">
        <v>6</v>
      </c>
      <c r="G434" s="296" t="s">
        <v>2467</v>
      </c>
      <c r="H434" s="296"/>
      <c r="I434" s="304" t="s">
        <v>3294</v>
      </c>
      <c r="K434" s="296"/>
    </row>
    <row r="435" spans="1:15" x14ac:dyDescent="0.25">
      <c r="B435" s="295">
        <v>46049</v>
      </c>
      <c r="C435" s="296" t="s">
        <v>2072</v>
      </c>
      <c r="D435" s="296" t="s">
        <v>2080</v>
      </c>
      <c r="E435" s="292" t="s">
        <v>2125</v>
      </c>
      <c r="F435" s="293" t="s">
        <v>6</v>
      </c>
      <c r="G435" s="296" t="s">
        <v>2468</v>
      </c>
      <c r="H435" s="296"/>
      <c r="I435" s="304" t="s">
        <v>3294</v>
      </c>
      <c r="K435" s="296"/>
    </row>
    <row r="436" spans="1:15" x14ac:dyDescent="0.25">
      <c r="B436" s="295">
        <v>46050</v>
      </c>
      <c r="C436" s="296" t="s">
        <v>2072</v>
      </c>
      <c r="D436" s="296" t="s">
        <v>1790</v>
      </c>
      <c r="E436" s="292" t="s">
        <v>2125</v>
      </c>
      <c r="F436" s="293" t="s">
        <v>6</v>
      </c>
      <c r="G436" s="296" t="s">
        <v>2469</v>
      </c>
      <c r="H436" s="296"/>
      <c r="I436" s="304" t="s">
        <v>3294</v>
      </c>
      <c r="K436" s="296" t="s">
        <v>2470</v>
      </c>
    </row>
    <row r="437" spans="1:15" x14ac:dyDescent="0.25">
      <c r="B437" s="295">
        <v>46050</v>
      </c>
      <c r="C437" s="296" t="s">
        <v>2072</v>
      </c>
      <c r="D437" s="296" t="s">
        <v>2080</v>
      </c>
      <c r="E437" s="292" t="s">
        <v>2125</v>
      </c>
      <c r="F437" s="293" t="s">
        <v>6</v>
      </c>
      <c r="G437" s="296" t="s">
        <v>2471</v>
      </c>
      <c r="H437" s="296"/>
      <c r="I437" s="304" t="s">
        <v>3294</v>
      </c>
      <c r="K437" s="296" t="s">
        <v>2472</v>
      </c>
    </row>
    <row r="438" spans="1:15" x14ac:dyDescent="0.25">
      <c r="B438" s="295">
        <v>46051</v>
      </c>
      <c r="C438" s="296" t="s">
        <v>2072</v>
      </c>
      <c r="D438" s="296" t="s">
        <v>406</v>
      </c>
      <c r="E438" s="292" t="s">
        <v>2125</v>
      </c>
      <c r="F438" s="293" t="s">
        <v>6</v>
      </c>
      <c r="G438" s="296" t="s">
        <v>2473</v>
      </c>
      <c r="H438" s="296"/>
      <c r="I438" s="304" t="s">
        <v>3294</v>
      </c>
      <c r="K438" s="296"/>
    </row>
    <row r="439" spans="1:15" x14ac:dyDescent="0.25">
      <c r="B439" s="295">
        <v>46051</v>
      </c>
      <c r="C439" s="296" t="s">
        <v>2072</v>
      </c>
      <c r="D439" s="296" t="s">
        <v>2454</v>
      </c>
      <c r="E439" s="292" t="s">
        <v>2125</v>
      </c>
      <c r="F439" s="293" t="s">
        <v>6</v>
      </c>
      <c r="G439" s="296" t="s">
        <v>2474</v>
      </c>
      <c r="H439" s="296"/>
      <c r="I439" s="304" t="s">
        <v>3294</v>
      </c>
      <c r="K439" s="296" t="s">
        <v>2475</v>
      </c>
    </row>
    <row r="440" spans="1:15" x14ac:dyDescent="0.25">
      <c r="B440" s="295">
        <v>46051</v>
      </c>
      <c r="C440" s="296" t="s">
        <v>2072</v>
      </c>
      <c r="D440" s="296" t="s">
        <v>2454</v>
      </c>
      <c r="E440" s="292" t="s">
        <v>2125</v>
      </c>
      <c r="F440" s="293" t="s">
        <v>6</v>
      </c>
      <c r="G440" s="296" t="s">
        <v>2476</v>
      </c>
      <c r="H440" s="296"/>
      <c r="I440" s="304" t="s">
        <v>3294</v>
      </c>
      <c r="K440" s="296"/>
    </row>
    <row r="441" spans="1:15" x14ac:dyDescent="0.25">
      <c r="A441" s="327"/>
      <c r="B441" s="328"/>
      <c r="C441" s="329"/>
      <c r="D441" s="329"/>
      <c r="E441" s="330"/>
      <c r="F441" s="330"/>
      <c r="G441" s="329"/>
      <c r="H441" s="329"/>
      <c r="I441" s="331"/>
      <c r="J441" s="327"/>
      <c r="K441" s="329"/>
      <c r="L441" s="323"/>
      <c r="M441" s="323"/>
      <c r="N441" s="323"/>
      <c r="O441" s="325"/>
    </row>
    <row r="442" spans="1:15" x14ac:dyDescent="0.25">
      <c r="B442" s="295">
        <v>46058</v>
      </c>
      <c r="C442" s="296" t="s">
        <v>2072</v>
      </c>
      <c r="D442" s="296" t="s">
        <v>721</v>
      </c>
      <c r="E442" s="292" t="s">
        <v>2125</v>
      </c>
      <c r="F442" s="293" t="s">
        <v>6</v>
      </c>
      <c r="G442" s="296" t="s">
        <v>2477</v>
      </c>
      <c r="H442" s="296"/>
      <c r="I442" s="304" t="s">
        <v>3294</v>
      </c>
      <c r="K442" s="296" t="s">
        <v>2478</v>
      </c>
    </row>
    <row r="443" spans="1:15" x14ac:dyDescent="0.25">
      <c r="B443" s="295">
        <v>46059</v>
      </c>
      <c r="C443" s="296" t="s">
        <v>2072</v>
      </c>
      <c r="D443" s="296" t="s">
        <v>721</v>
      </c>
      <c r="E443" s="292" t="s">
        <v>2125</v>
      </c>
      <c r="F443" s="293" t="s">
        <v>6</v>
      </c>
      <c r="G443" s="296" t="s">
        <v>2479</v>
      </c>
      <c r="H443" s="296"/>
      <c r="I443" s="304" t="s">
        <v>3294</v>
      </c>
      <c r="K443" s="296" t="s">
        <v>2478</v>
      </c>
    </row>
    <row r="444" spans="1:15" x14ac:dyDescent="0.25">
      <c r="B444" s="295">
        <v>46059</v>
      </c>
      <c r="C444" s="296" t="s">
        <v>2072</v>
      </c>
      <c r="D444" s="296" t="s">
        <v>332</v>
      </c>
      <c r="E444" s="292" t="s">
        <v>2125</v>
      </c>
      <c r="F444" s="293" t="s">
        <v>6</v>
      </c>
      <c r="G444" s="296" t="s">
        <v>2480</v>
      </c>
      <c r="H444" s="296"/>
      <c r="I444" s="304" t="s">
        <v>3294</v>
      </c>
      <c r="K444" s="296"/>
    </row>
    <row r="445" spans="1:15" x14ac:dyDescent="0.25">
      <c r="B445" s="295">
        <v>46062</v>
      </c>
      <c r="C445" s="296" t="s">
        <v>2072</v>
      </c>
      <c r="D445" s="296" t="s">
        <v>2481</v>
      </c>
      <c r="E445" s="292" t="s">
        <v>2125</v>
      </c>
      <c r="F445" s="293" t="s">
        <v>6</v>
      </c>
      <c r="G445" s="296" t="s">
        <v>2482</v>
      </c>
      <c r="H445" s="296"/>
      <c r="I445" s="304" t="s">
        <v>3294</v>
      </c>
      <c r="K445" s="296"/>
    </row>
    <row r="446" spans="1:15" x14ac:dyDescent="0.25">
      <c r="B446" s="295">
        <v>46062</v>
      </c>
      <c r="C446" s="296" t="s">
        <v>2072</v>
      </c>
      <c r="D446" s="296" t="s">
        <v>2481</v>
      </c>
      <c r="E446" s="292" t="s">
        <v>2125</v>
      </c>
      <c r="F446" s="293" t="s">
        <v>6</v>
      </c>
      <c r="G446" s="296" t="s">
        <v>2483</v>
      </c>
      <c r="H446" s="296"/>
      <c r="I446" s="304" t="s">
        <v>3294</v>
      </c>
      <c r="K446" s="296"/>
    </row>
    <row r="447" spans="1:15" x14ac:dyDescent="0.25">
      <c r="B447" s="295">
        <v>46063</v>
      </c>
      <c r="C447" s="296" t="s">
        <v>2072</v>
      </c>
      <c r="D447" s="296" t="s">
        <v>614</v>
      </c>
      <c r="E447" s="292" t="s">
        <v>2125</v>
      </c>
      <c r="F447" s="293" t="s">
        <v>6</v>
      </c>
      <c r="G447" s="296" t="s">
        <v>2484</v>
      </c>
      <c r="H447" s="296"/>
      <c r="I447" s="304" t="s">
        <v>3294</v>
      </c>
      <c r="K447" s="296"/>
    </row>
    <row r="448" spans="1:15" x14ac:dyDescent="0.25">
      <c r="B448" s="295">
        <v>46063</v>
      </c>
      <c r="C448" s="296" t="s">
        <v>2072</v>
      </c>
      <c r="D448" s="296" t="s">
        <v>406</v>
      </c>
      <c r="E448" s="292" t="s">
        <v>2125</v>
      </c>
      <c r="F448" s="293" t="s">
        <v>6</v>
      </c>
      <c r="G448" s="296" t="s">
        <v>1906</v>
      </c>
      <c r="H448" s="296"/>
      <c r="I448" s="304" t="s">
        <v>3294</v>
      </c>
      <c r="K448" s="296"/>
    </row>
    <row r="449" spans="2:11" x14ac:dyDescent="0.25">
      <c r="B449" s="295">
        <v>46063</v>
      </c>
      <c r="C449" s="296" t="s">
        <v>2072</v>
      </c>
      <c r="D449" s="296" t="s">
        <v>2399</v>
      </c>
      <c r="E449" s="292" t="s">
        <v>2125</v>
      </c>
      <c r="F449" s="293" t="s">
        <v>6</v>
      </c>
      <c r="G449" s="296" t="s">
        <v>2485</v>
      </c>
      <c r="H449" s="296"/>
      <c r="I449" s="304" t="s">
        <v>3294</v>
      </c>
      <c r="K449" s="296"/>
    </row>
    <row r="450" spans="2:11" x14ac:dyDescent="0.25">
      <c r="B450" s="295">
        <v>45699</v>
      </c>
      <c r="C450" s="296" t="s">
        <v>2072</v>
      </c>
      <c r="D450" s="296" t="s">
        <v>2117</v>
      </c>
      <c r="E450" s="292" t="s">
        <v>2125</v>
      </c>
      <c r="F450" s="293" t="s">
        <v>6</v>
      </c>
      <c r="G450" s="296" t="s">
        <v>2486</v>
      </c>
      <c r="H450" s="296"/>
      <c r="I450" s="304" t="s">
        <v>3294</v>
      </c>
      <c r="K450" s="296"/>
    </row>
    <row r="451" spans="2:11" x14ac:dyDescent="0.25">
      <c r="B451" s="295">
        <v>45699</v>
      </c>
      <c r="C451" s="296" t="s">
        <v>2072</v>
      </c>
      <c r="D451" s="296" t="s">
        <v>2117</v>
      </c>
      <c r="E451" s="292" t="s">
        <v>2125</v>
      </c>
      <c r="F451" s="293" t="s">
        <v>6</v>
      </c>
      <c r="G451" s="296" t="s">
        <v>2487</v>
      </c>
      <c r="H451" s="296"/>
      <c r="I451" s="304" t="s">
        <v>3294</v>
      </c>
      <c r="K451" s="296"/>
    </row>
    <row r="452" spans="2:11" x14ac:dyDescent="0.25">
      <c r="B452" s="295">
        <v>46065</v>
      </c>
      <c r="C452" s="296" t="s">
        <v>2072</v>
      </c>
      <c r="D452" s="296" t="s">
        <v>1816</v>
      </c>
      <c r="E452" s="292" t="s">
        <v>2125</v>
      </c>
      <c r="F452" s="293" t="s">
        <v>6</v>
      </c>
      <c r="G452" s="296" t="s">
        <v>2488</v>
      </c>
      <c r="H452" s="296"/>
      <c r="I452" s="304" t="s">
        <v>3294</v>
      </c>
      <c r="K452" s="296"/>
    </row>
    <row r="453" spans="2:11" x14ac:dyDescent="0.25">
      <c r="B453" s="295">
        <v>46065</v>
      </c>
      <c r="C453" s="296" t="s">
        <v>2072</v>
      </c>
      <c r="D453" s="296" t="s">
        <v>406</v>
      </c>
      <c r="E453" s="292" t="s">
        <v>2125</v>
      </c>
      <c r="F453" s="293" t="s">
        <v>6</v>
      </c>
      <c r="G453" s="296" t="s">
        <v>1906</v>
      </c>
      <c r="H453" s="296"/>
      <c r="I453" s="304" t="s">
        <v>3294</v>
      </c>
      <c r="K453" s="296"/>
    </row>
    <row r="454" spans="2:11" x14ac:dyDescent="0.25">
      <c r="B454" s="295">
        <v>46070</v>
      </c>
      <c r="C454" s="296" t="s">
        <v>2072</v>
      </c>
      <c r="D454" s="296" t="s">
        <v>406</v>
      </c>
      <c r="E454" s="292" t="s">
        <v>2125</v>
      </c>
      <c r="F454" s="293" t="s">
        <v>6</v>
      </c>
      <c r="G454" s="296" t="s">
        <v>1906</v>
      </c>
      <c r="H454" s="296"/>
      <c r="I454" s="304" t="s">
        <v>3294</v>
      </c>
      <c r="K454" s="296"/>
    </row>
    <row r="455" spans="2:11" x14ac:dyDescent="0.25">
      <c r="B455" s="295">
        <v>46070</v>
      </c>
      <c r="C455" s="296" t="s">
        <v>2072</v>
      </c>
      <c r="D455" s="296" t="s">
        <v>406</v>
      </c>
      <c r="E455" s="292" t="s">
        <v>2125</v>
      </c>
      <c r="F455" s="293" t="s">
        <v>6</v>
      </c>
      <c r="G455" s="296" t="s">
        <v>2489</v>
      </c>
      <c r="H455" s="296"/>
      <c r="I455" s="304" t="s">
        <v>3294</v>
      </c>
      <c r="K455" s="296"/>
    </row>
    <row r="456" spans="2:11" x14ac:dyDescent="0.25">
      <c r="B456" s="295">
        <v>46070</v>
      </c>
      <c r="C456" s="296" t="s">
        <v>2072</v>
      </c>
      <c r="D456" s="296" t="s">
        <v>2490</v>
      </c>
      <c r="E456" s="292" t="s">
        <v>2125</v>
      </c>
      <c r="F456" s="293" t="s">
        <v>6</v>
      </c>
      <c r="G456" s="296" t="s">
        <v>2491</v>
      </c>
      <c r="H456" s="296"/>
      <c r="I456" s="304" t="s">
        <v>3294</v>
      </c>
      <c r="K456" s="296"/>
    </row>
    <row r="457" spans="2:11" x14ac:dyDescent="0.25">
      <c r="B457" s="295">
        <v>46072</v>
      </c>
      <c r="C457" s="296" t="s">
        <v>2072</v>
      </c>
      <c r="D457" s="296" t="s">
        <v>406</v>
      </c>
      <c r="E457" s="292" t="s">
        <v>2125</v>
      </c>
      <c r="F457" s="293" t="s">
        <v>6</v>
      </c>
      <c r="G457" s="296" t="s">
        <v>1906</v>
      </c>
      <c r="H457" s="296"/>
      <c r="I457" s="304" t="s">
        <v>3294</v>
      </c>
      <c r="K457" s="296"/>
    </row>
    <row r="458" spans="2:11" x14ac:dyDescent="0.25">
      <c r="B458" s="295">
        <v>46072</v>
      </c>
      <c r="C458" s="296" t="s">
        <v>2072</v>
      </c>
      <c r="D458" s="296" t="s">
        <v>1816</v>
      </c>
      <c r="E458" s="292" t="s">
        <v>2125</v>
      </c>
      <c r="F458" s="293" t="s">
        <v>6</v>
      </c>
      <c r="G458" s="296" t="s">
        <v>2492</v>
      </c>
      <c r="H458" s="296"/>
      <c r="I458" s="304" t="s">
        <v>3294</v>
      </c>
      <c r="K458" s="296"/>
    </row>
    <row r="459" spans="2:11" x14ac:dyDescent="0.25">
      <c r="B459" s="295">
        <v>46072</v>
      </c>
      <c r="C459" s="296" t="s">
        <v>2072</v>
      </c>
      <c r="D459" s="296" t="s">
        <v>1816</v>
      </c>
      <c r="E459" s="292" t="s">
        <v>2125</v>
      </c>
      <c r="F459" s="293" t="s">
        <v>6</v>
      </c>
      <c r="G459" s="296" t="s">
        <v>2493</v>
      </c>
      <c r="H459" s="296"/>
      <c r="I459" s="304" t="s">
        <v>3294</v>
      </c>
      <c r="K459" s="296"/>
    </row>
    <row r="460" spans="2:11" x14ac:dyDescent="0.25">
      <c r="B460" s="295">
        <v>46072</v>
      </c>
      <c r="C460" s="296" t="s">
        <v>2072</v>
      </c>
      <c r="D460" s="296" t="s">
        <v>1816</v>
      </c>
      <c r="E460" s="292" t="s">
        <v>2125</v>
      </c>
      <c r="F460" s="293" t="s">
        <v>6</v>
      </c>
      <c r="G460" s="296" t="s">
        <v>2488</v>
      </c>
      <c r="H460" s="296"/>
      <c r="I460" s="304" t="s">
        <v>3294</v>
      </c>
      <c r="K460" s="296"/>
    </row>
    <row r="461" spans="2:11" x14ac:dyDescent="0.25">
      <c r="B461" s="295">
        <v>46072</v>
      </c>
      <c r="C461" s="296" t="s">
        <v>2072</v>
      </c>
      <c r="D461" s="296" t="s">
        <v>2490</v>
      </c>
      <c r="E461" s="292" t="s">
        <v>2125</v>
      </c>
      <c r="F461" s="293" t="s">
        <v>6</v>
      </c>
      <c r="G461" s="296" t="s">
        <v>2494</v>
      </c>
      <c r="H461" s="296"/>
      <c r="I461" s="304" t="s">
        <v>3294</v>
      </c>
      <c r="K461" s="296"/>
    </row>
    <row r="462" spans="2:11" x14ac:dyDescent="0.25">
      <c r="B462" s="295">
        <v>46077</v>
      </c>
      <c r="C462" s="296" t="s">
        <v>2072</v>
      </c>
      <c r="D462" s="296" t="s">
        <v>406</v>
      </c>
      <c r="E462" s="292" t="s">
        <v>2125</v>
      </c>
      <c r="F462" s="293" t="s">
        <v>6</v>
      </c>
      <c r="G462" s="296" t="s">
        <v>1906</v>
      </c>
      <c r="H462" s="296"/>
      <c r="I462" s="304" t="s">
        <v>3294</v>
      </c>
      <c r="K462" s="296"/>
    </row>
    <row r="463" spans="2:11" x14ac:dyDescent="0.25">
      <c r="B463" s="295">
        <v>46079</v>
      </c>
      <c r="C463" s="296" t="s">
        <v>2072</v>
      </c>
      <c r="D463" s="296" t="s">
        <v>406</v>
      </c>
      <c r="E463" s="292" t="s">
        <v>2125</v>
      </c>
      <c r="F463" s="293" t="s">
        <v>6</v>
      </c>
      <c r="G463" s="296" t="s">
        <v>1906</v>
      </c>
      <c r="H463" s="296"/>
      <c r="I463" s="304" t="s">
        <v>3294</v>
      </c>
      <c r="K463" s="296"/>
    </row>
    <row r="464" spans="2:11" x14ac:dyDescent="0.25">
      <c r="B464" s="295">
        <v>46079</v>
      </c>
      <c r="C464" s="296" t="s">
        <v>2072</v>
      </c>
      <c r="D464" s="296" t="s">
        <v>1816</v>
      </c>
      <c r="E464" s="292" t="s">
        <v>2125</v>
      </c>
      <c r="F464" s="293" t="s">
        <v>6</v>
      </c>
      <c r="G464" s="296" t="s">
        <v>2488</v>
      </c>
      <c r="H464" s="296"/>
      <c r="I464" s="304" t="s">
        <v>3294</v>
      </c>
      <c r="K464" s="296"/>
    </row>
    <row r="465" spans="1:11" x14ac:dyDescent="0.25">
      <c r="A465" s="305"/>
      <c r="B465" s="306"/>
      <c r="C465" s="307"/>
      <c r="D465" s="307"/>
      <c r="E465" s="308"/>
      <c r="F465" s="308"/>
      <c r="G465" s="307"/>
      <c r="H465" s="307"/>
      <c r="I465" s="309"/>
      <c r="J465" s="305"/>
      <c r="K465" s="307"/>
    </row>
    <row r="466" spans="1:11" x14ac:dyDescent="0.25">
      <c r="B466" s="295">
        <v>46083</v>
      </c>
      <c r="C466" s="296" t="s">
        <v>2072</v>
      </c>
      <c r="D466" s="296" t="s">
        <v>2454</v>
      </c>
      <c r="E466" s="292" t="s">
        <v>2125</v>
      </c>
      <c r="F466" s="293" t="s">
        <v>6</v>
      </c>
      <c r="G466" s="296" t="s">
        <v>3401</v>
      </c>
      <c r="H466" s="296" t="s">
        <v>3401</v>
      </c>
      <c r="I466" s="304" t="s">
        <v>3294</v>
      </c>
      <c r="K466" s="296" t="s">
        <v>2495</v>
      </c>
    </row>
    <row r="467" spans="1:11" x14ac:dyDescent="0.25">
      <c r="B467" s="295">
        <v>46084</v>
      </c>
      <c r="C467" s="296" t="s">
        <v>2072</v>
      </c>
      <c r="D467" s="296" t="s">
        <v>406</v>
      </c>
      <c r="E467" s="292" t="s">
        <v>2125</v>
      </c>
      <c r="F467" s="293" t="s">
        <v>6</v>
      </c>
      <c r="G467" s="296" t="s">
        <v>1906</v>
      </c>
      <c r="H467" s="296" t="s">
        <v>1906</v>
      </c>
      <c r="I467" s="304" t="s">
        <v>3294</v>
      </c>
      <c r="J467" s="289" t="s">
        <v>3301</v>
      </c>
      <c r="K467" s="296"/>
    </row>
    <row r="468" spans="1:11" x14ac:dyDescent="0.25">
      <c r="B468" s="295">
        <v>46084</v>
      </c>
      <c r="C468" s="296" t="s">
        <v>2072</v>
      </c>
      <c r="D468" s="296" t="s">
        <v>406</v>
      </c>
      <c r="E468" s="292" t="s">
        <v>2125</v>
      </c>
      <c r="F468" s="293" t="s">
        <v>6</v>
      </c>
      <c r="G468" s="296" t="s">
        <v>2489</v>
      </c>
      <c r="H468" s="296" t="s">
        <v>2489</v>
      </c>
      <c r="I468" s="304" t="s">
        <v>3294</v>
      </c>
      <c r="J468" s="289" t="s">
        <v>3301</v>
      </c>
      <c r="K468" s="296"/>
    </row>
    <row r="469" spans="1:11" x14ac:dyDescent="0.25">
      <c r="B469" s="295">
        <v>46084</v>
      </c>
      <c r="C469" s="296" t="s">
        <v>2072</v>
      </c>
      <c r="D469" s="296" t="s">
        <v>2058</v>
      </c>
      <c r="E469" s="292" t="s">
        <v>2125</v>
      </c>
      <c r="F469" s="293" t="s">
        <v>6</v>
      </c>
      <c r="G469" s="296" t="s">
        <v>2496</v>
      </c>
      <c r="H469" s="296" t="s">
        <v>2496</v>
      </c>
      <c r="I469" s="304" t="s">
        <v>3294</v>
      </c>
      <c r="J469" s="289" t="s">
        <v>3301</v>
      </c>
      <c r="K469" s="296"/>
    </row>
    <row r="470" spans="1:11" x14ac:dyDescent="0.25">
      <c r="B470" s="295">
        <v>46086</v>
      </c>
      <c r="C470" s="296" t="s">
        <v>2072</v>
      </c>
      <c r="D470" s="296" t="s">
        <v>406</v>
      </c>
      <c r="E470" s="292" t="s">
        <v>2125</v>
      </c>
      <c r="F470" s="293" t="s">
        <v>6</v>
      </c>
      <c r="G470" s="296" t="s">
        <v>1906</v>
      </c>
      <c r="H470" s="296" t="s">
        <v>1906</v>
      </c>
      <c r="I470" s="304" t="s">
        <v>3294</v>
      </c>
      <c r="J470" s="289" t="s">
        <v>3301</v>
      </c>
      <c r="K470" s="296"/>
    </row>
    <row r="471" spans="1:11" x14ac:dyDescent="0.25">
      <c r="B471" s="295">
        <v>46087</v>
      </c>
      <c r="C471" s="296" t="s">
        <v>2072</v>
      </c>
      <c r="D471" s="296" t="s">
        <v>332</v>
      </c>
      <c r="E471" s="292" t="s">
        <v>2125</v>
      </c>
      <c r="F471" s="293" t="s">
        <v>6</v>
      </c>
      <c r="G471" s="296" t="s">
        <v>2497</v>
      </c>
      <c r="H471" s="296" t="s">
        <v>3404</v>
      </c>
      <c r="I471" s="304" t="s">
        <v>3294</v>
      </c>
      <c r="J471" s="289" t="s">
        <v>3403</v>
      </c>
      <c r="K471" s="296"/>
    </row>
    <row r="472" spans="1:11" x14ac:dyDescent="0.25">
      <c r="B472" s="295">
        <v>46090</v>
      </c>
      <c r="C472" s="296" t="s">
        <v>2072</v>
      </c>
      <c r="D472" s="296" t="s">
        <v>2498</v>
      </c>
      <c r="E472" s="292" t="s">
        <v>2125</v>
      </c>
      <c r="F472" s="293" t="s">
        <v>6</v>
      </c>
      <c r="G472" s="296" t="s">
        <v>2499</v>
      </c>
      <c r="H472" s="296" t="s">
        <v>3405</v>
      </c>
      <c r="I472" s="304" t="s">
        <v>3294</v>
      </c>
      <c r="J472" s="289" t="s">
        <v>3333</v>
      </c>
      <c r="K472" s="296"/>
    </row>
    <row r="473" spans="1:11" x14ac:dyDescent="0.25">
      <c r="B473" s="295">
        <v>46090</v>
      </c>
      <c r="C473" s="296" t="s">
        <v>2072</v>
      </c>
      <c r="D473" s="296" t="s">
        <v>2498</v>
      </c>
      <c r="E473" s="292" t="s">
        <v>2125</v>
      </c>
      <c r="F473" s="293" t="s">
        <v>6</v>
      </c>
      <c r="G473" s="296" t="s">
        <v>2500</v>
      </c>
      <c r="H473" s="296" t="s">
        <v>2500</v>
      </c>
      <c r="I473" s="304" t="s">
        <v>3294</v>
      </c>
      <c r="J473" s="289" t="s">
        <v>3403</v>
      </c>
      <c r="K473" s="296"/>
    </row>
    <row r="474" spans="1:11" x14ac:dyDescent="0.25">
      <c r="B474" s="295">
        <v>46090</v>
      </c>
      <c r="C474" s="296" t="s">
        <v>2072</v>
      </c>
      <c r="D474" s="296" t="s">
        <v>2498</v>
      </c>
      <c r="E474" s="292" t="s">
        <v>2125</v>
      </c>
      <c r="F474" s="293" t="s">
        <v>6</v>
      </c>
      <c r="G474" s="296" t="s">
        <v>2501</v>
      </c>
      <c r="H474" s="296" t="s">
        <v>2501</v>
      </c>
      <c r="I474" s="304" t="s">
        <v>3294</v>
      </c>
      <c r="J474" s="289" t="s">
        <v>3403</v>
      </c>
      <c r="K474" s="296"/>
    </row>
    <row r="475" spans="1:11" x14ac:dyDescent="0.25">
      <c r="B475" s="295">
        <v>46091</v>
      </c>
      <c r="C475" s="296" t="s">
        <v>2072</v>
      </c>
      <c r="D475" s="296" t="s">
        <v>2454</v>
      </c>
      <c r="E475" s="292" t="s">
        <v>2125</v>
      </c>
      <c r="F475" s="293" t="s">
        <v>6</v>
      </c>
      <c r="G475" s="296" t="s">
        <v>2502</v>
      </c>
      <c r="H475" s="296" t="s">
        <v>2502</v>
      </c>
      <c r="I475" s="304" t="s">
        <v>3294</v>
      </c>
      <c r="J475" s="289" t="s">
        <v>3406</v>
      </c>
      <c r="K475" s="296" t="s">
        <v>2503</v>
      </c>
    </row>
    <row r="476" spans="1:11" x14ac:dyDescent="0.25">
      <c r="B476" s="295">
        <v>46091</v>
      </c>
      <c r="C476" s="296" t="s">
        <v>2072</v>
      </c>
      <c r="D476" s="296" t="s">
        <v>2454</v>
      </c>
      <c r="E476" s="292" t="s">
        <v>2125</v>
      </c>
      <c r="F476" s="293" t="s">
        <v>6</v>
      </c>
      <c r="G476" s="296" t="s">
        <v>2504</v>
      </c>
      <c r="H476" s="296" t="s">
        <v>2504</v>
      </c>
      <c r="I476" s="304" t="s">
        <v>3294</v>
      </c>
      <c r="J476" s="289" t="s">
        <v>3334</v>
      </c>
      <c r="K476" s="296"/>
    </row>
    <row r="477" spans="1:11" x14ac:dyDescent="0.25">
      <c r="B477" s="295">
        <v>46091</v>
      </c>
      <c r="C477" s="296" t="s">
        <v>2072</v>
      </c>
      <c r="D477" s="296" t="s">
        <v>2454</v>
      </c>
      <c r="E477" s="292" t="s">
        <v>2125</v>
      </c>
      <c r="F477" s="293" t="s">
        <v>6</v>
      </c>
      <c r="G477" s="296" t="s">
        <v>2505</v>
      </c>
      <c r="H477" s="296" t="s">
        <v>2505</v>
      </c>
      <c r="I477" s="304" t="s">
        <v>3294</v>
      </c>
      <c r="J477" s="289" t="s">
        <v>3334</v>
      </c>
      <c r="K477" s="296"/>
    </row>
    <row r="478" spans="1:11" x14ac:dyDescent="0.25">
      <c r="B478" s="295">
        <v>46091</v>
      </c>
      <c r="C478" s="296" t="s">
        <v>2072</v>
      </c>
      <c r="D478" s="296" t="s">
        <v>2454</v>
      </c>
      <c r="E478" s="292" t="s">
        <v>2125</v>
      </c>
      <c r="F478" s="293" t="s">
        <v>6</v>
      </c>
      <c r="G478" s="296" t="s">
        <v>2506</v>
      </c>
      <c r="H478" s="296" t="s">
        <v>2506</v>
      </c>
      <c r="I478" s="304" t="s">
        <v>3294</v>
      </c>
      <c r="J478" s="289" t="s">
        <v>3334</v>
      </c>
      <c r="K478" s="296"/>
    </row>
    <row r="479" spans="1:11" x14ac:dyDescent="0.25">
      <c r="B479" s="295">
        <v>46091</v>
      </c>
      <c r="C479" s="296" t="s">
        <v>2072</v>
      </c>
      <c r="D479" s="296" t="s">
        <v>2454</v>
      </c>
      <c r="E479" s="292" t="s">
        <v>2125</v>
      </c>
      <c r="F479" s="293" t="s">
        <v>6</v>
      </c>
      <c r="G479" s="296" t="s">
        <v>2507</v>
      </c>
      <c r="H479" s="296" t="s">
        <v>2507</v>
      </c>
      <c r="I479" s="304" t="s">
        <v>3294</v>
      </c>
      <c r="J479" s="289" t="s">
        <v>3403</v>
      </c>
      <c r="K479" s="296"/>
    </row>
    <row r="480" spans="1:11" x14ac:dyDescent="0.25">
      <c r="B480" s="295">
        <v>46092</v>
      </c>
      <c r="C480" s="296" t="s">
        <v>2072</v>
      </c>
      <c r="D480" s="296" t="s">
        <v>2498</v>
      </c>
      <c r="E480" s="292" t="s">
        <v>2125</v>
      </c>
      <c r="F480" s="293" t="s">
        <v>6</v>
      </c>
      <c r="G480" s="296" t="s">
        <v>2392</v>
      </c>
      <c r="H480" s="296" t="s">
        <v>2392</v>
      </c>
      <c r="I480" s="304" t="s">
        <v>3294</v>
      </c>
      <c r="J480" s="289" t="s">
        <v>3314</v>
      </c>
      <c r="K480" s="296"/>
    </row>
    <row r="481" spans="1:11" x14ac:dyDescent="0.25">
      <c r="B481" s="295">
        <v>46092</v>
      </c>
      <c r="C481" s="296" t="s">
        <v>2072</v>
      </c>
      <c r="D481" s="296" t="s">
        <v>2454</v>
      </c>
      <c r="E481" s="292" t="s">
        <v>2125</v>
      </c>
      <c r="F481" s="293" t="s">
        <v>6</v>
      </c>
      <c r="G481" s="296" t="s">
        <v>2423</v>
      </c>
      <c r="H481" s="296" t="s">
        <v>2423</v>
      </c>
      <c r="I481" s="304" t="s">
        <v>3294</v>
      </c>
      <c r="J481" s="289" t="s">
        <v>3333</v>
      </c>
      <c r="K481" s="296"/>
    </row>
    <row r="482" spans="1:11" x14ac:dyDescent="0.25">
      <c r="B482" s="295">
        <v>46092</v>
      </c>
      <c r="C482" s="296" t="s">
        <v>2072</v>
      </c>
      <c r="D482" s="296" t="s">
        <v>2454</v>
      </c>
      <c r="E482" s="292" t="s">
        <v>2125</v>
      </c>
      <c r="F482" s="293" t="s">
        <v>6</v>
      </c>
      <c r="G482" s="296" t="s">
        <v>2343</v>
      </c>
      <c r="H482" s="296" t="s">
        <v>2343</v>
      </c>
      <c r="I482" s="304" t="s">
        <v>3294</v>
      </c>
      <c r="J482" s="289" t="s">
        <v>3312</v>
      </c>
      <c r="K482" s="296"/>
    </row>
    <row r="483" spans="1:11" x14ac:dyDescent="0.25">
      <c r="B483" s="295">
        <v>46093</v>
      </c>
      <c r="C483" s="296" t="s">
        <v>2072</v>
      </c>
      <c r="D483" s="296" t="s">
        <v>2454</v>
      </c>
      <c r="E483" s="292" t="s">
        <v>2125</v>
      </c>
      <c r="F483" s="293" t="s">
        <v>6</v>
      </c>
      <c r="G483" s="296" t="s">
        <v>2344</v>
      </c>
      <c r="H483" s="296" t="s">
        <v>2344</v>
      </c>
      <c r="I483" s="304" t="s">
        <v>3294</v>
      </c>
      <c r="J483" s="289" t="s">
        <v>3333</v>
      </c>
      <c r="K483" s="296"/>
    </row>
    <row r="484" spans="1:11" x14ac:dyDescent="0.25">
      <c r="B484" s="295">
        <v>46093</v>
      </c>
      <c r="C484" s="296" t="s">
        <v>2072</v>
      </c>
      <c r="D484" s="296" t="s">
        <v>2454</v>
      </c>
      <c r="E484" s="292" t="s">
        <v>2125</v>
      </c>
      <c r="F484" s="293" t="s">
        <v>6</v>
      </c>
      <c r="G484" s="296" t="s">
        <v>2508</v>
      </c>
      <c r="H484" s="296" t="s">
        <v>2508</v>
      </c>
      <c r="I484" s="304" t="s">
        <v>3294</v>
      </c>
      <c r="J484" s="289" t="s">
        <v>3403</v>
      </c>
      <c r="K484" s="296"/>
    </row>
    <row r="485" spans="1:11" x14ac:dyDescent="0.25">
      <c r="B485" s="295">
        <v>46093</v>
      </c>
      <c r="C485" s="296" t="s">
        <v>2072</v>
      </c>
      <c r="D485" s="296" t="s">
        <v>2498</v>
      </c>
      <c r="E485" s="292" t="s">
        <v>2125</v>
      </c>
      <c r="F485" s="293" t="s">
        <v>6</v>
      </c>
      <c r="G485" s="296" t="s">
        <v>2509</v>
      </c>
      <c r="H485" s="296" t="s">
        <v>2509</v>
      </c>
      <c r="I485" s="304" t="s">
        <v>3294</v>
      </c>
      <c r="J485" s="289" t="s">
        <v>3333</v>
      </c>
      <c r="K485" s="296"/>
    </row>
    <row r="486" spans="1:11" x14ac:dyDescent="0.25">
      <c r="B486" s="295">
        <v>46094</v>
      </c>
      <c r="C486" s="296" t="s">
        <v>2072</v>
      </c>
      <c r="D486" s="296" t="s">
        <v>2454</v>
      </c>
      <c r="E486" s="292" t="s">
        <v>2125</v>
      </c>
      <c r="F486" s="293" t="s">
        <v>6</v>
      </c>
      <c r="G486" s="296" t="s">
        <v>2510</v>
      </c>
      <c r="H486" s="296" t="s">
        <v>2510</v>
      </c>
      <c r="I486" s="304" t="s">
        <v>3294</v>
      </c>
      <c r="J486" s="289" t="s">
        <v>3312</v>
      </c>
      <c r="K486" s="296"/>
    </row>
    <row r="487" spans="1:11" x14ac:dyDescent="0.25">
      <c r="B487" s="295">
        <v>46094</v>
      </c>
      <c r="C487" s="296" t="s">
        <v>2072</v>
      </c>
      <c r="D487" s="296" t="s">
        <v>2049</v>
      </c>
      <c r="E487" s="292" t="s">
        <v>2125</v>
      </c>
      <c r="F487" s="293" t="s">
        <v>6</v>
      </c>
      <c r="G487" s="296" t="s">
        <v>2511</v>
      </c>
      <c r="H487" s="296" t="s">
        <v>2511</v>
      </c>
      <c r="I487" s="304" t="s">
        <v>3294</v>
      </c>
      <c r="J487" s="289" t="s">
        <v>3312</v>
      </c>
      <c r="K487" s="296"/>
    </row>
    <row r="488" spans="1:11" x14ac:dyDescent="0.25">
      <c r="B488" s="295">
        <v>46094</v>
      </c>
      <c r="C488" s="296" t="s">
        <v>2072</v>
      </c>
      <c r="D488" s="296" t="s">
        <v>2080</v>
      </c>
      <c r="E488" s="292" t="s">
        <v>2125</v>
      </c>
      <c r="F488" s="293" t="s">
        <v>6</v>
      </c>
      <c r="G488" s="296" t="s">
        <v>2512</v>
      </c>
      <c r="H488" s="296" t="s">
        <v>2512</v>
      </c>
      <c r="I488" s="304" t="s">
        <v>3294</v>
      </c>
      <c r="J488" s="289" t="s">
        <v>3329</v>
      </c>
      <c r="K488" s="296"/>
    </row>
    <row r="489" spans="1:11" x14ac:dyDescent="0.25">
      <c r="B489" s="295">
        <v>46094</v>
      </c>
      <c r="C489" s="296" t="s">
        <v>2072</v>
      </c>
      <c r="D489" s="296" t="s">
        <v>2080</v>
      </c>
      <c r="E489" s="292" t="s">
        <v>2125</v>
      </c>
      <c r="F489" s="293" t="s">
        <v>6</v>
      </c>
      <c r="G489" s="296" t="s">
        <v>2513</v>
      </c>
      <c r="H489" s="296" t="s">
        <v>2513</v>
      </c>
      <c r="I489" s="304" t="s">
        <v>3294</v>
      </c>
      <c r="J489" s="289" t="s">
        <v>3329</v>
      </c>
      <c r="K489" s="296"/>
    </row>
    <row r="490" spans="1:11" x14ac:dyDescent="0.25">
      <c r="B490" s="295">
        <v>46094</v>
      </c>
      <c r="C490" s="296" t="s">
        <v>2072</v>
      </c>
      <c r="D490" s="296" t="s">
        <v>2080</v>
      </c>
      <c r="E490" s="292" t="s">
        <v>2125</v>
      </c>
      <c r="F490" s="293" t="s">
        <v>6</v>
      </c>
      <c r="G490" s="296" t="s">
        <v>2514</v>
      </c>
      <c r="H490" s="296" t="s">
        <v>2514</v>
      </c>
      <c r="I490" s="304" t="s">
        <v>3294</v>
      </c>
      <c r="J490" s="289" t="s">
        <v>3329</v>
      </c>
      <c r="K490" s="296"/>
    </row>
    <row r="491" spans="1:11" x14ac:dyDescent="0.25">
      <c r="B491" s="295">
        <v>46094</v>
      </c>
      <c r="C491" s="296" t="s">
        <v>2072</v>
      </c>
      <c r="D491" s="296" t="s">
        <v>2080</v>
      </c>
      <c r="E491" s="292" t="s">
        <v>2125</v>
      </c>
      <c r="F491" s="293" t="s">
        <v>6</v>
      </c>
      <c r="G491" s="296" t="s">
        <v>2515</v>
      </c>
      <c r="H491" s="296" t="s">
        <v>2515</v>
      </c>
      <c r="I491" s="304" t="s">
        <v>3294</v>
      </c>
      <c r="J491" s="289" t="s">
        <v>3329</v>
      </c>
      <c r="K491" s="296"/>
    </row>
    <row r="492" spans="1:11" x14ac:dyDescent="0.25">
      <c r="B492" s="295">
        <v>46094</v>
      </c>
      <c r="C492" s="296" t="s">
        <v>2072</v>
      </c>
      <c r="D492" s="296" t="s">
        <v>2454</v>
      </c>
      <c r="E492" s="292" t="s">
        <v>2125</v>
      </c>
      <c r="F492" s="293" t="s">
        <v>6</v>
      </c>
      <c r="G492" s="296" t="s">
        <v>2516</v>
      </c>
      <c r="H492" s="296" t="s">
        <v>2516</v>
      </c>
      <c r="I492" s="304" t="s">
        <v>3294</v>
      </c>
      <c r="J492" s="289" t="s">
        <v>3329</v>
      </c>
      <c r="K492" s="296" t="s">
        <v>2517</v>
      </c>
    </row>
    <row r="493" spans="1:11" x14ac:dyDescent="0.25">
      <c r="B493" s="295">
        <v>46094</v>
      </c>
      <c r="C493" s="296" t="s">
        <v>2072</v>
      </c>
      <c r="D493" s="296" t="s">
        <v>2454</v>
      </c>
      <c r="E493" s="292" t="s">
        <v>2125</v>
      </c>
      <c r="F493" s="293" t="s">
        <v>6</v>
      </c>
      <c r="G493" s="296" t="s">
        <v>2518</v>
      </c>
      <c r="H493" s="296" t="s">
        <v>2518</v>
      </c>
      <c r="I493" s="304" t="s">
        <v>3294</v>
      </c>
      <c r="J493" s="289" t="s">
        <v>3312</v>
      </c>
      <c r="K493" s="296"/>
    </row>
    <row r="494" spans="1:11" x14ac:dyDescent="0.25">
      <c r="A494" s="310"/>
      <c r="B494" s="311">
        <v>46095</v>
      </c>
      <c r="C494" s="312" t="s">
        <v>2519</v>
      </c>
      <c r="D494" s="312" t="s">
        <v>2519</v>
      </c>
      <c r="E494" s="312" t="s">
        <v>2519</v>
      </c>
      <c r="F494" s="312" t="s">
        <v>2519</v>
      </c>
      <c r="G494" s="312" t="s">
        <v>2519</v>
      </c>
      <c r="H494" s="312"/>
      <c r="I494" s="312" t="s">
        <v>2519</v>
      </c>
      <c r="J494" s="312" t="s">
        <v>2519</v>
      </c>
      <c r="K494" s="312" t="s">
        <v>2519</v>
      </c>
    </row>
    <row r="495" spans="1:11" x14ac:dyDescent="0.25">
      <c r="A495" s="310"/>
      <c r="B495" s="311">
        <v>46096</v>
      </c>
      <c r="C495" s="312" t="s">
        <v>2520</v>
      </c>
      <c r="D495" s="312" t="s">
        <v>2520</v>
      </c>
      <c r="E495" s="312" t="s">
        <v>2520</v>
      </c>
      <c r="F495" s="312" t="s">
        <v>2520</v>
      </c>
      <c r="G495" s="312" t="s">
        <v>2520</v>
      </c>
      <c r="H495" s="312"/>
      <c r="I495" s="312" t="s">
        <v>2520</v>
      </c>
      <c r="J495" s="312" t="s">
        <v>2520</v>
      </c>
      <c r="K495" s="312" t="s">
        <v>2520</v>
      </c>
    </row>
    <row r="496" spans="1:11" x14ac:dyDescent="0.25">
      <c r="B496" s="295">
        <v>46097</v>
      </c>
      <c r="C496" s="296" t="s">
        <v>2072</v>
      </c>
      <c r="D496" s="296" t="s">
        <v>2521</v>
      </c>
      <c r="E496" s="292" t="s">
        <v>2125</v>
      </c>
      <c r="F496" s="293" t="s">
        <v>6</v>
      </c>
      <c r="G496" s="296" t="s">
        <v>2522</v>
      </c>
      <c r="H496" s="296" t="s">
        <v>2522</v>
      </c>
      <c r="I496" s="304" t="s">
        <v>3294</v>
      </c>
      <c r="J496" s="289" t="s">
        <v>3329</v>
      </c>
      <c r="K496" s="296" t="s">
        <v>2523</v>
      </c>
    </row>
    <row r="497" spans="2:11" x14ac:dyDescent="0.25">
      <c r="B497" s="295">
        <v>46097</v>
      </c>
      <c r="C497" s="296" t="s">
        <v>2072</v>
      </c>
      <c r="D497" s="296" t="s">
        <v>2521</v>
      </c>
      <c r="E497" s="292" t="s">
        <v>2125</v>
      </c>
      <c r="F497" s="293" t="s">
        <v>6</v>
      </c>
      <c r="G497" s="296" t="s">
        <v>2524</v>
      </c>
      <c r="H497" s="296" t="s">
        <v>2524</v>
      </c>
      <c r="I497" s="304" t="s">
        <v>3294</v>
      </c>
      <c r="J497" s="289" t="s">
        <v>3312</v>
      </c>
      <c r="K497" s="296"/>
    </row>
    <row r="498" spans="2:11" x14ac:dyDescent="0.25">
      <c r="B498" s="295">
        <v>46097</v>
      </c>
      <c r="C498" s="296" t="s">
        <v>2072</v>
      </c>
      <c r="D498" s="296" t="s">
        <v>2521</v>
      </c>
      <c r="E498" s="292" t="s">
        <v>2125</v>
      </c>
      <c r="F498" s="293" t="s">
        <v>6</v>
      </c>
      <c r="G498" s="296" t="s">
        <v>2513</v>
      </c>
      <c r="H498" s="296" t="s">
        <v>2513</v>
      </c>
      <c r="I498" s="304" t="s">
        <v>3294</v>
      </c>
      <c r="J498" s="289" t="s">
        <v>3329</v>
      </c>
      <c r="K498" s="296"/>
    </row>
    <row r="499" spans="2:11" x14ac:dyDescent="0.25">
      <c r="B499" s="295">
        <v>46097</v>
      </c>
      <c r="C499" s="296" t="s">
        <v>2072</v>
      </c>
      <c r="D499" s="296" t="s">
        <v>2521</v>
      </c>
      <c r="E499" s="292" t="s">
        <v>2125</v>
      </c>
      <c r="F499" s="293" t="s">
        <v>6</v>
      </c>
      <c r="G499" s="296" t="s">
        <v>2514</v>
      </c>
      <c r="H499" s="296" t="s">
        <v>2514</v>
      </c>
      <c r="I499" s="304" t="s">
        <v>3294</v>
      </c>
      <c r="J499" s="289" t="s">
        <v>3329</v>
      </c>
      <c r="K499" s="296"/>
    </row>
    <row r="500" spans="2:11" x14ac:dyDescent="0.25">
      <c r="B500" s="295">
        <v>46097</v>
      </c>
      <c r="C500" s="296" t="s">
        <v>2072</v>
      </c>
      <c r="D500" s="296" t="s">
        <v>2521</v>
      </c>
      <c r="E500" s="292" t="s">
        <v>2125</v>
      </c>
      <c r="F500" s="293" t="s">
        <v>6</v>
      </c>
      <c r="G500" s="296" t="s">
        <v>2515</v>
      </c>
      <c r="H500" s="296" t="s">
        <v>2515</v>
      </c>
      <c r="I500" s="304" t="s">
        <v>3294</v>
      </c>
      <c r="J500" s="289" t="s">
        <v>3329</v>
      </c>
      <c r="K500" s="296"/>
    </row>
    <row r="501" spans="2:11" x14ac:dyDescent="0.25">
      <c r="B501" s="295">
        <v>46097</v>
      </c>
      <c r="C501" s="296" t="s">
        <v>2072</v>
      </c>
      <c r="D501" s="296" t="s">
        <v>406</v>
      </c>
      <c r="E501" s="292" t="s">
        <v>2125</v>
      </c>
      <c r="F501" s="293" t="s">
        <v>6</v>
      </c>
      <c r="G501" s="296" t="s">
        <v>2525</v>
      </c>
      <c r="H501" s="296" t="s">
        <v>2525</v>
      </c>
      <c r="I501" s="304" t="s">
        <v>3294</v>
      </c>
      <c r="J501" s="289" t="s">
        <v>3334</v>
      </c>
      <c r="K501" s="296"/>
    </row>
    <row r="502" spans="2:11" x14ac:dyDescent="0.25">
      <c r="B502" s="295">
        <v>46097</v>
      </c>
      <c r="C502" s="296" t="s">
        <v>2072</v>
      </c>
      <c r="D502" s="296" t="s">
        <v>406</v>
      </c>
      <c r="E502" s="292" t="s">
        <v>2125</v>
      </c>
      <c r="F502" s="293" t="s">
        <v>6</v>
      </c>
      <c r="G502" s="296" t="s">
        <v>2518</v>
      </c>
      <c r="H502" s="296" t="s">
        <v>2518</v>
      </c>
      <c r="I502" s="304" t="s">
        <v>3294</v>
      </c>
      <c r="J502" s="289" t="s">
        <v>3312</v>
      </c>
      <c r="K502" s="296"/>
    </row>
    <row r="503" spans="2:11" x14ac:dyDescent="0.25">
      <c r="B503" s="295">
        <v>46098</v>
      </c>
      <c r="C503" s="296" t="s">
        <v>2072</v>
      </c>
      <c r="D503" s="296" t="s">
        <v>2058</v>
      </c>
      <c r="E503" s="292" t="s">
        <v>2125</v>
      </c>
      <c r="F503" s="293" t="s">
        <v>6</v>
      </c>
      <c r="G503" s="296" t="s">
        <v>2526</v>
      </c>
      <c r="H503" s="296" t="s">
        <v>2526</v>
      </c>
      <c r="I503" s="304" t="s">
        <v>3294</v>
      </c>
      <c r="J503" s="289" t="s">
        <v>3301</v>
      </c>
      <c r="K503" s="296"/>
    </row>
    <row r="504" spans="2:11" x14ac:dyDescent="0.25">
      <c r="B504" s="295">
        <v>46098</v>
      </c>
      <c r="C504" s="296" t="s">
        <v>2072</v>
      </c>
      <c r="D504" s="296" t="s">
        <v>410</v>
      </c>
      <c r="E504" s="292" t="s">
        <v>2125</v>
      </c>
      <c r="F504" s="293" t="s">
        <v>6</v>
      </c>
      <c r="G504" s="296" t="s">
        <v>2527</v>
      </c>
      <c r="H504" s="296" t="s">
        <v>2527</v>
      </c>
      <c r="I504" s="304" t="s">
        <v>3294</v>
      </c>
      <c r="J504" s="289" t="s">
        <v>3403</v>
      </c>
      <c r="K504" s="296"/>
    </row>
    <row r="505" spans="2:11" x14ac:dyDescent="0.25">
      <c r="B505" s="295">
        <v>46098</v>
      </c>
      <c r="C505" s="296" t="s">
        <v>2072</v>
      </c>
      <c r="D505" s="296" t="s">
        <v>410</v>
      </c>
      <c r="E505" s="292" t="s">
        <v>2125</v>
      </c>
      <c r="F505" s="293" t="s">
        <v>6</v>
      </c>
      <c r="G505" s="296" t="s">
        <v>2528</v>
      </c>
      <c r="H505" s="296" t="s">
        <v>2528</v>
      </c>
      <c r="I505" s="304" t="s">
        <v>3294</v>
      </c>
      <c r="J505" s="289" t="s">
        <v>3312</v>
      </c>
      <c r="K505" s="296"/>
    </row>
    <row r="506" spans="2:11" x14ac:dyDescent="0.25">
      <c r="B506" s="295">
        <v>46098</v>
      </c>
      <c r="C506" s="296" t="s">
        <v>2072</v>
      </c>
      <c r="D506" s="296" t="s">
        <v>406</v>
      </c>
      <c r="E506" s="292" t="s">
        <v>2125</v>
      </c>
      <c r="F506" s="293" t="s">
        <v>6</v>
      </c>
      <c r="G506" s="296" t="s">
        <v>2529</v>
      </c>
      <c r="H506" s="296" t="s">
        <v>2529</v>
      </c>
      <c r="I506" s="304" t="s">
        <v>3294</v>
      </c>
      <c r="J506" s="289" t="s">
        <v>3301</v>
      </c>
      <c r="K506" s="296"/>
    </row>
    <row r="507" spans="2:11" x14ac:dyDescent="0.25">
      <c r="B507" s="295">
        <v>46098</v>
      </c>
      <c r="C507" s="296" t="s">
        <v>2072</v>
      </c>
      <c r="D507" s="296" t="s">
        <v>332</v>
      </c>
      <c r="E507" s="292" t="s">
        <v>2125</v>
      </c>
      <c r="F507" s="293" t="s">
        <v>6</v>
      </c>
      <c r="G507" s="296" t="s">
        <v>2530</v>
      </c>
      <c r="H507" s="296" t="s">
        <v>3346</v>
      </c>
      <c r="I507" s="304" t="s">
        <v>3294</v>
      </c>
      <c r="J507" s="289" t="s">
        <v>3403</v>
      </c>
      <c r="K507" s="296"/>
    </row>
    <row r="508" spans="2:11" x14ac:dyDescent="0.25">
      <c r="B508" s="295">
        <v>46098</v>
      </c>
      <c r="C508" s="296" t="s">
        <v>2072</v>
      </c>
      <c r="D508" s="296" t="s">
        <v>332</v>
      </c>
      <c r="E508" s="292" t="s">
        <v>2125</v>
      </c>
      <c r="F508" s="293" t="s">
        <v>6</v>
      </c>
      <c r="G508" s="296" t="s">
        <v>2531</v>
      </c>
      <c r="H508" s="296" t="s">
        <v>3347</v>
      </c>
      <c r="I508" s="304" t="s">
        <v>3294</v>
      </c>
      <c r="J508" s="289" t="s">
        <v>3312</v>
      </c>
      <c r="K508" s="296"/>
    </row>
    <row r="509" spans="2:11" x14ac:dyDescent="0.25">
      <c r="B509" s="295">
        <v>46098</v>
      </c>
      <c r="C509" s="296" t="s">
        <v>2072</v>
      </c>
      <c r="D509" s="296" t="s">
        <v>2454</v>
      </c>
      <c r="E509" s="292" t="s">
        <v>2125</v>
      </c>
      <c r="F509" s="293" t="s">
        <v>6</v>
      </c>
      <c r="G509" s="296" t="s">
        <v>2532</v>
      </c>
      <c r="H509" s="296" t="s">
        <v>2532</v>
      </c>
      <c r="I509" s="304" t="s">
        <v>3294</v>
      </c>
      <c r="J509" s="289" t="s">
        <v>3333</v>
      </c>
      <c r="K509" s="296"/>
    </row>
    <row r="510" spans="2:11" x14ac:dyDescent="0.25">
      <c r="B510" s="295">
        <v>46098</v>
      </c>
      <c r="C510" s="296" t="s">
        <v>2072</v>
      </c>
      <c r="D510" s="296" t="s">
        <v>2454</v>
      </c>
      <c r="E510" s="292" t="s">
        <v>2125</v>
      </c>
      <c r="F510" s="293" t="s">
        <v>6</v>
      </c>
      <c r="G510" s="296" t="s">
        <v>2533</v>
      </c>
      <c r="H510" s="296" t="s">
        <v>2533</v>
      </c>
      <c r="I510" s="304" t="s">
        <v>3294</v>
      </c>
      <c r="J510" s="289" t="s">
        <v>3333</v>
      </c>
      <c r="K510" s="296"/>
    </row>
    <row r="511" spans="2:11" x14ac:dyDescent="0.25">
      <c r="B511" s="295">
        <v>46098</v>
      </c>
      <c r="C511" s="296" t="s">
        <v>2072</v>
      </c>
      <c r="D511" s="296" t="s">
        <v>332</v>
      </c>
      <c r="E511" s="292" t="s">
        <v>2125</v>
      </c>
      <c r="F511" s="293" t="s">
        <v>6</v>
      </c>
      <c r="G511" s="296" t="s">
        <v>2534</v>
      </c>
      <c r="H511" s="296" t="s">
        <v>2534</v>
      </c>
      <c r="I511" s="304" t="s">
        <v>3294</v>
      </c>
      <c r="J511" s="289" t="s">
        <v>3329</v>
      </c>
      <c r="K511" s="296"/>
    </row>
    <row r="512" spans="2:11" x14ac:dyDescent="0.25">
      <c r="B512" s="295">
        <v>46098</v>
      </c>
      <c r="C512" s="296" t="s">
        <v>2072</v>
      </c>
      <c r="D512" s="296" t="s">
        <v>332</v>
      </c>
      <c r="E512" s="292" t="s">
        <v>2125</v>
      </c>
      <c r="F512" s="293" t="s">
        <v>6</v>
      </c>
      <c r="G512" s="296" t="s">
        <v>2535</v>
      </c>
      <c r="H512" s="296" t="s">
        <v>3345</v>
      </c>
      <c r="I512" s="304" t="s">
        <v>3294</v>
      </c>
      <c r="J512" s="289" t="s">
        <v>3333</v>
      </c>
      <c r="K512" s="296"/>
    </row>
    <row r="513" spans="2:11" x14ac:dyDescent="0.25">
      <c r="B513" s="295">
        <v>46098</v>
      </c>
      <c r="C513" s="296" t="s">
        <v>2072</v>
      </c>
      <c r="D513" s="296" t="s">
        <v>2454</v>
      </c>
      <c r="E513" s="292" t="s">
        <v>2125</v>
      </c>
      <c r="F513" s="293" t="s">
        <v>6</v>
      </c>
      <c r="G513" s="296" t="s">
        <v>2536</v>
      </c>
      <c r="H513" s="296" t="s">
        <v>2536</v>
      </c>
      <c r="I513" s="304" t="s">
        <v>3294</v>
      </c>
      <c r="J513" s="289" t="s">
        <v>3329</v>
      </c>
      <c r="K513" s="296"/>
    </row>
    <row r="514" spans="2:11" x14ac:dyDescent="0.25">
      <c r="B514" s="295">
        <v>46098</v>
      </c>
      <c r="C514" s="296" t="s">
        <v>2072</v>
      </c>
      <c r="D514" s="296" t="s">
        <v>614</v>
      </c>
      <c r="E514" s="292" t="s">
        <v>2125</v>
      </c>
      <c r="F514" s="293" t="s">
        <v>6</v>
      </c>
      <c r="G514" s="296" t="s">
        <v>1610</v>
      </c>
      <c r="H514" s="296" t="s">
        <v>1610</v>
      </c>
      <c r="I514" s="304" t="s">
        <v>3294</v>
      </c>
      <c r="J514" s="289" t="s">
        <v>3301</v>
      </c>
      <c r="K514" s="296"/>
    </row>
    <row r="515" spans="2:11" x14ac:dyDescent="0.25">
      <c r="B515" s="295">
        <v>46098</v>
      </c>
      <c r="C515" s="296" t="s">
        <v>2072</v>
      </c>
      <c r="D515" s="296" t="s">
        <v>2454</v>
      </c>
      <c r="E515" s="292" t="s">
        <v>2125</v>
      </c>
      <c r="F515" s="293" t="s">
        <v>6</v>
      </c>
      <c r="G515" s="296" t="s">
        <v>2537</v>
      </c>
      <c r="H515" s="296" t="s">
        <v>2537</v>
      </c>
      <c r="I515" s="304" t="s">
        <v>3294</v>
      </c>
      <c r="J515" s="289" t="s">
        <v>3329</v>
      </c>
      <c r="K515" s="296"/>
    </row>
    <row r="516" spans="2:11" x14ac:dyDescent="0.25">
      <c r="B516" s="295">
        <v>46098</v>
      </c>
      <c r="C516" s="296" t="s">
        <v>2072</v>
      </c>
      <c r="D516" s="296" t="s">
        <v>2454</v>
      </c>
      <c r="E516" s="292" t="s">
        <v>2125</v>
      </c>
      <c r="F516" s="293" t="s">
        <v>6</v>
      </c>
      <c r="G516" s="296" t="s">
        <v>2538</v>
      </c>
      <c r="H516" s="296" t="s">
        <v>2538</v>
      </c>
      <c r="I516" s="304" t="s">
        <v>3294</v>
      </c>
      <c r="J516" s="289" t="s">
        <v>3329</v>
      </c>
      <c r="K516" s="296"/>
    </row>
    <row r="517" spans="2:11" x14ac:dyDescent="0.25">
      <c r="B517" s="295">
        <v>46098</v>
      </c>
      <c r="C517" s="296" t="s">
        <v>2072</v>
      </c>
      <c r="D517" s="296" t="s">
        <v>2454</v>
      </c>
      <c r="E517" s="292" t="s">
        <v>2125</v>
      </c>
      <c r="F517" s="293" t="s">
        <v>6</v>
      </c>
      <c r="G517" s="296" t="s">
        <v>2539</v>
      </c>
      <c r="H517" s="296" t="s">
        <v>2539</v>
      </c>
      <c r="I517" s="304" t="s">
        <v>3294</v>
      </c>
      <c r="J517" s="289" t="s">
        <v>3329</v>
      </c>
      <c r="K517" s="296"/>
    </row>
    <row r="518" spans="2:11" x14ac:dyDescent="0.25">
      <c r="B518" s="295">
        <v>46099</v>
      </c>
      <c r="C518" s="296" t="s">
        <v>2072</v>
      </c>
      <c r="D518" s="296" t="s">
        <v>332</v>
      </c>
      <c r="E518" s="292" t="s">
        <v>2125</v>
      </c>
      <c r="F518" s="293" t="s">
        <v>6</v>
      </c>
      <c r="G518" s="296" t="s">
        <v>2540</v>
      </c>
      <c r="H518" s="296" t="s">
        <v>2540</v>
      </c>
      <c r="I518" s="304" t="s">
        <v>3294</v>
      </c>
      <c r="J518" s="289" t="s">
        <v>3312</v>
      </c>
      <c r="K518" s="296"/>
    </row>
    <row r="519" spans="2:11" x14ac:dyDescent="0.25">
      <c r="B519" s="295">
        <v>46099</v>
      </c>
      <c r="C519" s="296" t="s">
        <v>2072</v>
      </c>
      <c r="D519" s="296" t="s">
        <v>332</v>
      </c>
      <c r="E519" s="292" t="s">
        <v>2125</v>
      </c>
      <c r="F519" s="293" t="s">
        <v>6</v>
      </c>
      <c r="G519" s="296" t="s">
        <v>2541</v>
      </c>
      <c r="H519" s="296" t="s">
        <v>2541</v>
      </c>
      <c r="I519" s="304" t="s">
        <v>3294</v>
      </c>
      <c r="J519" s="289" t="s">
        <v>3329</v>
      </c>
      <c r="K519" s="296"/>
    </row>
    <row r="520" spans="2:11" x14ac:dyDescent="0.25">
      <c r="B520" s="295">
        <v>46099</v>
      </c>
      <c r="C520" s="296" t="s">
        <v>2072</v>
      </c>
      <c r="D520" s="296" t="s">
        <v>332</v>
      </c>
      <c r="E520" s="292" t="s">
        <v>2125</v>
      </c>
      <c r="F520" s="293" t="s">
        <v>6</v>
      </c>
      <c r="G520" s="296" t="s">
        <v>2542</v>
      </c>
      <c r="H520" s="318" t="s">
        <v>2542</v>
      </c>
      <c r="I520" s="304" t="s">
        <v>3294</v>
      </c>
      <c r="J520" s="289" t="s">
        <v>3329</v>
      </c>
    </row>
    <row r="521" spans="2:11" x14ac:dyDescent="0.25">
      <c r="B521" s="295">
        <v>46099</v>
      </c>
      <c r="C521" s="296" t="s">
        <v>2072</v>
      </c>
      <c r="D521" s="296" t="s">
        <v>332</v>
      </c>
      <c r="E521" s="292" t="s">
        <v>2125</v>
      </c>
      <c r="F521" s="293" t="s">
        <v>6</v>
      </c>
      <c r="G521" s="296" t="s">
        <v>2543</v>
      </c>
      <c r="H521" s="318" t="s">
        <v>2543</v>
      </c>
      <c r="I521" s="304" t="s">
        <v>3294</v>
      </c>
      <c r="J521" s="289" t="s">
        <v>3312</v>
      </c>
    </row>
    <row r="522" spans="2:11" x14ac:dyDescent="0.25">
      <c r="B522" s="295">
        <v>46099</v>
      </c>
      <c r="C522" s="296" t="s">
        <v>2072</v>
      </c>
      <c r="D522" s="296" t="s">
        <v>2544</v>
      </c>
      <c r="E522" s="292" t="s">
        <v>2125</v>
      </c>
      <c r="F522" s="293" t="s">
        <v>6</v>
      </c>
      <c r="G522" s="296" t="s">
        <v>2545</v>
      </c>
      <c r="H522" s="318" t="s">
        <v>2545</v>
      </c>
      <c r="I522" s="304" t="s">
        <v>3294</v>
      </c>
      <c r="J522" s="289" t="s">
        <v>3329</v>
      </c>
    </row>
    <row r="523" spans="2:11" x14ac:dyDescent="0.25">
      <c r="B523" s="295">
        <v>46099</v>
      </c>
      <c r="C523" s="296" t="s">
        <v>2072</v>
      </c>
      <c r="D523" s="296" t="s">
        <v>2454</v>
      </c>
      <c r="E523" s="292" t="s">
        <v>2125</v>
      </c>
      <c r="F523" s="293" t="s">
        <v>6</v>
      </c>
      <c r="G523" s="296" t="s">
        <v>2533</v>
      </c>
      <c r="H523" s="318" t="s">
        <v>2533</v>
      </c>
      <c r="I523" s="304" t="s">
        <v>3294</v>
      </c>
      <c r="J523" s="289" t="s">
        <v>3312</v>
      </c>
    </row>
    <row r="524" spans="2:11" x14ac:dyDescent="0.25">
      <c r="B524" s="295">
        <v>46099</v>
      </c>
      <c r="C524" s="296" t="s">
        <v>2072</v>
      </c>
      <c r="D524" s="296" t="s">
        <v>2454</v>
      </c>
      <c r="E524" s="292" t="s">
        <v>2125</v>
      </c>
      <c r="F524" s="293" t="s">
        <v>6</v>
      </c>
      <c r="G524" s="296" t="s">
        <v>2546</v>
      </c>
      <c r="H524" s="318" t="s">
        <v>2546</v>
      </c>
      <c r="I524" s="304" t="s">
        <v>3294</v>
      </c>
      <c r="J524" s="289" t="s">
        <v>3329</v>
      </c>
    </row>
    <row r="525" spans="2:11" x14ac:dyDescent="0.25">
      <c r="B525" s="295">
        <v>46099</v>
      </c>
      <c r="C525" s="296" t="s">
        <v>2072</v>
      </c>
      <c r="D525" s="296" t="s">
        <v>2454</v>
      </c>
      <c r="E525" s="292" t="s">
        <v>2125</v>
      </c>
      <c r="F525" s="293" t="s">
        <v>6</v>
      </c>
      <c r="G525" s="296" t="s">
        <v>2547</v>
      </c>
      <c r="H525" s="318" t="s">
        <v>2547</v>
      </c>
      <c r="I525" s="304" t="s">
        <v>3294</v>
      </c>
      <c r="J525" s="289" t="s">
        <v>3329</v>
      </c>
    </row>
    <row r="526" spans="2:11" x14ac:dyDescent="0.25">
      <c r="B526" s="295">
        <v>46099</v>
      </c>
      <c r="C526" s="296" t="s">
        <v>2072</v>
      </c>
      <c r="D526" s="296" t="s">
        <v>2454</v>
      </c>
      <c r="E526" s="292" t="s">
        <v>2125</v>
      </c>
      <c r="F526" s="293" t="s">
        <v>6</v>
      </c>
      <c r="G526" s="296" t="s">
        <v>2548</v>
      </c>
      <c r="H526" s="318" t="s">
        <v>2548</v>
      </c>
      <c r="I526" s="304" t="s">
        <v>3294</v>
      </c>
      <c r="J526" s="289" t="s">
        <v>3329</v>
      </c>
    </row>
    <row r="527" spans="2:11" x14ac:dyDescent="0.25">
      <c r="B527" s="295">
        <v>46099</v>
      </c>
      <c r="C527" s="296" t="s">
        <v>2072</v>
      </c>
      <c r="D527" s="296" t="s">
        <v>2454</v>
      </c>
      <c r="E527" s="292" t="s">
        <v>2125</v>
      </c>
      <c r="F527" s="293" t="s">
        <v>6</v>
      </c>
      <c r="G527" s="296" t="s">
        <v>2549</v>
      </c>
      <c r="H527" s="318" t="s">
        <v>2549</v>
      </c>
      <c r="I527" s="304" t="s">
        <v>3294</v>
      </c>
      <c r="J527" s="289" t="s">
        <v>3312</v>
      </c>
    </row>
    <row r="528" spans="2:11" x14ac:dyDescent="0.25">
      <c r="B528" s="295">
        <v>46100</v>
      </c>
      <c r="C528" s="296" t="s">
        <v>2072</v>
      </c>
      <c r="D528" s="296" t="s">
        <v>410</v>
      </c>
      <c r="E528" s="292" t="s">
        <v>2125</v>
      </c>
      <c r="F528" s="293" t="s">
        <v>6</v>
      </c>
      <c r="G528" s="296" t="s">
        <v>2550</v>
      </c>
      <c r="H528" s="318" t="s">
        <v>2550</v>
      </c>
      <c r="I528" s="304" t="s">
        <v>3294</v>
      </c>
      <c r="J528" s="289" t="s">
        <v>3314</v>
      </c>
    </row>
    <row r="529" spans="1:11" x14ac:dyDescent="0.25">
      <c r="B529" s="295">
        <v>46100</v>
      </c>
      <c r="C529" s="296" t="s">
        <v>2072</v>
      </c>
      <c r="D529" s="296" t="s">
        <v>410</v>
      </c>
      <c r="E529" s="292" t="s">
        <v>2125</v>
      </c>
      <c r="F529" s="293" t="s">
        <v>6</v>
      </c>
      <c r="G529" s="296" t="s">
        <v>2551</v>
      </c>
      <c r="H529" s="318" t="s">
        <v>2551</v>
      </c>
      <c r="I529" s="304" t="s">
        <v>3294</v>
      </c>
      <c r="J529" s="289" t="s">
        <v>3329</v>
      </c>
    </row>
    <row r="530" spans="1:11" x14ac:dyDescent="0.25">
      <c r="B530" s="295">
        <v>46100</v>
      </c>
      <c r="C530" s="296" t="s">
        <v>2072</v>
      </c>
      <c r="D530" s="296" t="s">
        <v>410</v>
      </c>
      <c r="E530" s="292" t="s">
        <v>2125</v>
      </c>
      <c r="F530" s="293" t="s">
        <v>6</v>
      </c>
      <c r="G530" s="296" t="s">
        <v>2552</v>
      </c>
      <c r="H530" s="318" t="s">
        <v>2552</v>
      </c>
      <c r="I530" s="304" t="s">
        <v>3294</v>
      </c>
      <c r="J530" s="289" t="s">
        <v>3312</v>
      </c>
    </row>
    <row r="531" spans="1:11" x14ac:dyDescent="0.25">
      <c r="B531" s="295">
        <v>46100</v>
      </c>
      <c r="C531" s="296" t="s">
        <v>2072</v>
      </c>
      <c r="D531" s="296" t="s">
        <v>410</v>
      </c>
      <c r="E531" s="292" t="s">
        <v>2125</v>
      </c>
      <c r="F531" s="293" t="s">
        <v>6</v>
      </c>
      <c r="G531" s="296" t="s">
        <v>2553</v>
      </c>
      <c r="H531" s="318" t="s">
        <v>2553</v>
      </c>
      <c r="I531" s="304" t="s">
        <v>3294</v>
      </c>
      <c r="J531" s="289" t="s">
        <v>3312</v>
      </c>
    </row>
    <row r="532" spans="1:11" x14ac:dyDescent="0.25">
      <c r="B532" s="295">
        <v>46100</v>
      </c>
      <c r="C532" s="296" t="s">
        <v>2072</v>
      </c>
      <c r="D532" s="296" t="s">
        <v>410</v>
      </c>
      <c r="E532" s="292" t="s">
        <v>2125</v>
      </c>
      <c r="F532" s="293" t="s">
        <v>6</v>
      </c>
      <c r="G532" s="296" t="s">
        <v>2554</v>
      </c>
      <c r="H532" s="318" t="s">
        <v>2554</v>
      </c>
      <c r="I532" s="304" t="s">
        <v>3294</v>
      </c>
      <c r="J532" s="289" t="s">
        <v>3329</v>
      </c>
    </row>
    <row r="533" spans="1:11" x14ac:dyDescent="0.25">
      <c r="B533" s="295">
        <v>46101</v>
      </c>
      <c r="C533" s="296" t="s">
        <v>2072</v>
      </c>
      <c r="D533" s="296" t="s">
        <v>2454</v>
      </c>
      <c r="E533" s="292" t="s">
        <v>2125</v>
      </c>
      <c r="F533" s="293" t="s">
        <v>6</v>
      </c>
      <c r="G533" s="296" t="s">
        <v>2555</v>
      </c>
      <c r="H533" s="318" t="s">
        <v>2555</v>
      </c>
      <c r="I533" s="304" t="s">
        <v>3294</v>
      </c>
      <c r="J533" s="289" t="s">
        <v>3333</v>
      </c>
    </row>
    <row r="534" spans="1:11" x14ac:dyDescent="0.25">
      <c r="B534" s="295">
        <v>46101</v>
      </c>
      <c r="C534" s="296" t="s">
        <v>2072</v>
      </c>
      <c r="D534" s="296" t="s">
        <v>2454</v>
      </c>
      <c r="E534" s="292" t="s">
        <v>2125</v>
      </c>
      <c r="F534" s="293" t="s">
        <v>6</v>
      </c>
      <c r="G534" s="296" t="s">
        <v>2556</v>
      </c>
      <c r="H534" s="318" t="s">
        <v>2556</v>
      </c>
      <c r="I534" s="304" t="s">
        <v>3294</v>
      </c>
      <c r="J534" s="289" t="s">
        <v>3312</v>
      </c>
    </row>
    <row r="535" spans="1:11" x14ac:dyDescent="0.25">
      <c r="B535" s="295">
        <v>46101</v>
      </c>
      <c r="C535" s="296" t="s">
        <v>2072</v>
      </c>
      <c r="D535" s="296" t="s">
        <v>1816</v>
      </c>
      <c r="E535" s="292" t="s">
        <v>2125</v>
      </c>
      <c r="F535" s="293" t="s">
        <v>6</v>
      </c>
      <c r="G535" s="296" t="s">
        <v>2557</v>
      </c>
      <c r="H535" s="318" t="s">
        <v>2557</v>
      </c>
      <c r="I535" s="304" t="s">
        <v>3294</v>
      </c>
      <c r="J535" s="289" t="s">
        <v>3329</v>
      </c>
    </row>
    <row r="536" spans="1:11" x14ac:dyDescent="0.25">
      <c r="B536" s="295">
        <v>46101</v>
      </c>
      <c r="C536" s="296" t="s">
        <v>2072</v>
      </c>
      <c r="D536" s="296" t="s">
        <v>1820</v>
      </c>
      <c r="E536" s="292" t="s">
        <v>2125</v>
      </c>
      <c r="F536" s="293" t="s">
        <v>6</v>
      </c>
      <c r="G536" s="296" t="s">
        <v>2558</v>
      </c>
      <c r="H536" s="318" t="s">
        <v>2558</v>
      </c>
      <c r="I536" s="304" t="s">
        <v>3294</v>
      </c>
      <c r="J536" s="289" t="s">
        <v>3334</v>
      </c>
    </row>
    <row r="537" spans="1:11" x14ac:dyDescent="0.25">
      <c r="B537" s="295">
        <v>46101</v>
      </c>
      <c r="C537" s="296" t="s">
        <v>2072</v>
      </c>
      <c r="D537" s="296" t="s">
        <v>2332</v>
      </c>
      <c r="E537" s="292" t="s">
        <v>2125</v>
      </c>
      <c r="F537" s="293" t="s">
        <v>6</v>
      </c>
      <c r="G537" s="296" t="s">
        <v>2559</v>
      </c>
      <c r="H537" s="318" t="s">
        <v>2559</v>
      </c>
      <c r="I537" s="304" t="s">
        <v>3294</v>
      </c>
      <c r="J537" s="289" t="s">
        <v>3313</v>
      </c>
    </row>
    <row r="538" spans="1:11" x14ac:dyDescent="0.25">
      <c r="B538" s="295">
        <v>46101</v>
      </c>
      <c r="C538" s="296" t="s">
        <v>2072</v>
      </c>
      <c r="D538" s="296" t="s">
        <v>2058</v>
      </c>
      <c r="E538" s="292" t="s">
        <v>2125</v>
      </c>
      <c r="F538" s="293" t="s">
        <v>6</v>
      </c>
      <c r="G538" s="296" t="s">
        <v>2560</v>
      </c>
      <c r="H538" s="318" t="s">
        <v>2560</v>
      </c>
      <c r="I538" s="304" t="s">
        <v>3294</v>
      </c>
      <c r="J538" s="289" t="s">
        <v>3402</v>
      </c>
    </row>
    <row r="539" spans="1:11" x14ac:dyDescent="0.25">
      <c r="B539" s="295">
        <v>46101</v>
      </c>
      <c r="C539" s="296" t="s">
        <v>2072</v>
      </c>
      <c r="D539" s="296" t="s">
        <v>2561</v>
      </c>
      <c r="E539" s="292" t="s">
        <v>2125</v>
      </c>
      <c r="F539" s="293" t="s">
        <v>6</v>
      </c>
      <c r="G539" s="296" t="s">
        <v>2562</v>
      </c>
      <c r="H539" s="318" t="s">
        <v>2562</v>
      </c>
      <c r="I539" s="304" t="s">
        <v>3294</v>
      </c>
      <c r="J539" s="289" t="s">
        <v>3314</v>
      </c>
    </row>
    <row r="540" spans="1:11" x14ac:dyDescent="0.25">
      <c r="B540" s="295">
        <v>46101</v>
      </c>
      <c r="C540" s="296" t="s">
        <v>2072</v>
      </c>
      <c r="D540" s="296" t="s">
        <v>2561</v>
      </c>
      <c r="E540" s="292" t="s">
        <v>2125</v>
      </c>
      <c r="F540" s="293" t="s">
        <v>6</v>
      </c>
      <c r="G540" s="296" t="s">
        <v>2499</v>
      </c>
      <c r="H540" s="318" t="s">
        <v>2499</v>
      </c>
      <c r="I540" s="304" t="s">
        <v>3294</v>
      </c>
      <c r="J540" s="289" t="s">
        <v>3334</v>
      </c>
    </row>
    <row r="541" spans="1:11" x14ac:dyDescent="0.25">
      <c r="B541" s="295">
        <v>46101</v>
      </c>
      <c r="C541" s="296" t="s">
        <v>2072</v>
      </c>
      <c r="D541" s="296" t="s">
        <v>2561</v>
      </c>
      <c r="E541" s="292" t="s">
        <v>2125</v>
      </c>
      <c r="F541" s="293" t="s">
        <v>6</v>
      </c>
      <c r="G541" s="296" t="s">
        <v>2563</v>
      </c>
      <c r="H541" s="318" t="s">
        <v>2563</v>
      </c>
      <c r="I541" s="304" t="s">
        <v>3294</v>
      </c>
      <c r="J541" s="289" t="s">
        <v>3403</v>
      </c>
    </row>
    <row r="542" spans="1:11" x14ac:dyDescent="0.25">
      <c r="B542" s="295">
        <v>46101</v>
      </c>
      <c r="C542" s="296" t="s">
        <v>2072</v>
      </c>
      <c r="D542" s="296" t="s">
        <v>2561</v>
      </c>
      <c r="E542" s="292" t="s">
        <v>2125</v>
      </c>
      <c r="F542" s="293" t="s">
        <v>6</v>
      </c>
      <c r="G542" s="296" t="s">
        <v>2564</v>
      </c>
      <c r="H542" s="318" t="s">
        <v>2564</v>
      </c>
      <c r="I542" s="304" t="s">
        <v>3294</v>
      </c>
      <c r="J542" s="289" t="s">
        <v>3301</v>
      </c>
    </row>
    <row r="543" spans="1:11" x14ac:dyDescent="0.25">
      <c r="A543" s="310"/>
      <c r="B543" s="311">
        <v>46102</v>
      </c>
      <c r="C543" s="312" t="s">
        <v>362</v>
      </c>
      <c r="D543" s="312" t="s">
        <v>2519</v>
      </c>
      <c r="E543" s="312" t="s">
        <v>2519</v>
      </c>
      <c r="F543" s="312" t="s">
        <v>2519</v>
      </c>
      <c r="G543" s="312" t="s">
        <v>2519</v>
      </c>
      <c r="H543" s="312"/>
      <c r="I543" s="312" t="s">
        <v>2519</v>
      </c>
      <c r="J543" s="312" t="s">
        <v>2519</v>
      </c>
      <c r="K543" s="312" t="s">
        <v>2519</v>
      </c>
    </row>
    <row r="544" spans="1:11" x14ac:dyDescent="0.25">
      <c r="A544" s="310"/>
      <c r="B544" s="311">
        <v>46103</v>
      </c>
      <c r="C544" s="312" t="s">
        <v>362</v>
      </c>
      <c r="D544" s="312" t="s">
        <v>2520</v>
      </c>
      <c r="E544" s="312" t="s">
        <v>2520</v>
      </c>
      <c r="F544" s="312" t="s">
        <v>2520</v>
      </c>
      <c r="G544" s="312" t="s">
        <v>2520</v>
      </c>
      <c r="H544" s="312"/>
      <c r="I544" s="312" t="s">
        <v>2520</v>
      </c>
      <c r="J544" s="312" t="s">
        <v>2520</v>
      </c>
      <c r="K544" s="312" t="s">
        <v>2520</v>
      </c>
    </row>
    <row r="545" spans="2:11" x14ac:dyDescent="0.25">
      <c r="B545" s="295">
        <v>46104</v>
      </c>
      <c r="C545" s="296" t="s">
        <v>2072</v>
      </c>
      <c r="D545" s="296" t="s">
        <v>614</v>
      </c>
      <c r="E545" s="292" t="s">
        <v>2125</v>
      </c>
      <c r="F545" s="293" t="s">
        <v>6</v>
      </c>
      <c r="G545" s="296" t="s">
        <v>3260</v>
      </c>
      <c r="H545" s="318" t="s">
        <v>3260</v>
      </c>
      <c r="I545" s="304" t="s">
        <v>3294</v>
      </c>
      <c r="J545" s="289" t="s">
        <v>3314</v>
      </c>
    </row>
    <row r="546" spans="2:11" x14ac:dyDescent="0.25">
      <c r="B546" s="295">
        <v>46104</v>
      </c>
      <c r="C546" s="296" t="s">
        <v>2072</v>
      </c>
      <c r="D546" s="296" t="s">
        <v>3259</v>
      </c>
      <c r="E546" s="292" t="s">
        <v>2125</v>
      </c>
      <c r="F546" s="293" t="s">
        <v>6</v>
      </c>
      <c r="G546" s="296" t="s">
        <v>3261</v>
      </c>
      <c r="H546" s="318" t="s">
        <v>3344</v>
      </c>
      <c r="I546" s="304" t="s">
        <v>3294</v>
      </c>
      <c r="J546" s="289" t="s">
        <v>3333</v>
      </c>
    </row>
    <row r="547" spans="2:11" x14ac:dyDescent="0.25">
      <c r="B547" s="295">
        <v>46104</v>
      </c>
      <c r="C547" s="296" t="s">
        <v>2072</v>
      </c>
      <c r="D547" s="296" t="s">
        <v>410</v>
      </c>
      <c r="E547" s="292" t="s">
        <v>2125</v>
      </c>
      <c r="F547" s="293" t="s">
        <v>6</v>
      </c>
      <c r="G547" s="296" t="s">
        <v>3262</v>
      </c>
      <c r="H547" s="318" t="s">
        <v>3262</v>
      </c>
      <c r="I547" s="304" t="s">
        <v>3294</v>
      </c>
      <c r="J547" s="289" t="s">
        <v>3334</v>
      </c>
    </row>
    <row r="548" spans="2:11" x14ac:dyDescent="0.25">
      <c r="B548" s="295">
        <v>46104</v>
      </c>
      <c r="C548" s="296" t="s">
        <v>2072</v>
      </c>
      <c r="D548" s="296" t="s">
        <v>410</v>
      </c>
      <c r="E548" s="292" t="s">
        <v>2125</v>
      </c>
      <c r="F548" s="293" t="s">
        <v>6</v>
      </c>
      <c r="G548" s="296" t="s">
        <v>3263</v>
      </c>
      <c r="H548" s="318" t="s">
        <v>3263</v>
      </c>
      <c r="I548" s="304" t="s">
        <v>3294</v>
      </c>
      <c r="J548" s="289" t="s">
        <v>3333</v>
      </c>
    </row>
    <row r="549" spans="2:11" x14ac:dyDescent="0.25">
      <c r="B549" s="295">
        <v>46104</v>
      </c>
      <c r="C549" s="296" t="s">
        <v>2072</v>
      </c>
      <c r="D549" s="296" t="s">
        <v>3259</v>
      </c>
      <c r="E549" s="292" t="s">
        <v>2125</v>
      </c>
      <c r="F549" s="293" t="s">
        <v>6</v>
      </c>
      <c r="G549" s="296" t="s">
        <v>3264</v>
      </c>
      <c r="H549" s="318" t="s">
        <v>3264</v>
      </c>
      <c r="I549" s="304" t="s">
        <v>3294</v>
      </c>
      <c r="J549" s="289" t="s">
        <v>3312</v>
      </c>
    </row>
    <row r="550" spans="2:11" x14ac:dyDescent="0.25">
      <c r="B550" s="295">
        <v>46104</v>
      </c>
      <c r="C550" s="296" t="s">
        <v>2072</v>
      </c>
      <c r="D550" s="296" t="s">
        <v>3259</v>
      </c>
      <c r="E550" s="292" t="s">
        <v>2125</v>
      </c>
      <c r="F550" s="293" t="s">
        <v>6</v>
      </c>
      <c r="G550" s="296" t="s">
        <v>3265</v>
      </c>
      <c r="H550" s="318" t="s">
        <v>3265</v>
      </c>
      <c r="I550" s="304" t="s">
        <v>3294</v>
      </c>
      <c r="J550" s="289" t="s">
        <v>3301</v>
      </c>
    </row>
    <row r="551" spans="2:11" x14ac:dyDescent="0.25">
      <c r="B551" s="295">
        <v>46105</v>
      </c>
      <c r="C551" s="318" t="s">
        <v>2072</v>
      </c>
      <c r="D551" s="296" t="s">
        <v>410</v>
      </c>
      <c r="E551" s="315" t="s">
        <v>2125</v>
      </c>
      <c r="F551" s="316" t="s">
        <v>6</v>
      </c>
      <c r="G551" s="318" t="s">
        <v>3311</v>
      </c>
      <c r="H551" s="318" t="s">
        <v>3311</v>
      </c>
      <c r="I551" s="317" t="s">
        <v>3294</v>
      </c>
      <c r="J551" s="289" t="s">
        <v>3314</v>
      </c>
    </row>
    <row r="552" spans="2:11" x14ac:dyDescent="0.25">
      <c r="B552" s="319">
        <v>46105</v>
      </c>
      <c r="C552" s="318" t="s">
        <v>2072</v>
      </c>
      <c r="D552" s="296" t="s">
        <v>2080</v>
      </c>
      <c r="E552" s="315" t="s">
        <v>2125</v>
      </c>
      <c r="F552" s="316" t="s">
        <v>6</v>
      </c>
      <c r="G552" s="318" t="s">
        <v>3310</v>
      </c>
      <c r="H552" s="318" t="s">
        <v>3310</v>
      </c>
      <c r="I552" s="317" t="s">
        <v>3294</v>
      </c>
      <c r="J552" s="289" t="s">
        <v>3312</v>
      </c>
    </row>
    <row r="553" spans="2:11" x14ac:dyDescent="0.25">
      <c r="B553" s="319">
        <v>46105</v>
      </c>
      <c r="C553" s="318" t="s">
        <v>2072</v>
      </c>
      <c r="D553" s="296" t="s">
        <v>2080</v>
      </c>
      <c r="E553" s="315" t="s">
        <v>2125</v>
      </c>
      <c r="F553" s="316" t="s">
        <v>6</v>
      </c>
      <c r="G553" s="318" t="s">
        <v>3332</v>
      </c>
      <c r="H553" s="318" t="s">
        <v>3332</v>
      </c>
      <c r="I553" s="317" t="s">
        <v>3294</v>
      </c>
      <c r="J553" s="289" t="s">
        <v>3329</v>
      </c>
    </row>
    <row r="554" spans="2:11" x14ac:dyDescent="0.25">
      <c r="B554" s="319">
        <v>46105</v>
      </c>
      <c r="C554" s="318" t="s">
        <v>2072</v>
      </c>
      <c r="D554" s="296" t="s">
        <v>614</v>
      </c>
      <c r="E554" s="315" t="s">
        <v>2125</v>
      </c>
      <c r="F554" s="316" t="s">
        <v>6</v>
      </c>
      <c r="G554" s="318" t="s">
        <v>2529</v>
      </c>
      <c r="H554" s="318" t="s">
        <v>2529</v>
      </c>
      <c r="I554" s="317" t="s">
        <v>3294</v>
      </c>
      <c r="J554" s="289" t="s">
        <v>3301</v>
      </c>
    </row>
    <row r="555" spans="2:11" x14ac:dyDescent="0.25">
      <c r="B555" s="319">
        <v>46105</v>
      </c>
      <c r="C555" s="318" t="s">
        <v>2072</v>
      </c>
      <c r="D555" s="296" t="s">
        <v>1696</v>
      </c>
      <c r="E555" s="315" t="s">
        <v>2125</v>
      </c>
      <c r="F555" s="316" t="s">
        <v>6</v>
      </c>
      <c r="G555" s="318" t="s">
        <v>3331</v>
      </c>
      <c r="H555" s="318" t="s">
        <v>3331</v>
      </c>
      <c r="I555" s="317" t="s">
        <v>3294</v>
      </c>
      <c r="J555" s="289" t="s">
        <v>3329</v>
      </c>
    </row>
    <row r="556" spans="2:11" x14ac:dyDescent="0.25">
      <c r="B556" s="319">
        <v>46105</v>
      </c>
      <c r="C556" s="318" t="s">
        <v>2072</v>
      </c>
      <c r="D556" s="296" t="s">
        <v>3326</v>
      </c>
      <c r="E556" s="315" t="s">
        <v>2125</v>
      </c>
      <c r="F556" s="316" t="s">
        <v>6</v>
      </c>
      <c r="G556" s="318" t="s">
        <v>3343</v>
      </c>
      <c r="H556" s="318" t="s">
        <v>3342</v>
      </c>
      <c r="I556" s="317" t="s">
        <v>3294</v>
      </c>
      <c r="J556" s="289" t="s">
        <v>3329</v>
      </c>
      <c r="K556" s="318" t="s">
        <v>3335</v>
      </c>
    </row>
    <row r="557" spans="2:11" x14ac:dyDescent="0.25">
      <c r="B557" s="319">
        <v>46105</v>
      </c>
      <c r="C557" s="318" t="s">
        <v>2072</v>
      </c>
      <c r="D557" s="296" t="s">
        <v>3326</v>
      </c>
      <c r="E557" s="315" t="s">
        <v>2125</v>
      </c>
      <c r="F557" s="316" t="s">
        <v>6</v>
      </c>
      <c r="G557" s="318" t="s">
        <v>3327</v>
      </c>
      <c r="H557" s="318" t="s">
        <v>3340</v>
      </c>
      <c r="I557" s="317" t="s">
        <v>3294</v>
      </c>
      <c r="J557" s="289" t="s">
        <v>3329</v>
      </c>
      <c r="K557" s="318" t="s">
        <v>3335</v>
      </c>
    </row>
    <row r="558" spans="2:11" x14ac:dyDescent="0.25">
      <c r="B558" s="319">
        <v>46105</v>
      </c>
      <c r="C558" s="318" t="s">
        <v>2072</v>
      </c>
      <c r="D558" s="296" t="s">
        <v>3326</v>
      </c>
      <c r="E558" s="315" t="s">
        <v>2125</v>
      </c>
      <c r="F558" s="316" t="s">
        <v>6</v>
      </c>
      <c r="G558" s="318" t="s">
        <v>3328</v>
      </c>
      <c r="H558" s="318" t="s">
        <v>3339</v>
      </c>
      <c r="I558" s="317" t="s">
        <v>3294</v>
      </c>
      <c r="J558" s="289" t="s">
        <v>3329</v>
      </c>
      <c r="K558" s="318" t="s">
        <v>3335</v>
      </c>
    </row>
    <row r="559" spans="2:11" x14ac:dyDescent="0.25">
      <c r="B559" s="319">
        <v>46105</v>
      </c>
      <c r="C559" s="318" t="s">
        <v>2072</v>
      </c>
      <c r="D559" s="296" t="s">
        <v>3326</v>
      </c>
      <c r="E559" s="315" t="s">
        <v>2125</v>
      </c>
      <c r="F559" s="316" t="s">
        <v>6</v>
      </c>
      <c r="G559" s="318" t="s">
        <v>3336</v>
      </c>
      <c r="H559" s="318" t="s">
        <v>3338</v>
      </c>
      <c r="I559" s="317" t="s">
        <v>3294</v>
      </c>
      <c r="J559" s="289" t="s">
        <v>3329</v>
      </c>
      <c r="K559" s="318" t="s">
        <v>3337</v>
      </c>
    </row>
    <row r="560" spans="2:11" x14ac:dyDescent="0.25">
      <c r="B560" s="319">
        <v>46105</v>
      </c>
      <c r="C560" s="318" t="s">
        <v>2072</v>
      </c>
      <c r="D560" s="296" t="s">
        <v>3326</v>
      </c>
      <c r="E560" s="315" t="s">
        <v>2125</v>
      </c>
      <c r="F560" s="316"/>
      <c r="G560" s="318" t="s">
        <v>3341</v>
      </c>
      <c r="H560" s="318" t="s">
        <v>3341</v>
      </c>
      <c r="I560" s="317" t="s">
        <v>3294</v>
      </c>
      <c r="J560" s="289" t="s">
        <v>3333</v>
      </c>
      <c r="K560" s="318"/>
    </row>
    <row r="561" spans="1:14" x14ac:dyDescent="0.25">
      <c r="B561" s="319">
        <v>46105</v>
      </c>
      <c r="C561" s="318" t="s">
        <v>2072</v>
      </c>
      <c r="D561" s="296" t="s">
        <v>200</v>
      </c>
      <c r="E561" s="315" t="s">
        <v>2125</v>
      </c>
      <c r="F561" s="316" t="s">
        <v>6</v>
      </c>
      <c r="G561" s="318" t="s">
        <v>3350</v>
      </c>
      <c r="H561" s="318" t="s">
        <v>3348</v>
      </c>
      <c r="I561" s="317" t="s">
        <v>3294</v>
      </c>
      <c r="J561" s="289" t="s">
        <v>3312</v>
      </c>
      <c r="K561" s="318" t="s">
        <v>3337</v>
      </c>
    </row>
    <row r="562" spans="1:14" x14ac:dyDescent="0.25">
      <c r="B562" s="319">
        <v>46105</v>
      </c>
      <c r="C562" s="318" t="s">
        <v>2072</v>
      </c>
      <c r="D562" s="296" t="s">
        <v>200</v>
      </c>
      <c r="E562" s="315" t="s">
        <v>2125</v>
      </c>
      <c r="F562" s="316" t="s">
        <v>6</v>
      </c>
      <c r="G562" s="318" t="s">
        <v>3351</v>
      </c>
      <c r="H562" s="318" t="s">
        <v>3349</v>
      </c>
      <c r="I562" s="317" t="s">
        <v>3294</v>
      </c>
      <c r="J562" s="289" t="s">
        <v>3312</v>
      </c>
      <c r="K562" s="318" t="s">
        <v>3337</v>
      </c>
    </row>
    <row r="563" spans="1:14" x14ac:dyDescent="0.25">
      <c r="B563" s="319">
        <v>46106</v>
      </c>
      <c r="C563" s="318" t="s">
        <v>2072</v>
      </c>
      <c r="D563" s="296" t="s">
        <v>1870</v>
      </c>
      <c r="E563" s="315" t="s">
        <v>2125</v>
      </c>
      <c r="F563" s="316" t="s">
        <v>6</v>
      </c>
      <c r="G563" s="318" t="s">
        <v>3372</v>
      </c>
      <c r="H563" s="318" t="s">
        <v>3377</v>
      </c>
      <c r="I563" s="317" t="s">
        <v>3294</v>
      </c>
      <c r="J563" s="289" t="s">
        <v>3329</v>
      </c>
    </row>
    <row r="564" spans="1:14" x14ac:dyDescent="0.25">
      <c r="B564" s="319">
        <v>46106</v>
      </c>
      <c r="C564" s="318" t="s">
        <v>2072</v>
      </c>
      <c r="D564" s="296" t="s">
        <v>1870</v>
      </c>
      <c r="E564" s="315" t="s">
        <v>2125</v>
      </c>
      <c r="F564" s="316" t="s">
        <v>6</v>
      </c>
      <c r="G564" s="318" t="s">
        <v>3374</v>
      </c>
      <c r="H564" s="318" t="s">
        <v>3378</v>
      </c>
      <c r="I564" s="317" t="s">
        <v>3294</v>
      </c>
      <c r="J564" s="289" t="s">
        <v>3329</v>
      </c>
    </row>
    <row r="565" spans="1:14" x14ac:dyDescent="0.25">
      <c r="B565" s="319">
        <v>46106</v>
      </c>
      <c r="C565" s="318" t="s">
        <v>2072</v>
      </c>
      <c r="D565" s="296" t="s">
        <v>1870</v>
      </c>
      <c r="E565" s="315" t="s">
        <v>2125</v>
      </c>
      <c r="F565" s="316" t="s">
        <v>6</v>
      </c>
      <c r="G565" s="318" t="s">
        <v>3375</v>
      </c>
      <c r="H565" s="318" t="s">
        <v>3390</v>
      </c>
      <c r="I565" s="317" t="s">
        <v>3294</v>
      </c>
      <c r="J565" s="289" t="s">
        <v>3329</v>
      </c>
    </row>
    <row r="566" spans="1:14" s="325" customFormat="1" ht="15.75" customHeight="1" x14ac:dyDescent="0.25">
      <c r="A566" s="323"/>
      <c r="B566" s="326">
        <v>46106</v>
      </c>
      <c r="C566" s="326" t="s">
        <v>2072</v>
      </c>
      <c r="D566" s="325" t="s">
        <v>410</v>
      </c>
      <c r="E566" s="325" t="s">
        <v>2125</v>
      </c>
      <c r="F566" s="325" t="s">
        <v>6</v>
      </c>
      <c r="G566" s="325" t="s">
        <v>3380</v>
      </c>
      <c r="H566" s="325" t="s">
        <v>3389</v>
      </c>
      <c r="I566" s="324" t="s">
        <v>3294</v>
      </c>
      <c r="J566" s="323" t="s">
        <v>3388</v>
      </c>
      <c r="L566" s="323"/>
      <c r="M566" s="323"/>
      <c r="N566" s="323"/>
    </row>
    <row r="567" spans="1:14" x14ac:dyDescent="0.25">
      <c r="B567" s="319">
        <v>46106</v>
      </c>
      <c r="C567" s="318" t="s">
        <v>2072</v>
      </c>
      <c r="D567" s="296" t="s">
        <v>410</v>
      </c>
      <c r="E567" s="315" t="s">
        <v>2125</v>
      </c>
      <c r="F567" s="316" t="s">
        <v>6</v>
      </c>
      <c r="G567" s="318" t="s">
        <v>3381</v>
      </c>
      <c r="H567" s="378" t="s">
        <v>3387</v>
      </c>
      <c r="I567" s="317" t="s">
        <v>3294</v>
      </c>
      <c r="J567" s="289" t="s">
        <v>3388</v>
      </c>
    </row>
    <row r="568" spans="1:14" x14ac:dyDescent="0.25">
      <c r="B568" s="319">
        <v>46106</v>
      </c>
      <c r="C568" s="318" t="s">
        <v>2072</v>
      </c>
      <c r="D568" s="296" t="s">
        <v>410</v>
      </c>
      <c r="E568" s="315" t="s">
        <v>2125</v>
      </c>
      <c r="F568" s="316" t="s">
        <v>6</v>
      </c>
      <c r="G568" s="318" t="s">
        <v>3382</v>
      </c>
      <c r="H568" s="378" t="s">
        <v>3387</v>
      </c>
      <c r="I568" s="317" t="s">
        <v>3294</v>
      </c>
      <c r="J568" s="289" t="s">
        <v>3388</v>
      </c>
    </row>
    <row r="569" spans="1:14" x14ac:dyDescent="0.25">
      <c r="B569" s="319">
        <v>46106</v>
      </c>
      <c r="C569" s="318" t="s">
        <v>2072</v>
      </c>
      <c r="D569" s="296" t="s">
        <v>410</v>
      </c>
      <c r="E569" s="315" t="s">
        <v>2125</v>
      </c>
      <c r="F569" s="316" t="s">
        <v>6</v>
      </c>
      <c r="G569" s="318" t="s">
        <v>3383</v>
      </c>
      <c r="H569" s="378" t="s">
        <v>3387</v>
      </c>
      <c r="I569" s="317" t="s">
        <v>3294</v>
      </c>
      <c r="J569" s="289" t="s">
        <v>3388</v>
      </c>
    </row>
    <row r="570" spans="1:14" x14ac:dyDescent="0.25">
      <c r="B570" s="319">
        <v>46106</v>
      </c>
      <c r="C570" s="318" t="s">
        <v>2072</v>
      </c>
      <c r="D570" s="296" t="s">
        <v>410</v>
      </c>
      <c r="E570" s="315" t="s">
        <v>2125</v>
      </c>
      <c r="F570" s="316" t="s">
        <v>6</v>
      </c>
      <c r="G570" s="318" t="s">
        <v>3384</v>
      </c>
      <c r="H570" s="378" t="s">
        <v>3387</v>
      </c>
      <c r="I570" s="317" t="s">
        <v>3294</v>
      </c>
      <c r="J570" s="289" t="s">
        <v>3388</v>
      </c>
    </row>
    <row r="571" spans="1:14" x14ac:dyDescent="0.25">
      <c r="B571" s="319">
        <v>46106</v>
      </c>
      <c r="C571" s="318" t="s">
        <v>2072</v>
      </c>
      <c r="D571" s="296" t="s">
        <v>410</v>
      </c>
      <c r="E571" s="315" t="s">
        <v>2125</v>
      </c>
      <c r="F571" s="316" t="s">
        <v>6</v>
      </c>
      <c r="G571" s="318" t="s">
        <v>3385</v>
      </c>
      <c r="H571" s="378" t="s">
        <v>3387</v>
      </c>
      <c r="I571" s="317" t="s">
        <v>3294</v>
      </c>
      <c r="J571" s="289" t="s">
        <v>3388</v>
      </c>
    </row>
    <row r="572" spans="1:14" x14ac:dyDescent="0.25">
      <c r="B572" s="319">
        <v>46106</v>
      </c>
      <c r="C572" s="318" t="s">
        <v>2072</v>
      </c>
      <c r="D572" s="296" t="s">
        <v>410</v>
      </c>
      <c r="E572" s="315" t="s">
        <v>2125</v>
      </c>
      <c r="F572" s="316" t="s">
        <v>6</v>
      </c>
      <c r="G572" s="318" t="s">
        <v>3386</v>
      </c>
      <c r="H572" s="378" t="s">
        <v>3387</v>
      </c>
      <c r="I572" s="317" t="s">
        <v>3294</v>
      </c>
      <c r="J572" s="289" t="s">
        <v>3388</v>
      </c>
    </row>
    <row r="573" spans="1:14" x14ac:dyDescent="0.25">
      <c r="B573" s="319">
        <v>46106</v>
      </c>
      <c r="C573" s="318" t="s">
        <v>2072</v>
      </c>
      <c r="D573" s="296" t="s">
        <v>3291</v>
      </c>
      <c r="E573" s="315" t="s">
        <v>2125</v>
      </c>
      <c r="F573" s="316" t="s">
        <v>6</v>
      </c>
      <c r="G573" s="318" t="s">
        <v>3414</v>
      </c>
      <c r="H573" s="318" t="s">
        <v>3417</v>
      </c>
      <c r="I573" s="317" t="s">
        <v>3294</v>
      </c>
      <c r="J573" s="289" t="s">
        <v>3403</v>
      </c>
    </row>
    <row r="574" spans="1:14" x14ac:dyDescent="0.25">
      <c r="B574" s="319">
        <v>46106</v>
      </c>
      <c r="C574" s="318" t="s">
        <v>2072</v>
      </c>
      <c r="D574" s="296" t="s">
        <v>3291</v>
      </c>
      <c r="E574" s="315" t="s">
        <v>2125</v>
      </c>
      <c r="F574" s="316" t="s">
        <v>6</v>
      </c>
      <c r="G574" s="318" t="s">
        <v>3415</v>
      </c>
      <c r="H574" s="318" t="s">
        <v>3417</v>
      </c>
      <c r="I574" s="317" t="s">
        <v>3294</v>
      </c>
      <c r="J574" s="289" t="s">
        <v>3403</v>
      </c>
    </row>
    <row r="575" spans="1:14" x14ac:dyDescent="0.25">
      <c r="B575" s="319">
        <v>46106</v>
      </c>
      <c r="C575" s="318" t="s">
        <v>2072</v>
      </c>
      <c r="D575" s="296" t="s">
        <v>3291</v>
      </c>
      <c r="E575" s="315" t="s">
        <v>2125</v>
      </c>
      <c r="F575" s="316" t="s">
        <v>6</v>
      </c>
      <c r="G575" s="318" t="s">
        <v>3416</v>
      </c>
      <c r="H575" s="318" t="s">
        <v>3417</v>
      </c>
      <c r="I575" s="317" t="s">
        <v>3294</v>
      </c>
      <c r="J575" s="289" t="s">
        <v>3403</v>
      </c>
    </row>
    <row r="576" spans="1:14" x14ac:dyDescent="0.25">
      <c r="B576" s="319">
        <v>46107</v>
      </c>
      <c r="C576" s="318" t="s">
        <v>2072</v>
      </c>
      <c r="D576" s="296" t="s">
        <v>614</v>
      </c>
      <c r="E576" s="315" t="s">
        <v>2125</v>
      </c>
      <c r="F576" s="316" t="s">
        <v>6</v>
      </c>
      <c r="G576" s="318" t="s">
        <v>2529</v>
      </c>
      <c r="H576" s="318" t="s">
        <v>3468</v>
      </c>
      <c r="I576" s="317" t="s">
        <v>3294</v>
      </c>
      <c r="J576" s="289" t="s">
        <v>3301</v>
      </c>
      <c r="K576" s="289" t="s">
        <v>3448</v>
      </c>
    </row>
    <row r="577" spans="1:15" x14ac:dyDescent="0.25">
      <c r="B577" s="319">
        <v>46107</v>
      </c>
      <c r="C577" s="318" t="s">
        <v>2072</v>
      </c>
      <c r="D577" s="296" t="s">
        <v>1870</v>
      </c>
      <c r="E577" s="315" t="s">
        <v>2125</v>
      </c>
      <c r="F577" s="316" t="s">
        <v>6</v>
      </c>
      <c r="G577" s="318" t="s">
        <v>3433</v>
      </c>
      <c r="H577" s="318" t="s">
        <v>3434</v>
      </c>
      <c r="I577" s="317" t="s">
        <v>3294</v>
      </c>
      <c r="J577" s="289" t="s">
        <v>3333</v>
      </c>
      <c r="K577" s="323" t="s">
        <v>3448</v>
      </c>
    </row>
    <row r="578" spans="1:15" x14ac:dyDescent="0.25">
      <c r="B578" s="319">
        <v>46107</v>
      </c>
      <c r="C578" s="318" t="s">
        <v>2072</v>
      </c>
      <c r="D578" s="296" t="s">
        <v>1870</v>
      </c>
      <c r="E578" s="315" t="s">
        <v>2125</v>
      </c>
      <c r="F578" s="316" t="s">
        <v>6</v>
      </c>
      <c r="G578" s="318" t="s">
        <v>3435</v>
      </c>
      <c r="H578" s="318" t="s">
        <v>3436</v>
      </c>
      <c r="I578" s="317" t="s">
        <v>3294</v>
      </c>
      <c r="J578" s="289" t="s">
        <v>3329</v>
      </c>
      <c r="K578" s="323" t="s">
        <v>3448</v>
      </c>
    </row>
    <row r="579" spans="1:15" x14ac:dyDescent="0.25">
      <c r="B579" s="319">
        <v>46107</v>
      </c>
      <c r="C579" s="318" t="s">
        <v>2072</v>
      </c>
      <c r="D579" s="296" t="s">
        <v>1870</v>
      </c>
      <c r="E579" s="315" t="s">
        <v>2125</v>
      </c>
      <c r="F579" s="316" t="s">
        <v>6</v>
      </c>
      <c r="G579" s="318" t="s">
        <v>3437</v>
      </c>
      <c r="H579" s="318" t="s">
        <v>3440</v>
      </c>
      <c r="I579" s="317" t="s">
        <v>3294</v>
      </c>
      <c r="J579" s="289" t="s">
        <v>3329</v>
      </c>
      <c r="K579" s="323" t="s">
        <v>3448</v>
      </c>
    </row>
    <row r="580" spans="1:15" x14ac:dyDescent="0.25">
      <c r="B580" s="319">
        <v>46107</v>
      </c>
      <c r="C580" s="318" t="s">
        <v>2072</v>
      </c>
      <c r="D580" s="296" t="s">
        <v>1870</v>
      </c>
      <c r="E580" s="315" t="s">
        <v>2125</v>
      </c>
      <c r="F580" s="316" t="s">
        <v>6</v>
      </c>
      <c r="G580" s="318" t="s">
        <v>3439</v>
      </c>
      <c r="H580" s="318" t="s">
        <v>3438</v>
      </c>
      <c r="I580" s="317" t="s">
        <v>3294</v>
      </c>
      <c r="J580" s="289" t="s">
        <v>3329</v>
      </c>
      <c r="K580" s="323" t="s">
        <v>3448</v>
      </c>
    </row>
    <row r="581" spans="1:15" x14ac:dyDescent="0.25">
      <c r="B581" s="319">
        <v>46107</v>
      </c>
      <c r="C581" s="318" t="s">
        <v>2072</v>
      </c>
      <c r="D581" s="296" t="s">
        <v>332</v>
      </c>
      <c r="E581" s="315" t="s">
        <v>2125</v>
      </c>
      <c r="F581" s="316" t="s">
        <v>6</v>
      </c>
      <c r="G581" s="318" t="s">
        <v>3441</v>
      </c>
      <c r="H581" s="318" t="s">
        <v>3442</v>
      </c>
      <c r="I581" s="317" t="s">
        <v>3294</v>
      </c>
      <c r="J581" s="289" t="s">
        <v>3329</v>
      </c>
    </row>
    <row r="582" spans="1:15" x14ac:dyDescent="0.25">
      <c r="B582" s="319">
        <v>46107</v>
      </c>
      <c r="C582" s="318" t="s">
        <v>2072</v>
      </c>
      <c r="D582" s="296" t="s">
        <v>332</v>
      </c>
      <c r="E582" s="315" t="s">
        <v>2125</v>
      </c>
      <c r="F582" s="316" t="s">
        <v>6</v>
      </c>
      <c r="G582" s="318" t="s">
        <v>3443</v>
      </c>
      <c r="H582" s="318" t="s">
        <v>3445</v>
      </c>
      <c r="I582" s="317" t="s">
        <v>3294</v>
      </c>
      <c r="J582" s="289" t="s">
        <v>3312</v>
      </c>
    </row>
    <row r="583" spans="1:15" x14ac:dyDescent="0.25">
      <c r="B583" s="319">
        <v>46107</v>
      </c>
      <c r="C583" s="318" t="s">
        <v>2072</v>
      </c>
      <c r="D583" s="296" t="s">
        <v>332</v>
      </c>
      <c r="E583" s="315" t="s">
        <v>2125</v>
      </c>
      <c r="F583" s="316" t="s">
        <v>6</v>
      </c>
      <c r="G583" s="318" t="s">
        <v>3444</v>
      </c>
      <c r="H583" s="318" t="s">
        <v>3445</v>
      </c>
      <c r="I583" s="317" t="s">
        <v>3294</v>
      </c>
      <c r="J583" s="289" t="s">
        <v>3312</v>
      </c>
    </row>
    <row r="584" spans="1:15" x14ac:dyDescent="0.25">
      <c r="B584" s="319">
        <v>46107</v>
      </c>
      <c r="C584" s="318" t="s">
        <v>2072</v>
      </c>
      <c r="D584" s="296" t="s">
        <v>332</v>
      </c>
      <c r="E584" s="315" t="s">
        <v>2125</v>
      </c>
      <c r="F584" s="316" t="s">
        <v>6</v>
      </c>
      <c r="G584" s="318" t="s">
        <v>3446</v>
      </c>
      <c r="H584" s="318" t="s">
        <v>3450</v>
      </c>
      <c r="I584" s="317" t="s">
        <v>3294</v>
      </c>
      <c r="J584" s="289" t="s">
        <v>3329</v>
      </c>
      <c r="K584" s="294" t="s">
        <v>3449</v>
      </c>
    </row>
    <row r="585" spans="1:15" x14ac:dyDescent="0.25">
      <c r="B585" s="319">
        <v>46107</v>
      </c>
      <c r="C585" s="318" t="s">
        <v>2072</v>
      </c>
      <c r="D585" s="296" t="s">
        <v>332</v>
      </c>
      <c r="E585" s="315" t="s">
        <v>2125</v>
      </c>
      <c r="F585" s="316" t="s">
        <v>6</v>
      </c>
      <c r="G585" s="318" t="s">
        <v>3447</v>
      </c>
      <c r="H585" s="318" t="s">
        <v>3459</v>
      </c>
      <c r="I585" s="317" t="s">
        <v>3294</v>
      </c>
      <c r="J585" s="289" t="s">
        <v>3403</v>
      </c>
      <c r="K585" s="294" t="s">
        <v>3449</v>
      </c>
    </row>
    <row r="586" spans="1:15" x14ac:dyDescent="0.25">
      <c r="B586" s="319">
        <v>46107</v>
      </c>
      <c r="C586" s="318" t="s">
        <v>2072</v>
      </c>
      <c r="D586" s="296" t="s">
        <v>332</v>
      </c>
      <c r="E586" s="315" t="s">
        <v>2125</v>
      </c>
      <c r="F586" s="316" t="s">
        <v>6</v>
      </c>
      <c r="G586" s="318" t="s">
        <v>3456</v>
      </c>
      <c r="H586" s="318" t="s">
        <v>3457</v>
      </c>
      <c r="I586" s="317" t="s">
        <v>3294</v>
      </c>
      <c r="J586" s="289" t="s">
        <v>3329</v>
      </c>
      <c r="K586" s="294" t="s">
        <v>3449</v>
      </c>
    </row>
    <row r="587" spans="1:15" x14ac:dyDescent="0.25">
      <c r="B587" s="319">
        <v>46107</v>
      </c>
      <c r="C587" s="318" t="s">
        <v>2072</v>
      </c>
      <c r="D587" s="296" t="s">
        <v>332</v>
      </c>
      <c r="E587" s="315" t="s">
        <v>2125</v>
      </c>
      <c r="F587" s="316" t="s">
        <v>6</v>
      </c>
      <c r="G587" s="318" t="s">
        <v>3460</v>
      </c>
      <c r="H587" s="318" t="s">
        <v>3458</v>
      </c>
      <c r="I587" s="317" t="s">
        <v>3294</v>
      </c>
      <c r="J587" s="289" t="s">
        <v>3329</v>
      </c>
      <c r="K587" s="294" t="s">
        <v>3449</v>
      </c>
    </row>
    <row r="588" spans="1:15" x14ac:dyDescent="0.25">
      <c r="B588" s="319">
        <v>46107</v>
      </c>
      <c r="C588" s="318" t="s">
        <v>2072</v>
      </c>
      <c r="D588" s="296" t="s">
        <v>332</v>
      </c>
      <c r="E588" s="315" t="s">
        <v>2125</v>
      </c>
      <c r="F588" s="316" t="s">
        <v>6</v>
      </c>
      <c r="G588" s="318" t="s">
        <v>3461</v>
      </c>
      <c r="H588" s="318" t="s">
        <v>3445</v>
      </c>
      <c r="I588" s="317" t="s">
        <v>3294</v>
      </c>
      <c r="J588" s="289" t="s">
        <v>3329</v>
      </c>
      <c r="K588" s="294" t="s">
        <v>3449</v>
      </c>
    </row>
    <row r="589" spans="1:15" x14ac:dyDescent="0.25">
      <c r="A589" s="323"/>
      <c r="B589" s="319">
        <v>46107</v>
      </c>
      <c r="C589" s="318" t="s">
        <v>2072</v>
      </c>
      <c r="D589" s="318" t="s">
        <v>410</v>
      </c>
      <c r="E589" s="315" t="s">
        <v>2125</v>
      </c>
      <c r="F589" s="316" t="s">
        <v>6</v>
      </c>
      <c r="G589" s="318" t="s">
        <v>3380</v>
      </c>
      <c r="H589" s="318" t="s">
        <v>3389</v>
      </c>
      <c r="I589" s="317" t="s">
        <v>3294</v>
      </c>
      <c r="J589" s="323" t="s">
        <v>3388</v>
      </c>
      <c r="K589" s="325"/>
      <c r="L589" s="323"/>
      <c r="M589" s="323"/>
      <c r="N589" s="323"/>
      <c r="O589" s="325"/>
    </row>
    <row r="590" spans="1:15" x14ac:dyDescent="0.25">
      <c r="A590" s="323"/>
      <c r="B590" s="319">
        <v>46107</v>
      </c>
      <c r="C590" s="318" t="s">
        <v>2072</v>
      </c>
      <c r="D590" s="318" t="s">
        <v>410</v>
      </c>
      <c r="E590" s="315" t="s">
        <v>2125</v>
      </c>
      <c r="F590" s="316" t="s">
        <v>6</v>
      </c>
      <c r="G590" s="318" t="s">
        <v>3489</v>
      </c>
      <c r="H590" s="378" t="s">
        <v>3387</v>
      </c>
      <c r="I590" s="317" t="s">
        <v>3294</v>
      </c>
      <c r="J590" s="323" t="s">
        <v>3388</v>
      </c>
      <c r="K590" s="325"/>
      <c r="L590" s="323"/>
      <c r="M590" s="323"/>
      <c r="N590" s="323"/>
      <c r="O590" s="325"/>
    </row>
    <row r="591" spans="1:15" x14ac:dyDescent="0.25">
      <c r="A591" s="323"/>
      <c r="B591" s="319">
        <v>46107</v>
      </c>
      <c r="C591" s="318" t="s">
        <v>2072</v>
      </c>
      <c r="D591" s="318" t="s">
        <v>410</v>
      </c>
      <c r="E591" s="315" t="s">
        <v>2125</v>
      </c>
      <c r="F591" s="316" t="s">
        <v>6</v>
      </c>
      <c r="G591" s="318" t="s">
        <v>3382</v>
      </c>
      <c r="H591" s="378" t="s">
        <v>3462</v>
      </c>
      <c r="I591" s="317" t="s">
        <v>3294</v>
      </c>
      <c r="J591" s="323" t="s">
        <v>3388</v>
      </c>
      <c r="K591" s="325"/>
      <c r="L591" s="323"/>
      <c r="M591" s="323"/>
      <c r="N591" s="323"/>
      <c r="O591" s="325"/>
    </row>
    <row r="592" spans="1:15" x14ac:dyDescent="0.25">
      <c r="A592" s="323"/>
      <c r="B592" s="319">
        <v>46107</v>
      </c>
      <c r="C592" s="318" t="s">
        <v>2072</v>
      </c>
      <c r="D592" s="318" t="s">
        <v>410</v>
      </c>
      <c r="E592" s="315" t="s">
        <v>2125</v>
      </c>
      <c r="F592" s="316" t="s">
        <v>6</v>
      </c>
      <c r="G592" s="318" t="s">
        <v>3383</v>
      </c>
      <c r="H592" s="378" t="s">
        <v>3463</v>
      </c>
      <c r="I592" s="317" t="s">
        <v>3294</v>
      </c>
      <c r="J592" s="323" t="s">
        <v>3388</v>
      </c>
      <c r="K592" s="325"/>
      <c r="L592" s="323"/>
      <c r="M592" s="323"/>
      <c r="N592" s="323"/>
      <c r="O592" s="325"/>
    </row>
    <row r="593" spans="1:15" x14ac:dyDescent="0.25">
      <c r="A593" s="323"/>
      <c r="B593" s="319">
        <v>46107</v>
      </c>
      <c r="C593" s="318" t="s">
        <v>2072</v>
      </c>
      <c r="D593" s="318" t="s">
        <v>410</v>
      </c>
      <c r="E593" s="315" t="s">
        <v>2125</v>
      </c>
      <c r="F593" s="316" t="s">
        <v>6</v>
      </c>
      <c r="G593" s="318" t="s">
        <v>3488</v>
      </c>
      <c r="H593" s="378" t="s">
        <v>3387</v>
      </c>
      <c r="I593" s="317" t="s">
        <v>3294</v>
      </c>
      <c r="J593" s="323" t="s">
        <v>3388</v>
      </c>
      <c r="K593" s="325"/>
      <c r="L593" s="323"/>
      <c r="M593" s="323"/>
      <c r="N593" s="323"/>
      <c r="O593" s="325"/>
    </row>
    <row r="594" spans="1:15" x14ac:dyDescent="0.25">
      <c r="A594" s="323"/>
      <c r="B594" s="319">
        <v>46107</v>
      </c>
      <c r="C594" s="318" t="s">
        <v>2072</v>
      </c>
      <c r="D594" s="318" t="s">
        <v>410</v>
      </c>
      <c r="E594" s="315" t="s">
        <v>2125</v>
      </c>
      <c r="F594" s="316" t="s">
        <v>6</v>
      </c>
      <c r="G594" s="318" t="s">
        <v>3385</v>
      </c>
      <c r="H594" s="378" t="s">
        <v>3462</v>
      </c>
      <c r="I594" s="317" t="s">
        <v>3294</v>
      </c>
      <c r="J594" s="323" t="s">
        <v>3388</v>
      </c>
      <c r="K594" s="325"/>
      <c r="L594" s="323"/>
      <c r="M594" s="323"/>
      <c r="N594" s="323"/>
      <c r="O594" s="325"/>
    </row>
    <row r="595" spans="1:15" x14ac:dyDescent="0.25">
      <c r="A595" s="323"/>
      <c r="B595" s="319">
        <v>46107</v>
      </c>
      <c r="C595" s="318" t="s">
        <v>2072</v>
      </c>
      <c r="D595" s="318" t="s">
        <v>410</v>
      </c>
      <c r="E595" s="315" t="s">
        <v>2125</v>
      </c>
      <c r="F595" s="316" t="s">
        <v>6</v>
      </c>
      <c r="G595" s="318" t="s">
        <v>3386</v>
      </c>
      <c r="H595" s="378" t="s">
        <v>3464</v>
      </c>
      <c r="I595" s="317" t="s">
        <v>3294</v>
      </c>
      <c r="J595" s="323" t="s">
        <v>3388</v>
      </c>
      <c r="K595" s="325"/>
      <c r="L595" s="323"/>
      <c r="M595" s="323"/>
      <c r="N595" s="323"/>
      <c r="O595" s="325"/>
    </row>
    <row r="596" spans="1:15" x14ac:dyDescent="0.25">
      <c r="B596" s="319">
        <v>46107</v>
      </c>
      <c r="C596" s="318" t="s">
        <v>2072</v>
      </c>
      <c r="D596" s="296" t="s">
        <v>1870</v>
      </c>
      <c r="E596" s="315" t="s">
        <v>2125</v>
      </c>
      <c r="F596" s="316" t="s">
        <v>6</v>
      </c>
      <c r="G596" s="318" t="s">
        <v>3465</v>
      </c>
      <c r="H596" s="318" t="s">
        <v>3465</v>
      </c>
      <c r="I596" s="317" t="s">
        <v>3294</v>
      </c>
      <c r="J596" s="289" t="s">
        <v>3329</v>
      </c>
    </row>
    <row r="597" spans="1:15" x14ac:dyDescent="0.25">
      <c r="B597" s="319">
        <v>46107</v>
      </c>
      <c r="C597" s="318" t="s">
        <v>2072</v>
      </c>
      <c r="D597" s="296" t="s">
        <v>1870</v>
      </c>
      <c r="E597" s="315" t="s">
        <v>2125</v>
      </c>
      <c r="F597" s="316" t="s">
        <v>6</v>
      </c>
      <c r="G597" s="318" t="s">
        <v>3466</v>
      </c>
      <c r="H597" s="318" t="s">
        <v>3466</v>
      </c>
      <c r="I597" s="317" t="s">
        <v>3294</v>
      </c>
      <c r="J597" s="289" t="s">
        <v>3301</v>
      </c>
    </row>
    <row r="598" spans="1:15" x14ac:dyDescent="0.25">
      <c r="B598" s="319">
        <v>46107</v>
      </c>
      <c r="C598" s="318" t="s">
        <v>2072</v>
      </c>
      <c r="D598" s="296" t="s">
        <v>1870</v>
      </c>
      <c r="E598" s="315" t="s">
        <v>2125</v>
      </c>
      <c r="F598" s="316" t="s">
        <v>6</v>
      </c>
      <c r="G598" s="318" t="s">
        <v>3469</v>
      </c>
      <c r="H598" s="318" t="s">
        <v>3467</v>
      </c>
      <c r="I598" s="317" t="s">
        <v>3294</v>
      </c>
      <c r="J598" s="289" t="s">
        <v>3312</v>
      </c>
    </row>
    <row r="599" spans="1:15" x14ac:dyDescent="0.25">
      <c r="A599" s="323"/>
      <c r="B599" s="319">
        <v>46107</v>
      </c>
      <c r="C599" s="318" t="s">
        <v>2072</v>
      </c>
      <c r="D599" s="318" t="s">
        <v>3474</v>
      </c>
      <c r="E599" s="315" t="s">
        <v>2125</v>
      </c>
      <c r="F599" s="316" t="s">
        <v>6</v>
      </c>
      <c r="G599" s="318" t="s">
        <v>3470</v>
      </c>
      <c r="H599" s="318" t="s">
        <v>3475</v>
      </c>
      <c r="I599" s="317" t="s">
        <v>3294</v>
      </c>
      <c r="J599" s="323" t="s">
        <v>3403</v>
      </c>
      <c r="K599" s="325" t="s">
        <v>3449</v>
      </c>
      <c r="L599" s="323"/>
      <c r="M599" s="323"/>
      <c r="N599" s="323"/>
      <c r="O599" s="325"/>
    </row>
    <row r="600" spans="1:15" x14ac:dyDescent="0.25">
      <c r="A600" s="323"/>
      <c r="B600" s="319">
        <v>46107</v>
      </c>
      <c r="C600" s="318" t="s">
        <v>2072</v>
      </c>
      <c r="D600" s="318" t="s">
        <v>3474</v>
      </c>
      <c r="E600" s="315" t="s">
        <v>2125</v>
      </c>
      <c r="F600" s="316" t="s">
        <v>6</v>
      </c>
      <c r="G600" s="318" t="s">
        <v>3456</v>
      </c>
      <c r="H600" s="318" t="s">
        <v>3457</v>
      </c>
      <c r="I600" s="317" t="s">
        <v>3294</v>
      </c>
      <c r="J600" s="323" t="s">
        <v>3329</v>
      </c>
      <c r="K600" s="325" t="s">
        <v>3449</v>
      </c>
      <c r="L600" s="323"/>
      <c r="M600" s="323"/>
      <c r="N600" s="323"/>
      <c r="O600" s="325"/>
    </row>
    <row r="601" spans="1:15" x14ac:dyDescent="0.25">
      <c r="A601" s="323"/>
      <c r="B601" s="319">
        <v>46107</v>
      </c>
      <c r="C601" s="318" t="s">
        <v>2072</v>
      </c>
      <c r="D601" s="318" t="s">
        <v>3474</v>
      </c>
      <c r="E601" s="315" t="s">
        <v>2125</v>
      </c>
      <c r="F601" s="316" t="s">
        <v>6</v>
      </c>
      <c r="G601" s="318" t="s">
        <v>3472</v>
      </c>
      <c r="H601" s="318" t="s">
        <v>3473</v>
      </c>
      <c r="I601" s="317" t="s">
        <v>3294</v>
      </c>
      <c r="J601" s="323" t="s">
        <v>3329</v>
      </c>
      <c r="K601" s="325" t="s">
        <v>3449</v>
      </c>
      <c r="L601" s="323"/>
      <c r="M601" s="323"/>
      <c r="N601" s="323"/>
      <c r="O601" s="325"/>
    </row>
    <row r="602" spans="1:15" x14ac:dyDescent="0.25">
      <c r="A602" s="323"/>
      <c r="B602" s="319">
        <v>46107</v>
      </c>
      <c r="C602" s="318" t="s">
        <v>2072</v>
      </c>
      <c r="D602" s="318" t="s">
        <v>3474</v>
      </c>
      <c r="E602" s="315" t="s">
        <v>2125</v>
      </c>
      <c r="F602" s="316" t="s">
        <v>6</v>
      </c>
      <c r="G602" s="318" t="s">
        <v>3471</v>
      </c>
      <c r="H602" s="318" t="s">
        <v>3445</v>
      </c>
      <c r="I602" s="317" t="s">
        <v>3294</v>
      </c>
      <c r="J602" s="323" t="s">
        <v>3329</v>
      </c>
      <c r="K602" s="325" t="s">
        <v>3449</v>
      </c>
      <c r="L602" s="323"/>
      <c r="M602" s="323"/>
      <c r="N602" s="323"/>
      <c r="O602" s="325"/>
    </row>
    <row r="603" spans="1:15" x14ac:dyDescent="0.25">
      <c r="B603" s="319">
        <v>46107</v>
      </c>
      <c r="C603" s="318" t="s">
        <v>2072</v>
      </c>
      <c r="D603" s="296" t="s">
        <v>3474</v>
      </c>
      <c r="E603" s="315" t="s">
        <v>2125</v>
      </c>
      <c r="F603" s="316" t="s">
        <v>6</v>
      </c>
      <c r="G603" s="318" t="s">
        <v>3476</v>
      </c>
      <c r="H603" s="318" t="s">
        <v>3477</v>
      </c>
    </row>
    <row r="604" spans="1:15" x14ac:dyDescent="0.25">
      <c r="A604" s="323"/>
      <c r="B604" s="319">
        <v>46107</v>
      </c>
      <c r="C604" s="318" t="s">
        <v>2072</v>
      </c>
      <c r="D604" s="318" t="s">
        <v>410</v>
      </c>
      <c r="E604" s="315" t="s">
        <v>2125</v>
      </c>
      <c r="F604" s="316" t="s">
        <v>6</v>
      </c>
      <c r="G604" s="318" t="s">
        <v>3380</v>
      </c>
      <c r="H604" s="378" t="s">
        <v>3389</v>
      </c>
      <c r="I604" s="317" t="s">
        <v>3294</v>
      </c>
      <c r="J604" s="323" t="s">
        <v>3388</v>
      </c>
      <c r="K604" s="325"/>
      <c r="L604" s="323"/>
      <c r="M604" s="323"/>
      <c r="N604" s="323"/>
      <c r="O604" s="325"/>
    </row>
    <row r="605" spans="1:15" x14ac:dyDescent="0.25">
      <c r="A605" s="323"/>
      <c r="B605" s="319">
        <v>46107</v>
      </c>
      <c r="C605" s="318" t="s">
        <v>2072</v>
      </c>
      <c r="D605" s="318" t="s">
        <v>410</v>
      </c>
      <c r="E605" s="315" t="s">
        <v>2125</v>
      </c>
      <c r="F605" s="316" t="s">
        <v>6</v>
      </c>
      <c r="G605" s="318" t="s">
        <v>3489</v>
      </c>
      <c r="H605" s="378" t="s">
        <v>3485</v>
      </c>
      <c r="I605" s="317" t="s">
        <v>3294</v>
      </c>
      <c r="J605" s="323" t="s">
        <v>3388</v>
      </c>
      <c r="K605" s="325"/>
      <c r="L605" s="323"/>
      <c r="M605" s="323"/>
      <c r="N605" s="323"/>
      <c r="O605" s="325"/>
    </row>
    <row r="606" spans="1:15" x14ac:dyDescent="0.25">
      <c r="A606" s="323"/>
      <c r="B606" s="319">
        <v>46107</v>
      </c>
      <c r="C606" s="318" t="s">
        <v>2072</v>
      </c>
      <c r="D606" s="318" t="s">
        <v>410</v>
      </c>
      <c r="E606" s="315" t="s">
        <v>2125</v>
      </c>
      <c r="F606" s="316" t="s">
        <v>6</v>
      </c>
      <c r="G606" s="318" t="s">
        <v>3382</v>
      </c>
      <c r="H606" s="378" t="s">
        <v>3486</v>
      </c>
      <c r="I606" s="317" t="s">
        <v>3294</v>
      </c>
      <c r="J606" s="323" t="s">
        <v>3388</v>
      </c>
      <c r="K606" s="325"/>
      <c r="L606" s="323"/>
      <c r="M606" s="323"/>
      <c r="N606" s="323"/>
      <c r="O606" s="325"/>
    </row>
    <row r="607" spans="1:15" x14ac:dyDescent="0.25">
      <c r="A607" s="323"/>
      <c r="B607" s="319">
        <v>46107</v>
      </c>
      <c r="C607" s="318" t="s">
        <v>2072</v>
      </c>
      <c r="D607" s="318" t="s">
        <v>410</v>
      </c>
      <c r="E607" s="315" t="s">
        <v>2125</v>
      </c>
      <c r="F607" s="316" t="s">
        <v>6</v>
      </c>
      <c r="G607" s="318" t="s">
        <v>3383</v>
      </c>
      <c r="H607" s="378" t="s">
        <v>3484</v>
      </c>
      <c r="I607" s="317" t="s">
        <v>3294</v>
      </c>
      <c r="J607" s="323" t="s">
        <v>3388</v>
      </c>
      <c r="K607" s="325"/>
      <c r="L607" s="323"/>
      <c r="M607" s="323"/>
      <c r="N607" s="323"/>
      <c r="O607" s="325"/>
    </row>
    <row r="608" spans="1:15" x14ac:dyDescent="0.25">
      <c r="A608" s="323"/>
      <c r="B608" s="319">
        <v>46107</v>
      </c>
      <c r="C608" s="318" t="s">
        <v>2072</v>
      </c>
      <c r="D608" s="318" t="s">
        <v>410</v>
      </c>
      <c r="E608" s="315" t="s">
        <v>2125</v>
      </c>
      <c r="F608" s="316" t="s">
        <v>6</v>
      </c>
      <c r="G608" s="318" t="s">
        <v>3488</v>
      </c>
      <c r="H608" s="378" t="s">
        <v>3487</v>
      </c>
      <c r="I608" s="317" t="s">
        <v>3294</v>
      </c>
      <c r="J608" s="323" t="s">
        <v>3388</v>
      </c>
      <c r="K608" s="325"/>
      <c r="L608" s="323"/>
      <c r="M608" s="323"/>
      <c r="N608" s="323"/>
      <c r="O608" s="325"/>
    </row>
    <row r="609" spans="1:15" x14ac:dyDescent="0.25">
      <c r="A609" s="323"/>
      <c r="B609" s="319">
        <v>46107</v>
      </c>
      <c r="C609" s="318" t="s">
        <v>2072</v>
      </c>
      <c r="D609" s="318" t="s">
        <v>410</v>
      </c>
      <c r="E609" s="315" t="s">
        <v>2125</v>
      </c>
      <c r="F609" s="316" t="s">
        <v>6</v>
      </c>
      <c r="G609" s="318" t="s">
        <v>3385</v>
      </c>
      <c r="H609" s="378" t="s">
        <v>3487</v>
      </c>
      <c r="I609" s="317" t="s">
        <v>3294</v>
      </c>
      <c r="J609" s="323" t="s">
        <v>3388</v>
      </c>
      <c r="K609" s="325"/>
      <c r="L609" s="323"/>
      <c r="M609" s="323"/>
      <c r="N609" s="323"/>
      <c r="O609" s="325"/>
    </row>
    <row r="610" spans="1:15" x14ac:dyDescent="0.25">
      <c r="A610" s="323"/>
      <c r="B610" s="319">
        <v>46107</v>
      </c>
      <c r="C610" s="318" t="s">
        <v>2072</v>
      </c>
      <c r="D610" s="318" t="s">
        <v>410</v>
      </c>
      <c r="E610" s="315" t="s">
        <v>2125</v>
      </c>
      <c r="F610" s="316" t="s">
        <v>6</v>
      </c>
      <c r="G610" s="318" t="s">
        <v>3386</v>
      </c>
      <c r="H610" s="378" t="s">
        <v>3487</v>
      </c>
      <c r="I610" s="317" t="s">
        <v>3294</v>
      </c>
      <c r="J610" s="323" t="s">
        <v>3388</v>
      </c>
      <c r="K610" s="325"/>
      <c r="L610" s="323"/>
      <c r="M610" s="323"/>
      <c r="N610" s="323"/>
      <c r="O610" s="325"/>
    </row>
    <row r="611" spans="1:15" x14ac:dyDescent="0.25">
      <c r="B611" s="319">
        <v>46108</v>
      </c>
      <c r="C611" s="318" t="s">
        <v>2072</v>
      </c>
      <c r="D611" s="296" t="s">
        <v>3259</v>
      </c>
      <c r="E611" s="315" t="s">
        <v>2125</v>
      </c>
      <c r="F611" s="316" t="s">
        <v>6</v>
      </c>
      <c r="G611" s="318" t="s">
        <v>3528</v>
      </c>
      <c r="H611" s="318" t="s">
        <v>3527</v>
      </c>
      <c r="I611" s="317" t="s">
        <v>3294</v>
      </c>
      <c r="J611" s="289" t="s">
        <v>3526</v>
      </c>
    </row>
    <row r="612" spans="1:15" ht="30" x14ac:dyDescent="0.25">
      <c r="B612" s="319">
        <v>46108</v>
      </c>
      <c r="C612" s="318" t="s">
        <v>2072</v>
      </c>
      <c r="D612" s="318" t="s">
        <v>1870</v>
      </c>
      <c r="E612" s="315" t="s">
        <v>2125</v>
      </c>
      <c r="F612" s="316" t="s">
        <v>6</v>
      </c>
      <c r="G612" s="318" t="s">
        <v>3433</v>
      </c>
      <c r="H612" s="378" t="s">
        <v>3525</v>
      </c>
      <c r="I612" s="317" t="s">
        <v>3294</v>
      </c>
      <c r="J612" s="323" t="s">
        <v>3333</v>
      </c>
      <c r="K612" s="323" t="s">
        <v>3448</v>
      </c>
    </row>
    <row r="613" spans="1:15" x14ac:dyDescent="0.25">
      <c r="B613" s="319">
        <v>46108</v>
      </c>
      <c r="C613" s="318" t="s">
        <v>2072</v>
      </c>
      <c r="D613" s="318" t="s">
        <v>1870</v>
      </c>
      <c r="E613" s="315" t="s">
        <v>2125</v>
      </c>
      <c r="F613" s="316" t="s">
        <v>6</v>
      </c>
      <c r="G613" s="318" t="s">
        <v>3435</v>
      </c>
      <c r="H613" s="318" t="s">
        <v>3436</v>
      </c>
      <c r="I613" s="317" t="s">
        <v>3294</v>
      </c>
      <c r="J613" s="323" t="s">
        <v>3329</v>
      </c>
      <c r="K613" s="323" t="s">
        <v>3448</v>
      </c>
    </row>
    <row r="614" spans="1:15" x14ac:dyDescent="0.25">
      <c r="B614" s="319">
        <v>46108</v>
      </c>
      <c r="C614" s="318" t="s">
        <v>2072</v>
      </c>
      <c r="D614" s="318" t="s">
        <v>1870</v>
      </c>
      <c r="E614" s="315" t="s">
        <v>2125</v>
      </c>
      <c r="F614" s="316" t="s">
        <v>6</v>
      </c>
      <c r="G614" s="318" t="s">
        <v>3437</v>
      </c>
      <c r="H614" s="318" t="s">
        <v>3440</v>
      </c>
      <c r="I614" s="317" t="s">
        <v>3294</v>
      </c>
      <c r="J614" s="323" t="s">
        <v>3329</v>
      </c>
      <c r="K614" s="323" t="s">
        <v>3448</v>
      </c>
    </row>
    <row r="615" spans="1:15" x14ac:dyDescent="0.25">
      <c r="B615" s="319">
        <v>46108</v>
      </c>
      <c r="C615" s="318" t="s">
        <v>2072</v>
      </c>
      <c r="D615" s="318" t="s">
        <v>1870</v>
      </c>
      <c r="E615" s="315" t="s">
        <v>2125</v>
      </c>
      <c r="F615" s="316" t="s">
        <v>6</v>
      </c>
      <c r="G615" s="318" t="s">
        <v>3439</v>
      </c>
      <c r="H615" s="318" t="s">
        <v>3522</v>
      </c>
      <c r="I615" s="317" t="s">
        <v>3294</v>
      </c>
      <c r="J615" s="323" t="s">
        <v>3329</v>
      </c>
      <c r="K615" s="323" t="s">
        <v>3448</v>
      </c>
    </row>
    <row r="616" spans="1:15" x14ac:dyDescent="0.25">
      <c r="B616" s="319">
        <v>46108</v>
      </c>
      <c r="C616" s="318" t="s">
        <v>2072</v>
      </c>
      <c r="D616" s="296" t="s">
        <v>1870</v>
      </c>
      <c r="E616" s="315" t="s">
        <v>2125</v>
      </c>
      <c r="F616" s="316" t="s">
        <v>6</v>
      </c>
      <c r="G616" s="318" t="s">
        <v>3524</v>
      </c>
      <c r="H616" s="318" t="s">
        <v>3523</v>
      </c>
      <c r="I616" s="317" t="s">
        <v>3294</v>
      </c>
      <c r="J616" s="289" t="s">
        <v>3329</v>
      </c>
    </row>
    <row r="617" spans="1:15" x14ac:dyDescent="0.25">
      <c r="B617" s="319">
        <v>46108</v>
      </c>
      <c r="C617" s="318" t="s">
        <v>2072</v>
      </c>
      <c r="D617" s="296" t="s">
        <v>1870</v>
      </c>
      <c r="E617" s="315" t="s">
        <v>2125</v>
      </c>
      <c r="F617" s="316" t="s">
        <v>6</v>
      </c>
      <c r="G617" s="318" t="s">
        <v>3466</v>
      </c>
      <c r="H617" s="318" t="s">
        <v>3466</v>
      </c>
      <c r="I617" s="317" t="s">
        <v>3294</v>
      </c>
      <c r="J617" s="289" t="s">
        <v>3301</v>
      </c>
    </row>
    <row r="618" spans="1:15" x14ac:dyDescent="0.25">
      <c r="B618" s="319">
        <v>46108</v>
      </c>
      <c r="C618" s="318" t="s">
        <v>2072</v>
      </c>
      <c r="D618" s="296" t="s">
        <v>1870</v>
      </c>
      <c r="E618" s="315" t="s">
        <v>2125</v>
      </c>
      <c r="F618" s="316" t="s">
        <v>6</v>
      </c>
      <c r="G618" s="318" t="s">
        <v>3469</v>
      </c>
      <c r="H618" s="318" t="s">
        <v>3467</v>
      </c>
      <c r="I618" s="317" t="s">
        <v>3294</v>
      </c>
      <c r="J618" s="289" t="s">
        <v>3312</v>
      </c>
    </row>
    <row r="619" spans="1:15" x14ac:dyDescent="0.25">
      <c r="B619" s="319">
        <v>46108</v>
      </c>
      <c r="C619" s="318" t="s">
        <v>2072</v>
      </c>
      <c r="D619" s="296" t="s">
        <v>410</v>
      </c>
      <c r="E619" s="315" t="s">
        <v>2125</v>
      </c>
      <c r="F619" s="316" t="s">
        <v>6</v>
      </c>
      <c r="G619" s="318" t="s">
        <v>3521</v>
      </c>
      <c r="H619" s="378" t="s">
        <v>3389</v>
      </c>
      <c r="I619" s="317" t="s">
        <v>3294</v>
      </c>
      <c r="J619" s="289" t="s">
        <v>3388</v>
      </c>
    </row>
    <row r="620" spans="1:15" x14ac:dyDescent="0.25">
      <c r="B620" s="319">
        <v>46108</v>
      </c>
      <c r="C620" s="318" t="s">
        <v>2072</v>
      </c>
      <c r="D620" s="296" t="s">
        <v>410</v>
      </c>
      <c r="E620" s="315" t="s">
        <v>2125</v>
      </c>
      <c r="F620" s="316" t="s">
        <v>6</v>
      </c>
      <c r="G620" s="318" t="s">
        <v>3489</v>
      </c>
      <c r="H620" s="378" t="s">
        <v>3520</v>
      </c>
      <c r="I620" s="317" t="s">
        <v>3294</v>
      </c>
      <c r="J620" s="289" t="s">
        <v>3388</v>
      </c>
    </row>
    <row r="621" spans="1:15" x14ac:dyDescent="0.25">
      <c r="B621" s="319">
        <v>46108</v>
      </c>
      <c r="C621" s="318" t="s">
        <v>2072</v>
      </c>
      <c r="D621" s="296" t="s">
        <v>410</v>
      </c>
      <c r="E621" s="315" t="s">
        <v>2125</v>
      </c>
      <c r="F621" s="316" t="s">
        <v>6</v>
      </c>
      <c r="G621" s="318" t="s">
        <v>3382</v>
      </c>
      <c r="H621" s="378" t="s">
        <v>3520</v>
      </c>
      <c r="I621" s="317" t="s">
        <v>3294</v>
      </c>
      <c r="J621" s="289" t="s">
        <v>3388</v>
      </c>
    </row>
    <row r="622" spans="1:15" x14ac:dyDescent="0.25">
      <c r="B622" s="319">
        <v>46108</v>
      </c>
      <c r="C622" s="318" t="s">
        <v>2072</v>
      </c>
      <c r="D622" s="296" t="s">
        <v>410</v>
      </c>
      <c r="E622" s="315" t="s">
        <v>2125</v>
      </c>
      <c r="F622" s="316" t="s">
        <v>6</v>
      </c>
      <c r="G622" s="318" t="s">
        <v>3383</v>
      </c>
      <c r="H622" s="378" t="s">
        <v>3520</v>
      </c>
      <c r="I622" s="317" t="s">
        <v>3294</v>
      </c>
      <c r="J622" s="289" t="s">
        <v>3388</v>
      </c>
    </row>
    <row r="623" spans="1:15" x14ac:dyDescent="0.25">
      <c r="B623" s="319">
        <v>46108</v>
      </c>
      <c r="C623" s="318" t="s">
        <v>2072</v>
      </c>
      <c r="D623" s="296" t="s">
        <v>410</v>
      </c>
      <c r="E623" s="315" t="s">
        <v>2125</v>
      </c>
      <c r="F623" s="316" t="s">
        <v>6</v>
      </c>
      <c r="G623" s="318" t="s">
        <v>3488</v>
      </c>
      <c r="H623" s="378" t="s">
        <v>3520</v>
      </c>
      <c r="I623" s="317" t="s">
        <v>3294</v>
      </c>
      <c r="J623" s="289" t="s">
        <v>3388</v>
      </c>
    </row>
    <row r="624" spans="1:15" x14ac:dyDescent="0.25">
      <c r="B624" s="319">
        <v>46108</v>
      </c>
      <c r="C624" s="318" t="s">
        <v>2072</v>
      </c>
      <c r="D624" s="296" t="s">
        <v>410</v>
      </c>
      <c r="E624" s="315" t="s">
        <v>2125</v>
      </c>
      <c r="F624" s="316" t="s">
        <v>6</v>
      </c>
      <c r="G624" s="318" t="s">
        <v>3385</v>
      </c>
      <c r="H624" s="378" t="s">
        <v>3520</v>
      </c>
      <c r="I624" s="317" t="s">
        <v>3294</v>
      </c>
      <c r="J624" s="289" t="s">
        <v>3388</v>
      </c>
    </row>
    <row r="625" spans="1:12" x14ac:dyDescent="0.25">
      <c r="B625" s="319">
        <v>46108</v>
      </c>
      <c r="C625" s="318" t="s">
        <v>2072</v>
      </c>
      <c r="D625" s="296" t="s">
        <v>410</v>
      </c>
      <c r="E625" s="315" t="s">
        <v>2125</v>
      </c>
      <c r="F625" s="316" t="s">
        <v>6</v>
      </c>
      <c r="G625" s="318" t="s">
        <v>3386</v>
      </c>
      <c r="H625" s="378" t="s">
        <v>3520</v>
      </c>
      <c r="I625" s="317" t="s">
        <v>3294</v>
      </c>
      <c r="J625" s="289" t="s">
        <v>3388</v>
      </c>
    </row>
    <row r="626" spans="1:12" x14ac:dyDescent="0.25">
      <c r="B626" s="319">
        <v>46108</v>
      </c>
      <c r="C626" s="318" t="s">
        <v>2072</v>
      </c>
      <c r="D626" s="296" t="s">
        <v>531</v>
      </c>
      <c r="E626" s="315" t="s">
        <v>2125</v>
      </c>
      <c r="F626" s="316" t="s">
        <v>6</v>
      </c>
      <c r="G626" s="378" t="s">
        <v>3529</v>
      </c>
      <c r="H626" s="318" t="s">
        <v>3529</v>
      </c>
      <c r="I626" s="317" t="s">
        <v>3294</v>
      </c>
      <c r="J626" s="289" t="s">
        <v>3329</v>
      </c>
    </row>
    <row r="627" spans="1:12" x14ac:dyDescent="0.25">
      <c r="B627" s="319">
        <v>46108</v>
      </c>
      <c r="C627" s="318" t="s">
        <v>2072</v>
      </c>
      <c r="D627" s="296" t="s">
        <v>531</v>
      </c>
      <c r="E627" s="315" t="s">
        <v>2125</v>
      </c>
      <c r="F627" s="316" t="s">
        <v>6</v>
      </c>
      <c r="G627" s="318" t="s">
        <v>3530</v>
      </c>
      <c r="H627" s="318" t="s">
        <v>3530</v>
      </c>
      <c r="I627" s="317" t="s">
        <v>3294</v>
      </c>
      <c r="J627" s="289" t="s">
        <v>3329</v>
      </c>
    </row>
    <row r="628" spans="1:12" x14ac:dyDescent="0.25">
      <c r="A628" s="320"/>
      <c r="B628" s="321">
        <v>45744</v>
      </c>
      <c r="C628" s="322" t="s">
        <v>362</v>
      </c>
      <c r="D628" s="322" t="s">
        <v>2519</v>
      </c>
      <c r="E628" s="322" t="s">
        <v>2519</v>
      </c>
      <c r="F628" s="322" t="s">
        <v>2519</v>
      </c>
      <c r="G628" s="322" t="s">
        <v>2519</v>
      </c>
      <c r="H628" s="322"/>
      <c r="I628" s="322" t="s">
        <v>2519</v>
      </c>
      <c r="J628" s="322" t="s">
        <v>2519</v>
      </c>
      <c r="K628" s="322" t="s">
        <v>2519</v>
      </c>
      <c r="L628" s="323"/>
    </row>
    <row r="629" spans="1:12" x14ac:dyDescent="0.25">
      <c r="A629" s="320"/>
      <c r="B629" s="321">
        <v>45745</v>
      </c>
      <c r="C629" s="322" t="s">
        <v>362</v>
      </c>
      <c r="D629" s="322" t="s">
        <v>2520</v>
      </c>
      <c r="E629" s="322" t="s">
        <v>2520</v>
      </c>
      <c r="F629" s="322" t="s">
        <v>2520</v>
      </c>
      <c r="G629" s="322" t="s">
        <v>2520</v>
      </c>
      <c r="H629" s="322"/>
      <c r="I629" s="322" t="s">
        <v>2520</v>
      </c>
      <c r="J629" s="322" t="s">
        <v>2520</v>
      </c>
      <c r="K629" s="322" t="s">
        <v>2520</v>
      </c>
      <c r="L629" s="323"/>
    </row>
    <row r="630" spans="1:12" x14ac:dyDescent="0.25">
      <c r="B630" s="319">
        <v>46111</v>
      </c>
      <c r="D630" s="296"/>
      <c r="E630" s="315" t="s">
        <v>2125</v>
      </c>
      <c r="F630" s="316" t="s">
        <v>6</v>
      </c>
    </row>
    <row r="631" spans="1:12" x14ac:dyDescent="0.25">
      <c r="B631" s="319">
        <v>46112</v>
      </c>
      <c r="D631" s="296"/>
      <c r="E631" s="315" t="s">
        <v>2125</v>
      </c>
      <c r="F631" s="316" t="s">
        <v>6</v>
      </c>
    </row>
    <row r="632" spans="1:12" x14ac:dyDescent="0.25">
      <c r="D632" s="296"/>
      <c r="E632" s="315" t="s">
        <v>2125</v>
      </c>
      <c r="F632" s="316" t="s">
        <v>6</v>
      </c>
    </row>
    <row r="633" spans="1:12" x14ac:dyDescent="0.25">
      <c r="D633" s="296"/>
      <c r="E633" s="315" t="s">
        <v>2125</v>
      </c>
      <c r="F633" s="316" t="s">
        <v>6</v>
      </c>
    </row>
    <row r="634" spans="1:12" x14ac:dyDescent="0.25">
      <c r="D634" s="296"/>
      <c r="E634" s="315" t="s">
        <v>2125</v>
      </c>
      <c r="F634" s="316" t="s">
        <v>6</v>
      </c>
    </row>
    <row r="635" spans="1:12" x14ac:dyDescent="0.25">
      <c r="D635" s="296"/>
      <c r="E635" s="315" t="s">
        <v>2125</v>
      </c>
      <c r="F635" s="316" t="s">
        <v>6</v>
      </c>
    </row>
    <row r="636" spans="1:12" x14ac:dyDescent="0.25">
      <c r="D636" s="296"/>
      <c r="E636" s="315" t="s">
        <v>2125</v>
      </c>
      <c r="F636" s="316" t="s">
        <v>6</v>
      </c>
    </row>
    <row r="637" spans="1:12" x14ac:dyDescent="0.25">
      <c r="D637" s="296"/>
      <c r="E637" s="315" t="s">
        <v>2125</v>
      </c>
      <c r="F637" s="316" t="s">
        <v>6</v>
      </c>
    </row>
    <row r="638" spans="1:12" x14ac:dyDescent="0.25">
      <c r="D638" s="296"/>
      <c r="E638" s="315" t="s">
        <v>2125</v>
      </c>
      <c r="F638" s="316" t="s">
        <v>6</v>
      </c>
    </row>
    <row r="639" spans="1:12" x14ac:dyDescent="0.25">
      <c r="D639" s="296"/>
      <c r="E639" s="315" t="s">
        <v>2125</v>
      </c>
      <c r="F639" s="316" t="s">
        <v>6</v>
      </c>
    </row>
    <row r="640" spans="1:12" x14ac:dyDescent="0.25">
      <c r="D640" s="296"/>
      <c r="E640" s="315" t="s">
        <v>2125</v>
      </c>
      <c r="F640" s="316" t="s">
        <v>6</v>
      </c>
    </row>
    <row r="641" spans="4:6" x14ac:dyDescent="0.25">
      <c r="D641" s="296"/>
      <c r="E641" s="315" t="s">
        <v>2125</v>
      </c>
      <c r="F641" s="316" t="s">
        <v>6</v>
      </c>
    </row>
    <row r="642" spans="4:6" x14ac:dyDescent="0.25">
      <c r="D642" s="296"/>
      <c r="E642" s="315" t="s">
        <v>2125</v>
      </c>
      <c r="F642" s="316" t="s">
        <v>6</v>
      </c>
    </row>
    <row r="643" spans="4:6" x14ac:dyDescent="0.25">
      <c r="D643" s="296"/>
      <c r="E643" s="315" t="s">
        <v>2125</v>
      </c>
      <c r="F643" s="316" t="s">
        <v>6</v>
      </c>
    </row>
    <row r="644" spans="4:6" x14ac:dyDescent="0.25">
      <c r="D644" s="296"/>
      <c r="E644" s="315" t="s">
        <v>2125</v>
      </c>
      <c r="F644" s="316" t="s">
        <v>6</v>
      </c>
    </row>
    <row r="645" spans="4:6" x14ac:dyDescent="0.25">
      <c r="D645" s="296"/>
      <c r="E645" s="315" t="s">
        <v>2125</v>
      </c>
      <c r="F645" s="316" t="s">
        <v>6</v>
      </c>
    </row>
    <row r="646" spans="4:6" x14ac:dyDescent="0.25">
      <c r="D646" s="296"/>
      <c r="E646" s="315" t="s">
        <v>2125</v>
      </c>
      <c r="F646" s="316" t="s">
        <v>6</v>
      </c>
    </row>
    <row r="647" spans="4:6" x14ac:dyDescent="0.25">
      <c r="D647" s="296"/>
      <c r="E647" s="315" t="s">
        <v>2125</v>
      </c>
      <c r="F647" s="316" t="s">
        <v>6</v>
      </c>
    </row>
    <row r="648" spans="4:6" x14ac:dyDescent="0.25">
      <c r="D648" s="296"/>
      <c r="E648" s="315" t="s">
        <v>2125</v>
      </c>
      <c r="F648" s="316" t="s">
        <v>6</v>
      </c>
    </row>
    <row r="649" spans="4:6" x14ac:dyDescent="0.25">
      <c r="D649" s="296"/>
      <c r="E649" s="315" t="s">
        <v>2125</v>
      </c>
      <c r="F649" s="316" t="s">
        <v>6</v>
      </c>
    </row>
    <row r="650" spans="4:6" x14ac:dyDescent="0.25">
      <c r="D650" s="296"/>
      <c r="E650" s="315" t="s">
        <v>2125</v>
      </c>
      <c r="F650" s="316" t="s">
        <v>6</v>
      </c>
    </row>
    <row r="651" spans="4:6" x14ac:dyDescent="0.25">
      <c r="D651" s="296"/>
      <c r="E651" s="315" t="s">
        <v>2125</v>
      </c>
      <c r="F651" s="316" t="s">
        <v>6</v>
      </c>
    </row>
    <row r="652" spans="4:6" x14ac:dyDescent="0.25">
      <c r="D652" s="296"/>
      <c r="E652" s="315" t="s">
        <v>2125</v>
      </c>
      <c r="F652" s="316" t="s">
        <v>6</v>
      </c>
    </row>
    <row r="653" spans="4:6" x14ac:dyDescent="0.25">
      <c r="D653" s="296"/>
      <c r="E653" s="315" t="s">
        <v>2125</v>
      </c>
      <c r="F653" s="316" t="s">
        <v>6</v>
      </c>
    </row>
    <row r="654" spans="4:6" x14ac:dyDescent="0.25">
      <c r="D654" s="296"/>
      <c r="E654" s="315" t="s">
        <v>2125</v>
      </c>
      <c r="F654" s="316" t="s">
        <v>6</v>
      </c>
    </row>
    <row r="655" spans="4:6" x14ac:dyDescent="0.25">
      <c r="D655" s="296"/>
      <c r="E655" s="315" t="s">
        <v>2125</v>
      </c>
      <c r="F655" s="316" t="s">
        <v>6</v>
      </c>
    </row>
    <row r="656" spans="4:6" x14ac:dyDescent="0.25">
      <c r="D656" s="296"/>
      <c r="E656" s="315" t="s">
        <v>2125</v>
      </c>
      <c r="F656" s="316" t="s">
        <v>6</v>
      </c>
    </row>
    <row r="657" spans="4:6" x14ac:dyDescent="0.25">
      <c r="D657" s="296"/>
      <c r="E657" s="315" t="s">
        <v>2125</v>
      </c>
      <c r="F657" s="316" t="s">
        <v>6</v>
      </c>
    </row>
    <row r="658" spans="4:6" x14ac:dyDescent="0.25">
      <c r="D658" s="296"/>
      <c r="E658" s="315" t="s">
        <v>2125</v>
      </c>
      <c r="F658" s="316" t="s">
        <v>6</v>
      </c>
    </row>
    <row r="659" spans="4:6" x14ac:dyDescent="0.25">
      <c r="D659" s="296"/>
      <c r="E659" s="315" t="s">
        <v>2125</v>
      </c>
      <c r="F659" s="316" t="s">
        <v>6</v>
      </c>
    </row>
    <row r="660" spans="4:6" x14ac:dyDescent="0.25">
      <c r="D660" s="296"/>
      <c r="E660" s="315" t="s">
        <v>2125</v>
      </c>
      <c r="F660" s="316" t="s">
        <v>6</v>
      </c>
    </row>
    <row r="661" spans="4:6" x14ac:dyDescent="0.25">
      <c r="D661" s="296"/>
      <c r="E661" s="315" t="s">
        <v>2125</v>
      </c>
      <c r="F661" s="316" t="s">
        <v>6</v>
      </c>
    </row>
    <row r="662" spans="4:6" x14ac:dyDescent="0.25">
      <c r="D662" s="296"/>
      <c r="E662" s="315" t="s">
        <v>2125</v>
      </c>
      <c r="F662" s="316" t="s">
        <v>6</v>
      </c>
    </row>
    <row r="663" spans="4:6" x14ac:dyDescent="0.25">
      <c r="D663" s="296"/>
      <c r="E663" s="315" t="s">
        <v>2125</v>
      </c>
      <c r="F663" s="316" t="s">
        <v>6</v>
      </c>
    </row>
    <row r="664" spans="4:6" x14ac:dyDescent="0.25">
      <c r="D664" s="296"/>
      <c r="E664" s="315" t="s">
        <v>2125</v>
      </c>
      <c r="F664" s="316" t="s">
        <v>6</v>
      </c>
    </row>
    <row r="665" spans="4:6" x14ac:dyDescent="0.25">
      <c r="D665" s="296"/>
      <c r="E665" s="315" t="s">
        <v>2125</v>
      </c>
      <c r="F665" s="316" t="s">
        <v>6</v>
      </c>
    </row>
    <row r="666" spans="4:6" x14ac:dyDescent="0.25">
      <c r="D666" s="296"/>
      <c r="E666" s="315" t="s">
        <v>2125</v>
      </c>
      <c r="F666" s="316" t="s">
        <v>6</v>
      </c>
    </row>
    <row r="667" spans="4:6" x14ac:dyDescent="0.25">
      <c r="D667" s="296"/>
      <c r="E667" s="315" t="s">
        <v>2125</v>
      </c>
      <c r="F667" s="316" t="s">
        <v>6</v>
      </c>
    </row>
    <row r="668" spans="4:6" x14ac:dyDescent="0.25">
      <c r="D668" s="296"/>
      <c r="E668" s="315" t="s">
        <v>2125</v>
      </c>
      <c r="F668" s="316" t="s">
        <v>6</v>
      </c>
    </row>
    <row r="669" spans="4:6" x14ac:dyDescent="0.25">
      <c r="D669" s="296"/>
      <c r="E669" s="315" t="s">
        <v>2125</v>
      </c>
      <c r="F669" s="316" t="s">
        <v>6</v>
      </c>
    </row>
    <row r="670" spans="4:6" x14ac:dyDescent="0.25">
      <c r="D670" s="296"/>
      <c r="E670" s="315" t="s">
        <v>2125</v>
      </c>
      <c r="F670" s="316" t="s">
        <v>6</v>
      </c>
    </row>
    <row r="671" spans="4:6" x14ac:dyDescent="0.25">
      <c r="D671" s="296"/>
      <c r="E671" s="315" t="s">
        <v>2125</v>
      </c>
      <c r="F671" s="316" t="s">
        <v>6</v>
      </c>
    </row>
    <row r="672" spans="4:6" x14ac:dyDescent="0.25">
      <c r="D672" s="296"/>
      <c r="E672" s="315" t="s">
        <v>2125</v>
      </c>
      <c r="F672" s="316" t="s">
        <v>6</v>
      </c>
    </row>
    <row r="673" spans="4:6" x14ac:dyDescent="0.25">
      <c r="D673" s="296"/>
      <c r="E673" s="315" t="s">
        <v>2125</v>
      </c>
      <c r="F673" s="316" t="s">
        <v>6</v>
      </c>
    </row>
    <row r="674" spans="4:6" x14ac:dyDescent="0.25">
      <c r="D674" s="296"/>
      <c r="E674" s="315" t="s">
        <v>2125</v>
      </c>
      <c r="F674" s="316" t="s">
        <v>6</v>
      </c>
    </row>
    <row r="675" spans="4:6" x14ac:dyDescent="0.25">
      <c r="D675" s="296"/>
      <c r="E675" s="315" t="s">
        <v>2125</v>
      </c>
      <c r="F675" s="316" t="s">
        <v>6</v>
      </c>
    </row>
    <row r="676" spans="4:6" x14ac:dyDescent="0.25">
      <c r="D676" s="296"/>
      <c r="E676" s="315" t="s">
        <v>2125</v>
      </c>
      <c r="F676" s="316" t="s">
        <v>6</v>
      </c>
    </row>
    <row r="677" spans="4:6" x14ac:dyDescent="0.25">
      <c r="D677" s="296"/>
      <c r="E677" s="315" t="s">
        <v>2125</v>
      </c>
      <c r="F677" s="316" t="s">
        <v>6</v>
      </c>
    </row>
    <row r="678" spans="4:6" x14ac:dyDescent="0.25">
      <c r="D678" s="296"/>
    </row>
    <row r="679" spans="4:6" x14ac:dyDescent="0.25">
      <c r="D679" s="296"/>
    </row>
    <row r="680" spans="4:6" x14ac:dyDescent="0.25">
      <c r="D680" s="296"/>
    </row>
    <row r="681" spans="4:6" x14ac:dyDescent="0.25">
      <c r="D681" s="296"/>
    </row>
    <row r="682" spans="4:6" x14ac:dyDescent="0.25">
      <c r="D682" s="296"/>
    </row>
    <row r="683" spans="4:6" x14ac:dyDescent="0.25">
      <c r="D683" s="296"/>
    </row>
    <row r="684" spans="4:6" x14ac:dyDescent="0.25">
      <c r="D684" s="296"/>
    </row>
    <row r="685" spans="4:6" x14ac:dyDescent="0.25">
      <c r="D685" s="296"/>
    </row>
    <row r="686" spans="4:6" x14ac:dyDescent="0.25">
      <c r="D686" s="296"/>
    </row>
    <row r="687" spans="4:6" x14ac:dyDescent="0.25">
      <c r="D687" s="296"/>
    </row>
    <row r="688" spans="4:6" x14ac:dyDescent="0.25">
      <c r="D688" s="296"/>
    </row>
    <row r="689" spans="4:4" x14ac:dyDescent="0.25">
      <c r="D689" s="296"/>
    </row>
    <row r="690" spans="4:4" x14ac:dyDescent="0.25">
      <c r="D690" s="296"/>
    </row>
    <row r="691" spans="4:4" x14ac:dyDescent="0.25">
      <c r="D691" s="296"/>
    </row>
    <row r="692" spans="4:4" x14ac:dyDescent="0.25">
      <c r="D692" s="296"/>
    </row>
    <row r="693" spans="4:4" x14ac:dyDescent="0.25">
      <c r="D693" s="296"/>
    </row>
    <row r="694" spans="4:4" x14ac:dyDescent="0.25">
      <c r="D694" s="296"/>
    </row>
    <row r="695" spans="4:4" x14ac:dyDescent="0.25">
      <c r="D695" s="296"/>
    </row>
    <row r="696" spans="4:4" x14ac:dyDescent="0.25">
      <c r="D696" s="296"/>
    </row>
    <row r="697" spans="4:4" x14ac:dyDescent="0.25">
      <c r="D697" s="296"/>
    </row>
    <row r="698" spans="4:4" x14ac:dyDescent="0.25">
      <c r="D698" s="296"/>
    </row>
    <row r="699" spans="4:4" x14ac:dyDescent="0.25">
      <c r="D699" s="296"/>
    </row>
    <row r="700" spans="4:4" x14ac:dyDescent="0.25">
      <c r="D700" s="296"/>
    </row>
    <row r="701" spans="4:4" x14ac:dyDescent="0.25">
      <c r="D701" s="296"/>
    </row>
    <row r="702" spans="4:4" x14ac:dyDescent="0.25">
      <c r="D702" s="296"/>
    </row>
    <row r="703" spans="4:4" x14ac:dyDescent="0.25">
      <c r="D703" s="296"/>
    </row>
    <row r="704" spans="4:4" x14ac:dyDescent="0.25">
      <c r="D704" s="296"/>
    </row>
    <row r="705" spans="4:4" x14ac:dyDescent="0.25">
      <c r="D705" s="296"/>
    </row>
    <row r="706" spans="4:4" x14ac:dyDescent="0.25">
      <c r="D706" s="296"/>
    </row>
    <row r="707" spans="4:4" x14ac:dyDescent="0.25">
      <c r="D707" s="296"/>
    </row>
    <row r="708" spans="4:4" x14ac:dyDescent="0.25">
      <c r="D708" s="296"/>
    </row>
    <row r="709" spans="4:4" x14ac:dyDescent="0.25">
      <c r="D709" s="296"/>
    </row>
    <row r="710" spans="4:4" x14ac:dyDescent="0.25">
      <c r="D710" s="296"/>
    </row>
    <row r="711" spans="4:4" x14ac:dyDescent="0.25">
      <c r="D711" s="296"/>
    </row>
    <row r="712" spans="4:4" x14ac:dyDescent="0.25">
      <c r="D712" s="296"/>
    </row>
    <row r="713" spans="4:4" x14ac:dyDescent="0.25">
      <c r="D713" s="296"/>
    </row>
    <row r="714" spans="4:4" x14ac:dyDescent="0.25">
      <c r="D714" s="296"/>
    </row>
    <row r="715" spans="4:4" x14ac:dyDescent="0.25">
      <c r="D715" s="296"/>
    </row>
    <row r="716" spans="4:4" x14ac:dyDescent="0.25">
      <c r="D716" s="296"/>
    </row>
    <row r="717" spans="4:4" x14ac:dyDescent="0.25">
      <c r="D717" s="296"/>
    </row>
    <row r="718" spans="4:4" x14ac:dyDescent="0.25">
      <c r="D718" s="296"/>
    </row>
    <row r="719" spans="4:4" x14ac:dyDescent="0.25">
      <c r="D719" s="296"/>
    </row>
    <row r="720" spans="4:4" x14ac:dyDescent="0.25">
      <c r="D720" s="296"/>
    </row>
    <row r="721" spans="4:4" x14ac:dyDescent="0.25">
      <c r="D721" s="296"/>
    </row>
    <row r="722" spans="4:4" x14ac:dyDescent="0.25">
      <c r="D722" s="296"/>
    </row>
    <row r="723" spans="4:4" x14ac:dyDescent="0.25">
      <c r="D723" s="296"/>
    </row>
    <row r="724" spans="4:4" x14ac:dyDescent="0.25">
      <c r="D724" s="296"/>
    </row>
    <row r="725" spans="4:4" x14ac:dyDescent="0.25">
      <c r="D725" s="296"/>
    </row>
    <row r="726" spans="4:4" x14ac:dyDescent="0.25">
      <c r="D726" s="296"/>
    </row>
    <row r="727" spans="4:4" x14ac:dyDescent="0.25">
      <c r="D727" s="296"/>
    </row>
    <row r="728" spans="4:4" x14ac:dyDescent="0.25">
      <c r="D728" s="296"/>
    </row>
    <row r="729" spans="4:4" x14ac:dyDescent="0.25">
      <c r="D729" s="296"/>
    </row>
    <row r="730" spans="4:4" x14ac:dyDescent="0.25">
      <c r="D730" s="296"/>
    </row>
    <row r="731" spans="4:4" x14ac:dyDescent="0.25">
      <c r="D731" s="296"/>
    </row>
    <row r="732" spans="4:4" x14ac:dyDescent="0.25">
      <c r="D732" s="296"/>
    </row>
    <row r="733" spans="4:4" x14ac:dyDescent="0.25">
      <c r="D733" s="296"/>
    </row>
    <row r="734" spans="4:4" x14ac:dyDescent="0.25">
      <c r="D734" s="296"/>
    </row>
    <row r="735" spans="4:4" x14ac:dyDescent="0.25">
      <c r="D735" s="296"/>
    </row>
    <row r="736" spans="4:4" x14ac:dyDescent="0.25">
      <c r="D736" s="296"/>
    </row>
    <row r="737" spans="4:4" x14ac:dyDescent="0.25">
      <c r="D737" s="296"/>
    </row>
    <row r="738" spans="4:4" x14ac:dyDescent="0.25">
      <c r="D738" s="296"/>
    </row>
    <row r="739" spans="4:4" x14ac:dyDescent="0.25">
      <c r="D739" s="296"/>
    </row>
    <row r="740" spans="4:4" x14ac:dyDescent="0.25">
      <c r="D740" s="296"/>
    </row>
    <row r="741" spans="4:4" x14ac:dyDescent="0.25">
      <c r="D741" s="296"/>
    </row>
    <row r="742" spans="4:4" x14ac:dyDescent="0.25">
      <c r="D742" s="296"/>
    </row>
    <row r="743" spans="4:4" x14ac:dyDescent="0.25">
      <c r="D743" s="296"/>
    </row>
    <row r="744" spans="4:4" x14ac:dyDescent="0.25">
      <c r="D744" s="296"/>
    </row>
    <row r="745" spans="4:4" x14ac:dyDescent="0.25">
      <c r="D745" s="296"/>
    </row>
    <row r="746" spans="4:4" x14ac:dyDescent="0.25">
      <c r="D746" s="296"/>
    </row>
    <row r="747" spans="4:4" x14ac:dyDescent="0.25">
      <c r="D747" s="296"/>
    </row>
    <row r="748" spans="4:4" x14ac:dyDescent="0.25">
      <c r="D748" s="296"/>
    </row>
    <row r="749" spans="4:4" x14ac:dyDescent="0.25">
      <c r="D749" s="296"/>
    </row>
    <row r="750" spans="4:4" x14ac:dyDescent="0.25">
      <c r="D750" s="296"/>
    </row>
    <row r="751" spans="4:4" x14ac:dyDescent="0.25">
      <c r="D751" s="296"/>
    </row>
    <row r="752" spans="4:4" x14ac:dyDescent="0.25">
      <c r="D752" s="296"/>
    </row>
    <row r="753" spans="4:4" x14ac:dyDescent="0.25">
      <c r="D753" s="296"/>
    </row>
    <row r="754" spans="4:4" x14ac:dyDescent="0.25">
      <c r="D754" s="296"/>
    </row>
    <row r="755" spans="4:4" x14ac:dyDescent="0.25">
      <c r="D755" s="296"/>
    </row>
    <row r="756" spans="4:4" x14ac:dyDescent="0.25">
      <c r="D756" s="296"/>
    </row>
    <row r="757" spans="4:4" x14ac:dyDescent="0.25">
      <c r="D757" s="296"/>
    </row>
    <row r="758" spans="4:4" x14ac:dyDescent="0.25">
      <c r="D758" s="296"/>
    </row>
    <row r="759" spans="4:4" x14ac:dyDescent="0.25">
      <c r="D759" s="296"/>
    </row>
    <row r="760" spans="4:4" x14ac:dyDescent="0.25">
      <c r="D760" s="296"/>
    </row>
    <row r="761" spans="4:4" x14ac:dyDescent="0.25">
      <c r="D761" s="296"/>
    </row>
    <row r="762" spans="4:4" x14ac:dyDescent="0.25">
      <c r="D762" s="296"/>
    </row>
    <row r="763" spans="4:4" x14ac:dyDescent="0.25">
      <c r="D763" s="296"/>
    </row>
    <row r="764" spans="4:4" x14ac:dyDescent="0.25">
      <c r="D764" s="296"/>
    </row>
    <row r="765" spans="4:4" x14ac:dyDescent="0.25">
      <c r="D765" s="296"/>
    </row>
    <row r="766" spans="4:4" x14ac:dyDescent="0.25">
      <c r="D766" s="296"/>
    </row>
    <row r="767" spans="4:4" x14ac:dyDescent="0.25">
      <c r="D767" s="296"/>
    </row>
    <row r="768" spans="4:4" x14ac:dyDescent="0.25">
      <c r="D768" s="296"/>
    </row>
    <row r="769" spans="4:4" x14ac:dyDescent="0.25">
      <c r="D769" s="296"/>
    </row>
    <row r="770" spans="4:4" x14ac:dyDescent="0.25">
      <c r="D770" s="296"/>
    </row>
    <row r="771" spans="4:4" x14ac:dyDescent="0.25">
      <c r="D771" s="296"/>
    </row>
    <row r="772" spans="4:4" x14ac:dyDescent="0.25">
      <c r="D772" s="296"/>
    </row>
    <row r="773" spans="4:4" x14ac:dyDescent="0.25">
      <c r="D773" s="296"/>
    </row>
    <row r="774" spans="4:4" x14ac:dyDescent="0.25">
      <c r="D774" s="296"/>
    </row>
    <row r="775" spans="4:4" x14ac:dyDescent="0.25">
      <c r="D775" s="296"/>
    </row>
    <row r="776" spans="4:4" x14ac:dyDescent="0.25">
      <c r="D776" s="296"/>
    </row>
    <row r="777" spans="4:4" x14ac:dyDescent="0.25">
      <c r="D777" s="296"/>
    </row>
    <row r="778" spans="4:4" x14ac:dyDescent="0.25">
      <c r="D778" s="296"/>
    </row>
    <row r="779" spans="4:4" x14ac:dyDescent="0.25">
      <c r="D779" s="296"/>
    </row>
    <row r="780" spans="4:4" x14ac:dyDescent="0.25">
      <c r="D780" s="296"/>
    </row>
    <row r="781" spans="4:4" x14ac:dyDescent="0.25">
      <c r="D781" s="296"/>
    </row>
    <row r="782" spans="4:4" x14ac:dyDescent="0.25">
      <c r="D782" s="296"/>
    </row>
    <row r="783" spans="4:4" x14ac:dyDescent="0.25">
      <c r="D783" s="296"/>
    </row>
    <row r="784" spans="4:4" x14ac:dyDescent="0.25">
      <c r="D784" s="296"/>
    </row>
    <row r="785" spans="4:4" x14ac:dyDescent="0.25">
      <c r="D785" s="296"/>
    </row>
    <row r="786" spans="4:4" x14ac:dyDescent="0.25">
      <c r="D786" s="296"/>
    </row>
    <row r="787" spans="4:4" x14ac:dyDescent="0.25">
      <c r="D787" s="296"/>
    </row>
    <row r="788" spans="4:4" x14ac:dyDescent="0.25">
      <c r="D788" s="296"/>
    </row>
    <row r="789" spans="4:4" x14ac:dyDescent="0.25">
      <c r="D789" s="296"/>
    </row>
    <row r="790" spans="4:4" x14ac:dyDescent="0.25">
      <c r="D790" s="296"/>
    </row>
    <row r="791" spans="4:4" x14ac:dyDescent="0.25">
      <c r="D791" s="296"/>
    </row>
    <row r="792" spans="4:4" x14ac:dyDescent="0.25">
      <c r="D792" s="296"/>
    </row>
    <row r="793" spans="4:4" x14ac:dyDescent="0.25">
      <c r="D793" s="296"/>
    </row>
    <row r="794" spans="4:4" x14ac:dyDescent="0.25">
      <c r="D794" s="296"/>
    </row>
    <row r="795" spans="4:4" x14ac:dyDescent="0.25">
      <c r="D795" s="296"/>
    </row>
    <row r="796" spans="4:4" x14ac:dyDescent="0.25">
      <c r="D796" s="296"/>
    </row>
    <row r="797" spans="4:4" x14ac:dyDescent="0.25">
      <c r="D797" s="296"/>
    </row>
    <row r="798" spans="4:4" x14ac:dyDescent="0.25">
      <c r="D798" s="296"/>
    </row>
    <row r="799" spans="4:4" x14ac:dyDescent="0.25">
      <c r="D799" s="296"/>
    </row>
    <row r="800" spans="4:4" x14ac:dyDescent="0.25">
      <c r="D800" s="296"/>
    </row>
    <row r="801" spans="4:4" x14ac:dyDescent="0.25">
      <c r="D801" s="296"/>
    </row>
    <row r="802" spans="4:4" x14ac:dyDescent="0.25">
      <c r="D802" s="296"/>
    </row>
    <row r="803" spans="4:4" x14ac:dyDescent="0.25">
      <c r="D803" s="296"/>
    </row>
    <row r="804" spans="4:4" x14ac:dyDescent="0.25">
      <c r="D804" s="296"/>
    </row>
    <row r="805" spans="4:4" x14ac:dyDescent="0.25">
      <c r="D805" s="296"/>
    </row>
  </sheetData>
  <mergeCells count="15">
    <mergeCell ref="B167:B168"/>
    <mergeCell ref="C167:C168"/>
    <mergeCell ref="D167:D168"/>
    <mergeCell ref="E167:E168"/>
    <mergeCell ref="F167:F168"/>
    <mergeCell ref="B156:B157"/>
    <mergeCell ref="C156:C157"/>
    <mergeCell ref="D156:D157"/>
    <mergeCell ref="E156:E157"/>
    <mergeCell ref="F156:F157"/>
    <mergeCell ref="B169:B170"/>
    <mergeCell ref="C169:C170"/>
    <mergeCell ref="D169:D170"/>
    <mergeCell ref="E169:E170"/>
    <mergeCell ref="F169:F170"/>
  </mergeCells>
  <phoneticPr fontId="21" type="noConversion"/>
  <conditionalFormatting sqref="F1">
    <cfRule type="cellIs" dxfId="39" priority="1" operator="equal">
      <formula>"WARNING"</formula>
    </cfRule>
    <cfRule type="cellIs" dxfId="38" priority="2" operator="equal">
      <formula>"REQ"</formula>
    </cfRule>
    <cfRule type="cellIs" dxfId="37" priority="3" operator="equal">
      <formula>"INC"</formula>
    </cfRule>
  </conditionalFormatting>
  <conditionalFormatting sqref="F2:F394">
    <cfRule type="cellIs" dxfId="36" priority="4" operator="equal">
      <formula>"WARNING"</formula>
    </cfRule>
    <cfRule type="cellIs" dxfId="35" priority="5" operator="equal">
      <formula>"REQ"</formula>
    </cfRule>
    <cfRule type="cellIs" dxfId="34" priority="6" operator="equal">
      <formula>"INC"</formula>
    </cfRule>
  </conditionalFormatting>
  <conditionalFormatting sqref="F396:F440 F678:F10072">
    <cfRule type="cellIs" dxfId="33" priority="7" operator="equal">
      <formula>"INC"</formula>
    </cfRule>
    <cfRule type="cellIs" dxfId="32" priority="8" operator="equal">
      <formula>"WARNING"</formula>
    </cfRule>
    <cfRule type="cellIs" dxfId="31" priority="9" operator="equal">
      <formula>"REQ"</formula>
    </cfRule>
  </conditionalFormatting>
  <hyperlinks>
    <hyperlink ref="G212" r:id="rId1" xr:uid="{CE29D8E5-8052-46BF-BB14-3A39E5AC0EC3}"/>
  </hyperlinks>
  <pageMargins left="0.3" right="0.3" top="0.3" bottom="0.3" header="0" footer="0"/>
  <pageSetup scale="53" fitToHeight="0" orientation="landscape" verticalDpi="30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1CC51-ECC3-4882-B37E-AED8BA840C5E}">
  <sheetPr codeName="Hoja9">
    <tabColor theme="7" tint="0.39997558519241921"/>
    <pageSetUpPr fitToPage="1"/>
  </sheetPr>
  <dimension ref="A1:M1175"/>
  <sheetViews>
    <sheetView showGridLines="0" zoomScale="90" zoomScaleNormal="90" workbookViewId="0">
      <pane ySplit="1" topLeftCell="A1138" activePane="bottomLeft" state="frozen"/>
      <selection pane="bottomLeft" activeCell="B1" sqref="B1:J1"/>
    </sheetView>
  </sheetViews>
  <sheetFormatPr baseColWidth="10" defaultColWidth="11" defaultRowHeight="17.25" x14ac:dyDescent="0.3"/>
  <cols>
    <col min="1" max="1" width="3.375" style="1" customWidth="1"/>
    <col min="2" max="2" width="13.375" style="11" customWidth="1"/>
    <col min="3" max="3" width="16.875" style="11" customWidth="1"/>
    <col min="4" max="4" width="29.125" style="2" customWidth="1"/>
    <col min="5" max="5" width="20.875" style="2" customWidth="1"/>
    <col min="6" max="6" width="15.125" style="2" bestFit="1" customWidth="1"/>
    <col min="7" max="7" width="44.5" style="2" customWidth="1"/>
    <col min="8" max="8" width="68.875" style="2" customWidth="1"/>
    <col min="9" max="9" width="11.125" style="1" customWidth="1"/>
    <col min="10" max="10" width="16.25" style="1" customWidth="1"/>
    <col min="11" max="13" width="11" style="1" customWidth="1"/>
    <col min="14" max="14" width="11" style="2" customWidth="1"/>
    <col min="15" max="16384" width="11" style="2"/>
  </cols>
  <sheetData>
    <row r="1" spans="1:13" s="4" customFormat="1" ht="35.1" customHeight="1" x14ac:dyDescent="0.25">
      <c r="A1" s="3"/>
      <c r="B1" s="8" t="s">
        <v>16</v>
      </c>
      <c r="C1" s="8" t="s">
        <v>17</v>
      </c>
      <c r="D1" s="8" t="s">
        <v>18</v>
      </c>
      <c r="E1" s="8" t="s">
        <v>19</v>
      </c>
      <c r="F1" s="8" t="s">
        <v>20</v>
      </c>
      <c r="G1" s="8" t="s">
        <v>21</v>
      </c>
      <c r="H1" s="8" t="s">
        <v>22</v>
      </c>
      <c r="I1" s="280" t="s">
        <v>3266</v>
      </c>
      <c r="J1" s="280" t="s">
        <v>3269</v>
      </c>
      <c r="K1" s="3"/>
      <c r="L1" s="3"/>
      <c r="M1" s="3"/>
    </row>
    <row r="2" spans="1:13" customFormat="1" ht="15.75" x14ac:dyDescent="0.25">
      <c r="B2" s="25">
        <v>45735</v>
      </c>
      <c r="C2" s="27">
        <v>45717</v>
      </c>
      <c r="D2" s="26" t="s">
        <v>2811</v>
      </c>
      <c r="E2" s="26" t="s">
        <v>1828</v>
      </c>
      <c r="F2" s="47" t="s">
        <v>6</v>
      </c>
      <c r="G2" s="26" t="s">
        <v>2812</v>
      </c>
      <c r="H2" s="26" t="s">
        <v>2813</v>
      </c>
    </row>
    <row r="3" spans="1:13" customFormat="1" ht="15.75" x14ac:dyDescent="0.25">
      <c r="B3" s="28">
        <v>45735</v>
      </c>
      <c r="C3" s="30">
        <v>45717</v>
      </c>
      <c r="D3" s="29" t="s">
        <v>2811</v>
      </c>
      <c r="E3" s="29" t="s">
        <v>1828</v>
      </c>
      <c r="F3" s="47" t="s">
        <v>6</v>
      </c>
      <c r="G3" s="29" t="s">
        <v>2814</v>
      </c>
      <c r="H3" s="29" t="s">
        <v>2815</v>
      </c>
    </row>
    <row r="4" spans="1:13" customFormat="1" ht="15.75" x14ac:dyDescent="0.25">
      <c r="B4" s="28">
        <v>45735</v>
      </c>
      <c r="C4" s="30">
        <v>45717</v>
      </c>
      <c r="D4" s="29" t="s">
        <v>2811</v>
      </c>
      <c r="E4" s="29" t="s">
        <v>1828</v>
      </c>
      <c r="F4" s="47" t="s">
        <v>6</v>
      </c>
      <c r="G4" s="29" t="s">
        <v>2816</v>
      </c>
      <c r="H4" s="29" t="s">
        <v>2817</v>
      </c>
    </row>
    <row r="5" spans="1:13" customFormat="1" ht="15.75" x14ac:dyDescent="0.25">
      <c r="B5" s="28">
        <v>45735</v>
      </c>
      <c r="C5" s="30">
        <v>45717</v>
      </c>
      <c r="D5" s="29" t="s">
        <v>2811</v>
      </c>
      <c r="E5" s="29" t="s">
        <v>1828</v>
      </c>
      <c r="F5" s="47" t="s">
        <v>6</v>
      </c>
      <c r="G5" s="29" t="s">
        <v>2818</v>
      </c>
      <c r="H5" s="29" t="s">
        <v>2819</v>
      </c>
    </row>
    <row r="6" spans="1:13" customFormat="1" ht="15.75" x14ac:dyDescent="0.25">
      <c r="B6" s="28">
        <v>45736</v>
      </c>
      <c r="C6" s="30">
        <v>45717</v>
      </c>
      <c r="D6" s="29" t="s">
        <v>2811</v>
      </c>
      <c r="E6" s="29" t="s">
        <v>1828</v>
      </c>
      <c r="F6" s="47" t="s">
        <v>6</v>
      </c>
      <c r="G6" s="29" t="s">
        <v>2812</v>
      </c>
      <c r="H6" s="29" t="s">
        <v>2813</v>
      </c>
    </row>
    <row r="7" spans="1:13" customFormat="1" ht="15.75" x14ac:dyDescent="0.25">
      <c r="B7" s="28">
        <v>45736</v>
      </c>
      <c r="C7" s="30">
        <v>45717</v>
      </c>
      <c r="D7" s="29" t="s">
        <v>2811</v>
      </c>
      <c r="E7" s="29" t="s">
        <v>1828</v>
      </c>
      <c r="F7" s="47" t="s">
        <v>6</v>
      </c>
      <c r="G7" s="29" t="s">
        <v>2814</v>
      </c>
      <c r="H7" s="29" t="s">
        <v>2815</v>
      </c>
    </row>
    <row r="8" spans="1:13" customFormat="1" ht="15.75" x14ac:dyDescent="0.25">
      <c r="B8" s="28">
        <v>45736</v>
      </c>
      <c r="C8" s="30">
        <v>45717</v>
      </c>
      <c r="D8" s="29" t="s">
        <v>2811</v>
      </c>
      <c r="E8" s="29" t="s">
        <v>1828</v>
      </c>
      <c r="F8" s="47" t="s">
        <v>6</v>
      </c>
      <c r="G8" s="29" t="s">
        <v>2816</v>
      </c>
      <c r="H8" s="29" t="s">
        <v>2817</v>
      </c>
    </row>
    <row r="9" spans="1:13" customFormat="1" ht="15.75" x14ac:dyDescent="0.25">
      <c r="B9" s="28">
        <v>45736</v>
      </c>
      <c r="C9" s="30">
        <v>45717</v>
      </c>
      <c r="D9" s="29" t="s">
        <v>2811</v>
      </c>
      <c r="E9" s="29" t="s">
        <v>1828</v>
      </c>
      <c r="F9" s="47" t="s">
        <v>6</v>
      </c>
      <c r="G9" s="29" t="s">
        <v>2818</v>
      </c>
      <c r="H9" s="29" t="s">
        <v>2819</v>
      </c>
    </row>
    <row r="10" spans="1:13" customFormat="1" ht="15.75" x14ac:dyDescent="0.25">
      <c r="B10" s="28">
        <v>45737</v>
      </c>
      <c r="C10" s="30">
        <v>45717</v>
      </c>
      <c r="D10" s="29" t="s">
        <v>2811</v>
      </c>
      <c r="E10" s="29" t="s">
        <v>1828</v>
      </c>
      <c r="F10" s="47" t="s">
        <v>6</v>
      </c>
      <c r="G10" s="29" t="s">
        <v>2812</v>
      </c>
      <c r="H10" s="29" t="s">
        <v>2813</v>
      </c>
    </row>
    <row r="11" spans="1:13" customFormat="1" ht="15.75" x14ac:dyDescent="0.25">
      <c r="B11" s="28">
        <v>45737</v>
      </c>
      <c r="C11" s="30">
        <v>45717</v>
      </c>
      <c r="D11" s="29" t="s">
        <v>2811</v>
      </c>
      <c r="E11" s="29" t="s">
        <v>1828</v>
      </c>
      <c r="F11" s="47" t="s">
        <v>6</v>
      </c>
      <c r="G11" s="29" t="s">
        <v>2814</v>
      </c>
      <c r="H11" s="29" t="s">
        <v>2815</v>
      </c>
    </row>
    <row r="12" spans="1:13" x14ac:dyDescent="0.3">
      <c r="B12" s="28">
        <v>45737</v>
      </c>
      <c r="C12" s="30">
        <v>45717</v>
      </c>
      <c r="D12" s="29" t="s">
        <v>2811</v>
      </c>
      <c r="E12" s="29" t="s">
        <v>1828</v>
      </c>
      <c r="F12" s="47" t="s">
        <v>6</v>
      </c>
      <c r="G12" s="29" t="s">
        <v>2816</v>
      </c>
      <c r="H12" s="29" t="s">
        <v>2817</v>
      </c>
    </row>
    <row r="13" spans="1:13" x14ac:dyDescent="0.3">
      <c r="B13" s="28">
        <v>45737</v>
      </c>
      <c r="C13" s="30">
        <v>45717</v>
      </c>
      <c r="D13" s="29" t="s">
        <v>2811</v>
      </c>
      <c r="E13" s="29" t="s">
        <v>1828</v>
      </c>
      <c r="F13" s="47" t="s">
        <v>6</v>
      </c>
      <c r="G13" s="29" t="s">
        <v>2818</v>
      </c>
      <c r="H13" s="29" t="s">
        <v>2819</v>
      </c>
    </row>
    <row r="14" spans="1:13" x14ac:dyDescent="0.3">
      <c r="B14" s="28">
        <v>45740</v>
      </c>
      <c r="C14" s="30">
        <v>45717</v>
      </c>
      <c r="D14" s="29" t="s">
        <v>2811</v>
      </c>
      <c r="E14" s="29" t="s">
        <v>1828</v>
      </c>
      <c r="F14" s="47" t="s">
        <v>6</v>
      </c>
      <c r="G14" s="29" t="s">
        <v>2812</v>
      </c>
      <c r="H14" s="29" t="s">
        <v>2813</v>
      </c>
    </row>
    <row r="15" spans="1:13" x14ac:dyDescent="0.3">
      <c r="B15" s="28">
        <v>45740</v>
      </c>
      <c r="C15" s="30">
        <v>45717</v>
      </c>
      <c r="D15" s="29" t="s">
        <v>2811</v>
      </c>
      <c r="E15" s="29" t="s">
        <v>1828</v>
      </c>
      <c r="F15" s="47" t="s">
        <v>6</v>
      </c>
      <c r="G15" s="29" t="s">
        <v>2814</v>
      </c>
      <c r="H15" s="29" t="s">
        <v>2815</v>
      </c>
    </row>
    <row r="16" spans="1:13" x14ac:dyDescent="0.3">
      <c r="B16" s="28">
        <v>45740</v>
      </c>
      <c r="C16" s="30">
        <v>45717</v>
      </c>
      <c r="D16" s="29" t="s">
        <v>2811</v>
      </c>
      <c r="E16" s="29" t="s">
        <v>1828</v>
      </c>
      <c r="F16" s="47" t="s">
        <v>6</v>
      </c>
      <c r="G16" s="29" t="s">
        <v>2816</v>
      </c>
      <c r="H16" s="29" t="s">
        <v>2817</v>
      </c>
    </row>
    <row r="17" spans="2:8" x14ac:dyDescent="0.3">
      <c r="B17" s="28">
        <v>45740</v>
      </c>
      <c r="C17" s="30">
        <v>45717</v>
      </c>
      <c r="D17" s="29" t="s">
        <v>2811</v>
      </c>
      <c r="E17" s="29" t="s">
        <v>1828</v>
      </c>
      <c r="F17" s="47" t="s">
        <v>6</v>
      </c>
      <c r="G17" s="29" t="s">
        <v>2818</v>
      </c>
      <c r="H17" s="29" t="s">
        <v>2819</v>
      </c>
    </row>
    <row r="18" spans="2:8" x14ac:dyDescent="0.3">
      <c r="B18" s="28">
        <v>45740</v>
      </c>
      <c r="C18" s="30">
        <v>45717</v>
      </c>
      <c r="D18" s="29" t="s">
        <v>2811</v>
      </c>
      <c r="E18" s="29" t="s">
        <v>1828</v>
      </c>
      <c r="F18" s="47" t="s">
        <v>6</v>
      </c>
      <c r="G18" s="29" t="s">
        <v>2820</v>
      </c>
      <c r="H18" s="29" t="s">
        <v>2821</v>
      </c>
    </row>
    <row r="19" spans="2:8" x14ac:dyDescent="0.3">
      <c r="B19" s="28">
        <v>45741</v>
      </c>
      <c r="C19" s="30">
        <v>45717</v>
      </c>
      <c r="D19" s="29" t="s">
        <v>2811</v>
      </c>
      <c r="E19" s="29" t="s">
        <v>1828</v>
      </c>
      <c r="F19" s="47" t="s">
        <v>6</v>
      </c>
      <c r="G19" s="29" t="s">
        <v>2812</v>
      </c>
      <c r="H19" s="29" t="s">
        <v>2813</v>
      </c>
    </row>
    <row r="20" spans="2:8" x14ac:dyDescent="0.3">
      <c r="B20" s="28">
        <v>45741</v>
      </c>
      <c r="C20" s="30">
        <v>45717</v>
      </c>
      <c r="D20" s="29" t="s">
        <v>2811</v>
      </c>
      <c r="E20" s="29" t="s">
        <v>1828</v>
      </c>
      <c r="F20" s="47" t="s">
        <v>6</v>
      </c>
      <c r="G20" s="29" t="s">
        <v>2814</v>
      </c>
      <c r="H20" s="29" t="s">
        <v>2815</v>
      </c>
    </row>
    <row r="21" spans="2:8" x14ac:dyDescent="0.3">
      <c r="B21" s="28">
        <v>45741</v>
      </c>
      <c r="C21" s="30">
        <v>45717</v>
      </c>
      <c r="D21" s="29" t="s">
        <v>2811</v>
      </c>
      <c r="E21" s="29" t="s">
        <v>1828</v>
      </c>
      <c r="F21" s="47" t="s">
        <v>6</v>
      </c>
      <c r="G21" s="29" t="s">
        <v>2816</v>
      </c>
      <c r="H21" s="29" t="s">
        <v>2817</v>
      </c>
    </row>
    <row r="22" spans="2:8" x14ac:dyDescent="0.3">
      <c r="B22" s="28">
        <v>45741</v>
      </c>
      <c r="C22" s="30">
        <v>45717</v>
      </c>
      <c r="D22" s="29" t="s">
        <v>2811</v>
      </c>
      <c r="E22" s="29" t="s">
        <v>1828</v>
      </c>
      <c r="F22" s="47" t="s">
        <v>6</v>
      </c>
      <c r="G22" s="29" t="s">
        <v>2818</v>
      </c>
      <c r="H22" s="29" t="s">
        <v>2819</v>
      </c>
    </row>
    <row r="23" spans="2:8" x14ac:dyDescent="0.3">
      <c r="B23" s="28">
        <v>45741</v>
      </c>
      <c r="C23" s="30">
        <v>45717</v>
      </c>
      <c r="D23" s="29" t="s">
        <v>2811</v>
      </c>
      <c r="E23" s="29" t="s">
        <v>1828</v>
      </c>
      <c r="F23" s="47" t="s">
        <v>6</v>
      </c>
      <c r="G23" s="29" t="s">
        <v>2820</v>
      </c>
      <c r="H23" s="29" t="s">
        <v>2821</v>
      </c>
    </row>
    <row r="24" spans="2:8" x14ac:dyDescent="0.3">
      <c r="B24" s="28">
        <v>45742</v>
      </c>
      <c r="C24" s="30">
        <v>45717</v>
      </c>
      <c r="D24" s="29" t="s">
        <v>2811</v>
      </c>
      <c r="E24" s="29" t="s">
        <v>1828</v>
      </c>
      <c r="F24" s="47" t="s">
        <v>6</v>
      </c>
      <c r="G24" s="29" t="s">
        <v>2812</v>
      </c>
      <c r="H24" s="29" t="s">
        <v>2813</v>
      </c>
    </row>
    <row r="25" spans="2:8" x14ac:dyDescent="0.3">
      <c r="B25" s="28">
        <v>45742</v>
      </c>
      <c r="C25" s="30">
        <v>45717</v>
      </c>
      <c r="D25" s="29" t="s">
        <v>2811</v>
      </c>
      <c r="E25" s="29" t="s">
        <v>1828</v>
      </c>
      <c r="F25" s="47" t="s">
        <v>6</v>
      </c>
      <c r="G25" s="29" t="s">
        <v>2814</v>
      </c>
      <c r="H25" s="29" t="s">
        <v>2815</v>
      </c>
    </row>
    <row r="26" spans="2:8" x14ac:dyDescent="0.3">
      <c r="B26" s="28">
        <v>45742</v>
      </c>
      <c r="C26" s="30">
        <v>45717</v>
      </c>
      <c r="D26" s="29" t="s">
        <v>2811</v>
      </c>
      <c r="E26" s="29" t="s">
        <v>1828</v>
      </c>
      <c r="F26" s="47" t="s">
        <v>6</v>
      </c>
      <c r="G26" s="29" t="s">
        <v>2816</v>
      </c>
      <c r="H26" s="29" t="s">
        <v>2817</v>
      </c>
    </row>
    <row r="27" spans="2:8" x14ac:dyDescent="0.3">
      <c r="B27" s="28">
        <v>45742</v>
      </c>
      <c r="C27" s="30">
        <v>45717</v>
      </c>
      <c r="D27" s="29" t="s">
        <v>2811</v>
      </c>
      <c r="E27" s="29" t="s">
        <v>1828</v>
      </c>
      <c r="F27" s="47" t="s">
        <v>6</v>
      </c>
      <c r="G27" s="29" t="s">
        <v>2818</v>
      </c>
      <c r="H27" s="29" t="s">
        <v>2819</v>
      </c>
    </row>
    <row r="28" spans="2:8" x14ac:dyDescent="0.3">
      <c r="B28" s="28">
        <v>45742</v>
      </c>
      <c r="C28" s="30">
        <v>45717</v>
      </c>
      <c r="D28" s="29" t="s">
        <v>2811</v>
      </c>
      <c r="E28" s="29" t="s">
        <v>1828</v>
      </c>
      <c r="F28" s="47" t="s">
        <v>6</v>
      </c>
      <c r="G28" s="29" t="s">
        <v>2820</v>
      </c>
      <c r="H28" s="29" t="s">
        <v>2821</v>
      </c>
    </row>
    <row r="29" spans="2:8" x14ac:dyDescent="0.3">
      <c r="B29" s="28">
        <v>45743</v>
      </c>
      <c r="C29" s="30">
        <v>45717</v>
      </c>
      <c r="D29" s="29" t="s">
        <v>2811</v>
      </c>
      <c r="E29" s="29" t="s">
        <v>1828</v>
      </c>
      <c r="F29" s="47" t="s">
        <v>6</v>
      </c>
      <c r="G29" s="29" t="s">
        <v>2812</v>
      </c>
      <c r="H29" s="29" t="s">
        <v>2813</v>
      </c>
    </row>
    <row r="30" spans="2:8" x14ac:dyDescent="0.3">
      <c r="B30" s="28">
        <v>45743</v>
      </c>
      <c r="C30" s="30">
        <v>45717</v>
      </c>
      <c r="D30" s="29" t="s">
        <v>2811</v>
      </c>
      <c r="E30" s="29" t="s">
        <v>1828</v>
      </c>
      <c r="F30" s="47" t="s">
        <v>6</v>
      </c>
      <c r="G30" s="29" t="s">
        <v>2814</v>
      </c>
      <c r="H30" s="29" t="s">
        <v>2815</v>
      </c>
    </row>
    <row r="31" spans="2:8" x14ac:dyDescent="0.3">
      <c r="B31" s="28">
        <v>45743</v>
      </c>
      <c r="C31" s="30">
        <v>45717</v>
      </c>
      <c r="D31" s="29" t="s">
        <v>2811</v>
      </c>
      <c r="E31" s="29" t="s">
        <v>1828</v>
      </c>
      <c r="F31" s="47" t="s">
        <v>6</v>
      </c>
      <c r="G31" s="29" t="s">
        <v>2816</v>
      </c>
      <c r="H31" s="29" t="s">
        <v>2817</v>
      </c>
    </row>
    <row r="32" spans="2:8" x14ac:dyDescent="0.3">
      <c r="B32" s="28">
        <v>45743</v>
      </c>
      <c r="C32" s="30">
        <v>45717</v>
      </c>
      <c r="D32" s="29" t="s">
        <v>2811</v>
      </c>
      <c r="E32" s="29" t="s">
        <v>1828</v>
      </c>
      <c r="F32" s="47" t="s">
        <v>6</v>
      </c>
      <c r="G32" s="29" t="s">
        <v>2818</v>
      </c>
      <c r="H32" s="29" t="s">
        <v>2819</v>
      </c>
    </row>
    <row r="33" spans="2:8" x14ac:dyDescent="0.3">
      <c r="B33" s="28">
        <v>45743</v>
      </c>
      <c r="C33" s="30">
        <v>45717</v>
      </c>
      <c r="D33" s="29" t="s">
        <v>2811</v>
      </c>
      <c r="E33" s="29" t="s">
        <v>1828</v>
      </c>
      <c r="F33" s="47" t="s">
        <v>6</v>
      </c>
      <c r="G33" s="29" t="s">
        <v>2822</v>
      </c>
      <c r="H33" s="29" t="s">
        <v>2823</v>
      </c>
    </row>
    <row r="34" spans="2:8" x14ac:dyDescent="0.3">
      <c r="B34" s="28">
        <v>45744</v>
      </c>
      <c r="C34" s="30">
        <v>45717</v>
      </c>
      <c r="D34" s="29" t="s">
        <v>2811</v>
      </c>
      <c r="E34" s="29" t="s">
        <v>1828</v>
      </c>
      <c r="F34" s="47" t="s">
        <v>6</v>
      </c>
      <c r="G34" s="29" t="s">
        <v>2812</v>
      </c>
      <c r="H34" s="29" t="s">
        <v>2813</v>
      </c>
    </row>
    <row r="35" spans="2:8" x14ac:dyDescent="0.3">
      <c r="B35" s="28">
        <v>45744</v>
      </c>
      <c r="C35" s="30">
        <v>45717</v>
      </c>
      <c r="D35" s="29" t="s">
        <v>2811</v>
      </c>
      <c r="E35" s="29" t="s">
        <v>1828</v>
      </c>
      <c r="F35" s="47" t="s">
        <v>6</v>
      </c>
      <c r="G35" s="29" t="s">
        <v>2814</v>
      </c>
      <c r="H35" s="29" t="s">
        <v>2815</v>
      </c>
    </row>
    <row r="36" spans="2:8" x14ac:dyDescent="0.3">
      <c r="B36" s="28">
        <v>45744</v>
      </c>
      <c r="C36" s="30">
        <v>45717</v>
      </c>
      <c r="D36" s="29" t="s">
        <v>2811</v>
      </c>
      <c r="E36" s="29" t="s">
        <v>1828</v>
      </c>
      <c r="F36" s="47" t="s">
        <v>6</v>
      </c>
      <c r="G36" s="29" t="s">
        <v>2816</v>
      </c>
      <c r="H36" s="29" t="s">
        <v>2817</v>
      </c>
    </row>
    <row r="37" spans="2:8" x14ac:dyDescent="0.3">
      <c r="B37" s="28">
        <v>45744</v>
      </c>
      <c r="C37" s="30">
        <v>45717</v>
      </c>
      <c r="D37" s="29" t="s">
        <v>2811</v>
      </c>
      <c r="E37" s="29" t="s">
        <v>1828</v>
      </c>
      <c r="F37" s="47" t="s">
        <v>6</v>
      </c>
      <c r="G37" s="29" t="s">
        <v>2818</v>
      </c>
      <c r="H37" s="29" t="s">
        <v>2819</v>
      </c>
    </row>
    <row r="38" spans="2:8" x14ac:dyDescent="0.3">
      <c r="B38" s="28">
        <v>45747</v>
      </c>
      <c r="C38" s="30">
        <v>45717</v>
      </c>
      <c r="D38" s="29" t="s">
        <v>2811</v>
      </c>
      <c r="E38" s="29" t="s">
        <v>1828</v>
      </c>
      <c r="F38" s="47" t="s">
        <v>6</v>
      </c>
      <c r="G38" s="29" t="s">
        <v>2812</v>
      </c>
      <c r="H38" s="29" t="s">
        <v>2813</v>
      </c>
    </row>
    <row r="39" spans="2:8" x14ac:dyDescent="0.3">
      <c r="B39" s="28">
        <v>45747</v>
      </c>
      <c r="C39" s="30">
        <v>45717</v>
      </c>
      <c r="D39" s="29" t="s">
        <v>2811</v>
      </c>
      <c r="E39" s="29" t="s">
        <v>1828</v>
      </c>
      <c r="F39" s="47" t="s">
        <v>6</v>
      </c>
      <c r="G39" s="29" t="s">
        <v>2814</v>
      </c>
      <c r="H39" s="29" t="s">
        <v>2815</v>
      </c>
    </row>
    <row r="40" spans="2:8" x14ac:dyDescent="0.3">
      <c r="B40" s="28">
        <v>45747</v>
      </c>
      <c r="C40" s="30">
        <v>45717</v>
      </c>
      <c r="D40" s="29" t="s">
        <v>2811</v>
      </c>
      <c r="E40" s="29" t="s">
        <v>1828</v>
      </c>
      <c r="F40" s="47" t="s">
        <v>6</v>
      </c>
      <c r="G40" s="29" t="s">
        <v>2816</v>
      </c>
      <c r="H40" s="29" t="s">
        <v>2817</v>
      </c>
    </row>
    <row r="41" spans="2:8" x14ac:dyDescent="0.3">
      <c r="B41" s="28">
        <v>45747</v>
      </c>
      <c r="C41" s="30">
        <v>45717</v>
      </c>
      <c r="D41" s="29" t="s">
        <v>2811</v>
      </c>
      <c r="E41" s="29" t="s">
        <v>1828</v>
      </c>
      <c r="F41" s="47" t="s">
        <v>6</v>
      </c>
      <c r="G41" s="29" t="s">
        <v>2818</v>
      </c>
      <c r="H41" s="29" t="s">
        <v>2819</v>
      </c>
    </row>
    <row r="42" spans="2:8" x14ac:dyDescent="0.3">
      <c r="B42" s="28">
        <v>45748</v>
      </c>
      <c r="C42" s="30">
        <v>45748</v>
      </c>
      <c r="D42" s="29" t="s">
        <v>2811</v>
      </c>
      <c r="E42" s="29" t="s">
        <v>1828</v>
      </c>
      <c r="F42" s="47" t="s">
        <v>6</v>
      </c>
      <c r="G42" s="29" t="s">
        <v>2812</v>
      </c>
      <c r="H42" s="29" t="s">
        <v>2813</v>
      </c>
    </row>
    <row r="43" spans="2:8" x14ac:dyDescent="0.3">
      <c r="B43" s="28">
        <v>45748</v>
      </c>
      <c r="C43" s="30">
        <v>45748</v>
      </c>
      <c r="D43" s="29" t="s">
        <v>2811</v>
      </c>
      <c r="E43" s="29" t="s">
        <v>1828</v>
      </c>
      <c r="F43" s="47" t="s">
        <v>6</v>
      </c>
      <c r="G43" s="29" t="s">
        <v>2814</v>
      </c>
      <c r="H43" s="29" t="s">
        <v>2815</v>
      </c>
    </row>
    <row r="44" spans="2:8" x14ac:dyDescent="0.3">
      <c r="B44" s="28">
        <v>45748</v>
      </c>
      <c r="C44" s="30">
        <v>45748</v>
      </c>
      <c r="D44" s="29" t="s">
        <v>2811</v>
      </c>
      <c r="E44" s="29" t="s">
        <v>1828</v>
      </c>
      <c r="F44" s="47" t="s">
        <v>6</v>
      </c>
      <c r="G44" s="29" t="s">
        <v>2816</v>
      </c>
      <c r="H44" s="29" t="s">
        <v>2817</v>
      </c>
    </row>
    <row r="45" spans="2:8" x14ac:dyDescent="0.3">
      <c r="B45" s="28">
        <v>45748</v>
      </c>
      <c r="C45" s="30">
        <v>45748</v>
      </c>
      <c r="D45" s="29" t="s">
        <v>2811</v>
      </c>
      <c r="E45" s="29" t="s">
        <v>1828</v>
      </c>
      <c r="F45" s="47" t="s">
        <v>6</v>
      </c>
      <c r="G45" s="29" t="s">
        <v>2818</v>
      </c>
      <c r="H45" s="29" t="s">
        <v>2819</v>
      </c>
    </row>
    <row r="46" spans="2:8" x14ac:dyDescent="0.3">
      <c r="B46" s="28">
        <v>45749</v>
      </c>
      <c r="C46" s="30">
        <v>45748</v>
      </c>
      <c r="D46" s="29" t="s">
        <v>2811</v>
      </c>
      <c r="E46" s="29" t="s">
        <v>1828</v>
      </c>
      <c r="F46" s="47" t="s">
        <v>6</v>
      </c>
      <c r="G46" s="29" t="s">
        <v>2812</v>
      </c>
      <c r="H46" s="29" t="s">
        <v>2813</v>
      </c>
    </row>
    <row r="47" spans="2:8" x14ac:dyDescent="0.3">
      <c r="B47" s="28">
        <v>45749</v>
      </c>
      <c r="C47" s="30">
        <v>45748</v>
      </c>
      <c r="D47" s="29" t="s">
        <v>2811</v>
      </c>
      <c r="E47" s="29" t="s">
        <v>1828</v>
      </c>
      <c r="F47" s="47" t="s">
        <v>6</v>
      </c>
      <c r="G47" s="29" t="s">
        <v>2814</v>
      </c>
      <c r="H47" s="29" t="s">
        <v>2815</v>
      </c>
    </row>
    <row r="48" spans="2:8" x14ac:dyDescent="0.3">
      <c r="B48" s="28">
        <v>45749</v>
      </c>
      <c r="C48" s="30">
        <v>45748</v>
      </c>
      <c r="D48" s="29" t="s">
        <v>2811</v>
      </c>
      <c r="E48" s="29" t="s">
        <v>1828</v>
      </c>
      <c r="F48" s="47" t="s">
        <v>6</v>
      </c>
      <c r="G48" s="29" t="s">
        <v>2816</v>
      </c>
      <c r="H48" s="29" t="s">
        <v>2817</v>
      </c>
    </row>
    <row r="49" spans="2:8" x14ac:dyDescent="0.3">
      <c r="B49" s="28">
        <v>45749</v>
      </c>
      <c r="C49" s="30">
        <v>45748</v>
      </c>
      <c r="D49" s="29" t="s">
        <v>2811</v>
      </c>
      <c r="E49" s="29" t="s">
        <v>1828</v>
      </c>
      <c r="F49" s="47" t="s">
        <v>6</v>
      </c>
      <c r="G49" s="29" t="s">
        <v>2818</v>
      </c>
      <c r="H49" s="29" t="s">
        <v>2819</v>
      </c>
    </row>
    <row r="50" spans="2:8" x14ac:dyDescent="0.3">
      <c r="B50" s="28">
        <v>45750</v>
      </c>
      <c r="C50" s="30">
        <v>45748</v>
      </c>
      <c r="D50" s="29" t="s">
        <v>2811</v>
      </c>
      <c r="E50" s="29" t="s">
        <v>1828</v>
      </c>
      <c r="F50" s="47" t="s">
        <v>6</v>
      </c>
      <c r="G50" s="29" t="s">
        <v>2812</v>
      </c>
      <c r="H50" s="29" t="s">
        <v>2813</v>
      </c>
    </row>
    <row r="51" spans="2:8" x14ac:dyDescent="0.3">
      <c r="B51" s="28">
        <v>45750</v>
      </c>
      <c r="C51" s="30">
        <v>45748</v>
      </c>
      <c r="D51" s="29" t="s">
        <v>2811</v>
      </c>
      <c r="E51" s="29" t="s">
        <v>1828</v>
      </c>
      <c r="F51" s="47" t="s">
        <v>6</v>
      </c>
      <c r="G51" s="29" t="s">
        <v>2814</v>
      </c>
      <c r="H51" s="29" t="s">
        <v>2815</v>
      </c>
    </row>
    <row r="52" spans="2:8" x14ac:dyDescent="0.3">
      <c r="B52" s="28">
        <v>45750</v>
      </c>
      <c r="C52" s="30">
        <v>45748</v>
      </c>
      <c r="D52" s="29" t="s">
        <v>2811</v>
      </c>
      <c r="E52" s="29" t="s">
        <v>1828</v>
      </c>
      <c r="F52" s="47" t="s">
        <v>6</v>
      </c>
      <c r="G52" s="29" t="s">
        <v>2816</v>
      </c>
      <c r="H52" s="29" t="s">
        <v>2817</v>
      </c>
    </row>
    <row r="53" spans="2:8" x14ac:dyDescent="0.3">
      <c r="B53" s="28">
        <v>45750</v>
      </c>
      <c r="C53" s="30">
        <v>45748</v>
      </c>
      <c r="D53" s="29" t="s">
        <v>2811</v>
      </c>
      <c r="E53" s="29" t="s">
        <v>1828</v>
      </c>
      <c r="F53" s="47" t="s">
        <v>6</v>
      </c>
      <c r="G53" s="29" t="s">
        <v>2818</v>
      </c>
      <c r="H53" s="29" t="s">
        <v>2819</v>
      </c>
    </row>
    <row r="54" spans="2:8" x14ac:dyDescent="0.3">
      <c r="B54" s="28">
        <v>45751</v>
      </c>
      <c r="C54" s="30">
        <v>45748</v>
      </c>
      <c r="D54" s="29" t="s">
        <v>2811</v>
      </c>
      <c r="E54" s="29" t="s">
        <v>1828</v>
      </c>
      <c r="F54" s="47" t="s">
        <v>6</v>
      </c>
      <c r="G54" s="29" t="s">
        <v>2812</v>
      </c>
      <c r="H54" s="29" t="s">
        <v>2813</v>
      </c>
    </row>
    <row r="55" spans="2:8" x14ac:dyDescent="0.3">
      <c r="B55" s="28">
        <v>45751</v>
      </c>
      <c r="C55" s="30">
        <v>45748</v>
      </c>
      <c r="D55" s="29" t="s">
        <v>2811</v>
      </c>
      <c r="E55" s="29" t="s">
        <v>1828</v>
      </c>
      <c r="F55" s="47" t="s">
        <v>6</v>
      </c>
      <c r="G55" s="29" t="s">
        <v>2814</v>
      </c>
      <c r="H55" s="29" t="s">
        <v>2815</v>
      </c>
    </row>
    <row r="56" spans="2:8" x14ac:dyDescent="0.3">
      <c r="B56" s="28">
        <v>45751</v>
      </c>
      <c r="C56" s="30">
        <v>45748</v>
      </c>
      <c r="D56" s="29" t="s">
        <v>2811</v>
      </c>
      <c r="E56" s="29" t="s">
        <v>1828</v>
      </c>
      <c r="F56" s="47" t="s">
        <v>6</v>
      </c>
      <c r="G56" s="29" t="s">
        <v>2816</v>
      </c>
      <c r="H56" s="29" t="s">
        <v>2817</v>
      </c>
    </row>
    <row r="57" spans="2:8" x14ac:dyDescent="0.3">
      <c r="B57" s="28">
        <v>45751</v>
      </c>
      <c r="C57" s="30">
        <v>45748</v>
      </c>
      <c r="D57" s="29" t="s">
        <v>2811</v>
      </c>
      <c r="E57" s="29" t="s">
        <v>1828</v>
      </c>
      <c r="F57" s="47" t="s">
        <v>6</v>
      </c>
      <c r="G57" s="29" t="s">
        <v>2818</v>
      </c>
      <c r="H57" s="29" t="s">
        <v>2819</v>
      </c>
    </row>
    <row r="58" spans="2:8" x14ac:dyDescent="0.3">
      <c r="B58" s="28">
        <v>45752</v>
      </c>
      <c r="C58" s="30">
        <v>45748</v>
      </c>
      <c r="D58" s="29" t="s">
        <v>2811</v>
      </c>
      <c r="E58" s="29" t="s">
        <v>1828</v>
      </c>
      <c r="F58" s="47" t="s">
        <v>6</v>
      </c>
      <c r="G58" s="29" t="s">
        <v>2824</v>
      </c>
      <c r="H58" s="29" t="s">
        <v>2825</v>
      </c>
    </row>
    <row r="59" spans="2:8" x14ac:dyDescent="0.3">
      <c r="B59" s="28">
        <v>45753</v>
      </c>
      <c r="C59" s="30">
        <v>45748</v>
      </c>
      <c r="D59" s="29" t="s">
        <v>2811</v>
      </c>
      <c r="E59" s="29" t="s">
        <v>1828</v>
      </c>
      <c r="F59" s="47" t="s">
        <v>6</v>
      </c>
      <c r="G59" s="29" t="s">
        <v>81</v>
      </c>
      <c r="H59" s="29" t="s">
        <v>2826</v>
      </c>
    </row>
    <row r="60" spans="2:8" x14ac:dyDescent="0.3">
      <c r="B60" s="28">
        <v>45754</v>
      </c>
      <c r="C60" s="30">
        <v>45748</v>
      </c>
      <c r="D60" s="29" t="s">
        <v>2811</v>
      </c>
      <c r="E60" s="29" t="s">
        <v>1828</v>
      </c>
      <c r="F60" s="47" t="s">
        <v>6</v>
      </c>
      <c r="G60" s="29" t="s">
        <v>2812</v>
      </c>
      <c r="H60" s="29" t="s">
        <v>2813</v>
      </c>
    </row>
    <row r="61" spans="2:8" x14ac:dyDescent="0.3">
      <c r="B61" s="28">
        <v>45754</v>
      </c>
      <c r="C61" s="30">
        <v>45748</v>
      </c>
      <c r="D61" s="29" t="s">
        <v>2811</v>
      </c>
      <c r="E61" s="29" t="s">
        <v>1828</v>
      </c>
      <c r="F61" s="47" t="s">
        <v>6</v>
      </c>
      <c r="G61" s="29" t="s">
        <v>2814</v>
      </c>
      <c r="H61" s="29" t="s">
        <v>2815</v>
      </c>
    </row>
    <row r="62" spans="2:8" x14ac:dyDescent="0.3">
      <c r="B62" s="28">
        <v>45754</v>
      </c>
      <c r="C62" s="30">
        <v>45748</v>
      </c>
      <c r="D62" s="29" t="s">
        <v>2811</v>
      </c>
      <c r="E62" s="29" t="s">
        <v>1828</v>
      </c>
      <c r="F62" s="47" t="s">
        <v>6</v>
      </c>
      <c r="G62" s="29" t="s">
        <v>2816</v>
      </c>
      <c r="H62" s="29" t="s">
        <v>2817</v>
      </c>
    </row>
    <row r="63" spans="2:8" x14ac:dyDescent="0.3">
      <c r="B63" s="28">
        <v>45754</v>
      </c>
      <c r="C63" s="30">
        <v>45748</v>
      </c>
      <c r="D63" s="29" t="s">
        <v>2811</v>
      </c>
      <c r="E63" s="29" t="s">
        <v>1828</v>
      </c>
      <c r="F63" s="47" t="s">
        <v>6</v>
      </c>
      <c r="G63" s="29" t="s">
        <v>2818</v>
      </c>
      <c r="H63" s="29" t="s">
        <v>2819</v>
      </c>
    </row>
    <row r="64" spans="2:8" x14ac:dyDescent="0.3">
      <c r="B64" s="28">
        <v>45754</v>
      </c>
      <c r="C64" s="30">
        <v>45748</v>
      </c>
      <c r="D64" s="29" t="s">
        <v>2811</v>
      </c>
      <c r="E64" s="29" t="s">
        <v>1828</v>
      </c>
      <c r="F64" s="47" t="s">
        <v>6</v>
      </c>
      <c r="G64" s="29" t="s">
        <v>2827</v>
      </c>
      <c r="H64" s="29" t="s">
        <v>2828</v>
      </c>
    </row>
    <row r="65" spans="2:8" x14ac:dyDescent="0.3">
      <c r="B65" s="28">
        <v>45755</v>
      </c>
      <c r="C65" s="30">
        <v>45748</v>
      </c>
      <c r="D65" s="29" t="s">
        <v>2811</v>
      </c>
      <c r="E65" s="29" t="s">
        <v>1828</v>
      </c>
      <c r="F65" s="47" t="s">
        <v>6</v>
      </c>
      <c r="G65" s="29" t="s">
        <v>2812</v>
      </c>
      <c r="H65" s="29" t="s">
        <v>2813</v>
      </c>
    </row>
    <row r="66" spans="2:8" x14ac:dyDescent="0.3">
      <c r="B66" s="28">
        <v>45755</v>
      </c>
      <c r="C66" s="30">
        <v>45748</v>
      </c>
      <c r="D66" s="29" t="s">
        <v>2811</v>
      </c>
      <c r="E66" s="29" t="s">
        <v>1828</v>
      </c>
      <c r="F66" s="47" t="s">
        <v>6</v>
      </c>
      <c r="G66" s="29" t="s">
        <v>2814</v>
      </c>
      <c r="H66" s="29" t="s">
        <v>2815</v>
      </c>
    </row>
    <row r="67" spans="2:8" x14ac:dyDescent="0.3">
      <c r="B67" s="28">
        <v>45755</v>
      </c>
      <c r="C67" s="30">
        <v>45748</v>
      </c>
      <c r="D67" s="29" t="s">
        <v>2811</v>
      </c>
      <c r="E67" s="29" t="s">
        <v>1828</v>
      </c>
      <c r="F67" s="47" t="s">
        <v>6</v>
      </c>
      <c r="G67" s="29" t="s">
        <v>2816</v>
      </c>
      <c r="H67" s="29" t="s">
        <v>2817</v>
      </c>
    </row>
    <row r="68" spans="2:8" x14ac:dyDescent="0.3">
      <c r="B68" s="28">
        <v>45755</v>
      </c>
      <c r="C68" s="30">
        <v>45748</v>
      </c>
      <c r="D68" s="29" t="s">
        <v>2811</v>
      </c>
      <c r="E68" s="29" t="s">
        <v>1828</v>
      </c>
      <c r="F68" s="47" t="s">
        <v>6</v>
      </c>
      <c r="G68" s="29" t="s">
        <v>2818</v>
      </c>
      <c r="H68" s="29" t="s">
        <v>2819</v>
      </c>
    </row>
    <row r="69" spans="2:8" x14ac:dyDescent="0.3">
      <c r="B69" s="28">
        <v>45755</v>
      </c>
      <c r="C69" s="30">
        <v>45748</v>
      </c>
      <c r="D69" s="29" t="s">
        <v>2811</v>
      </c>
      <c r="E69" s="29" t="s">
        <v>1828</v>
      </c>
      <c r="F69" s="47" t="s">
        <v>6</v>
      </c>
      <c r="G69" s="29" t="s">
        <v>2827</v>
      </c>
      <c r="H69" s="29" t="s">
        <v>2829</v>
      </c>
    </row>
    <row r="70" spans="2:8" x14ac:dyDescent="0.3">
      <c r="B70" s="28">
        <v>45756</v>
      </c>
      <c r="C70" s="30">
        <v>45748</v>
      </c>
      <c r="D70" s="29" t="s">
        <v>2811</v>
      </c>
      <c r="E70" s="29" t="s">
        <v>1828</v>
      </c>
      <c r="F70" s="47" t="s">
        <v>6</v>
      </c>
      <c r="G70" s="29" t="s">
        <v>2812</v>
      </c>
      <c r="H70" s="29" t="s">
        <v>2813</v>
      </c>
    </row>
    <row r="71" spans="2:8" x14ac:dyDescent="0.3">
      <c r="B71" s="28">
        <v>45756</v>
      </c>
      <c r="C71" s="30">
        <v>45748</v>
      </c>
      <c r="D71" s="29" t="s">
        <v>2811</v>
      </c>
      <c r="E71" s="29" t="s">
        <v>1828</v>
      </c>
      <c r="F71" s="47" t="s">
        <v>6</v>
      </c>
      <c r="G71" s="29" t="s">
        <v>2814</v>
      </c>
      <c r="H71" s="29" t="s">
        <v>2815</v>
      </c>
    </row>
    <row r="72" spans="2:8" x14ac:dyDescent="0.3">
      <c r="B72" s="28">
        <v>45756</v>
      </c>
      <c r="C72" s="30">
        <v>45748</v>
      </c>
      <c r="D72" s="29" t="s">
        <v>2811</v>
      </c>
      <c r="E72" s="29" t="s">
        <v>1828</v>
      </c>
      <c r="F72" s="47" t="s">
        <v>6</v>
      </c>
      <c r="G72" s="29" t="s">
        <v>2816</v>
      </c>
      <c r="H72" s="29" t="s">
        <v>2817</v>
      </c>
    </row>
    <row r="73" spans="2:8" x14ac:dyDescent="0.3">
      <c r="B73" s="28">
        <v>45756</v>
      </c>
      <c r="C73" s="30">
        <v>45748</v>
      </c>
      <c r="D73" s="29" t="s">
        <v>2811</v>
      </c>
      <c r="E73" s="29" t="s">
        <v>1828</v>
      </c>
      <c r="F73" s="47" t="s">
        <v>6</v>
      </c>
      <c r="G73" s="29" t="s">
        <v>2818</v>
      </c>
      <c r="H73" s="29" t="s">
        <v>2819</v>
      </c>
    </row>
    <row r="74" spans="2:8" x14ac:dyDescent="0.3">
      <c r="B74" s="44">
        <v>45757</v>
      </c>
      <c r="C74" s="45">
        <v>45748</v>
      </c>
      <c r="D74" s="29" t="s">
        <v>2811</v>
      </c>
      <c r="E74" s="29" t="s">
        <v>1828</v>
      </c>
      <c r="F74" s="47" t="s">
        <v>6</v>
      </c>
      <c r="G74" s="29" t="s">
        <v>2812</v>
      </c>
      <c r="H74" s="29" t="s">
        <v>2813</v>
      </c>
    </row>
    <row r="75" spans="2:8" x14ac:dyDescent="0.3">
      <c r="B75" s="44">
        <v>45757</v>
      </c>
      <c r="C75" s="45">
        <v>45748</v>
      </c>
      <c r="D75" s="29" t="s">
        <v>2811</v>
      </c>
      <c r="E75" s="29" t="s">
        <v>1828</v>
      </c>
      <c r="F75" s="47" t="s">
        <v>6</v>
      </c>
      <c r="G75" s="29" t="s">
        <v>2814</v>
      </c>
      <c r="H75" s="29" t="s">
        <v>2815</v>
      </c>
    </row>
    <row r="76" spans="2:8" x14ac:dyDescent="0.3">
      <c r="B76" s="44">
        <v>45757</v>
      </c>
      <c r="C76" s="45">
        <v>45748</v>
      </c>
      <c r="D76" s="29" t="s">
        <v>2811</v>
      </c>
      <c r="E76" s="29" t="s">
        <v>1828</v>
      </c>
      <c r="F76" s="47" t="s">
        <v>6</v>
      </c>
      <c r="G76" s="29" t="s">
        <v>2816</v>
      </c>
      <c r="H76" s="29" t="s">
        <v>2817</v>
      </c>
    </row>
    <row r="77" spans="2:8" x14ac:dyDescent="0.3">
      <c r="B77" s="44">
        <v>45757</v>
      </c>
      <c r="C77" s="45">
        <v>45748</v>
      </c>
      <c r="D77" s="29" t="s">
        <v>2811</v>
      </c>
      <c r="E77" s="29" t="s">
        <v>1828</v>
      </c>
      <c r="F77" s="47" t="s">
        <v>6</v>
      </c>
      <c r="G77" s="29" t="s">
        <v>2818</v>
      </c>
      <c r="H77" s="29" t="s">
        <v>2819</v>
      </c>
    </row>
    <row r="78" spans="2:8" x14ac:dyDescent="0.3">
      <c r="B78" s="44">
        <v>45758</v>
      </c>
      <c r="C78" s="45">
        <v>45748</v>
      </c>
      <c r="D78" s="29" t="s">
        <v>2811</v>
      </c>
      <c r="E78" s="29" t="s">
        <v>1828</v>
      </c>
      <c r="F78" s="47" t="s">
        <v>6</v>
      </c>
      <c r="G78" s="29" t="s">
        <v>2812</v>
      </c>
      <c r="H78" s="29" t="s">
        <v>2813</v>
      </c>
    </row>
    <row r="79" spans="2:8" x14ac:dyDescent="0.3">
      <c r="B79" s="44">
        <v>45758</v>
      </c>
      <c r="C79" s="45">
        <v>45748</v>
      </c>
      <c r="D79" s="29" t="s">
        <v>2811</v>
      </c>
      <c r="E79" s="29" t="s">
        <v>1828</v>
      </c>
      <c r="F79" s="47" t="s">
        <v>6</v>
      </c>
      <c r="G79" s="29" t="s">
        <v>2814</v>
      </c>
      <c r="H79" s="29" t="s">
        <v>2815</v>
      </c>
    </row>
    <row r="80" spans="2:8" x14ac:dyDescent="0.3">
      <c r="B80" s="44">
        <v>45758</v>
      </c>
      <c r="C80" s="45">
        <v>45748</v>
      </c>
      <c r="D80" s="29" t="s">
        <v>2811</v>
      </c>
      <c r="E80" s="29" t="s">
        <v>1828</v>
      </c>
      <c r="F80" s="47" t="s">
        <v>6</v>
      </c>
      <c r="G80" s="29" t="s">
        <v>2816</v>
      </c>
      <c r="H80" s="29" t="s">
        <v>2817</v>
      </c>
    </row>
    <row r="81" spans="2:8" x14ac:dyDescent="0.3">
      <c r="B81" s="44">
        <v>45758</v>
      </c>
      <c r="C81" s="45">
        <v>45748</v>
      </c>
      <c r="D81" s="29" t="s">
        <v>2811</v>
      </c>
      <c r="E81" s="29" t="s">
        <v>1828</v>
      </c>
      <c r="F81" s="47" t="s">
        <v>6</v>
      </c>
      <c r="G81" s="29" t="s">
        <v>2818</v>
      </c>
      <c r="H81" s="29" t="s">
        <v>2819</v>
      </c>
    </row>
    <row r="82" spans="2:8" x14ac:dyDescent="0.3">
      <c r="B82" s="44">
        <v>45761</v>
      </c>
      <c r="C82" s="45">
        <v>45748</v>
      </c>
      <c r="D82" s="29" t="s">
        <v>2811</v>
      </c>
      <c r="E82" s="29" t="s">
        <v>1828</v>
      </c>
      <c r="F82" s="47" t="s">
        <v>6</v>
      </c>
      <c r="G82" s="29" t="s">
        <v>2812</v>
      </c>
      <c r="H82" s="29" t="s">
        <v>2813</v>
      </c>
    </row>
    <row r="83" spans="2:8" x14ac:dyDescent="0.3">
      <c r="B83" s="44">
        <v>45761</v>
      </c>
      <c r="C83" s="45">
        <v>45748</v>
      </c>
      <c r="D83" s="29" t="s">
        <v>2830</v>
      </c>
      <c r="E83" s="29" t="s">
        <v>1828</v>
      </c>
      <c r="F83" s="47" t="s">
        <v>6</v>
      </c>
      <c r="G83" s="29" t="s">
        <v>2831</v>
      </c>
      <c r="H83" s="29" t="s">
        <v>2832</v>
      </c>
    </row>
    <row r="84" spans="2:8" x14ac:dyDescent="0.3">
      <c r="B84" s="44">
        <v>45761</v>
      </c>
      <c r="C84" s="45">
        <v>45748</v>
      </c>
      <c r="D84" s="29" t="s">
        <v>2811</v>
      </c>
      <c r="E84" s="29" t="s">
        <v>1828</v>
      </c>
      <c r="F84" s="47" t="s">
        <v>6</v>
      </c>
      <c r="G84" s="29" t="s">
        <v>2814</v>
      </c>
      <c r="H84" s="29" t="s">
        <v>2815</v>
      </c>
    </row>
    <row r="85" spans="2:8" x14ac:dyDescent="0.3">
      <c r="B85" s="44">
        <v>45761</v>
      </c>
      <c r="C85" s="45">
        <v>45748</v>
      </c>
      <c r="D85" s="29" t="s">
        <v>2811</v>
      </c>
      <c r="E85" s="29" t="s">
        <v>1828</v>
      </c>
      <c r="F85" s="47" t="s">
        <v>6</v>
      </c>
      <c r="G85" s="29" t="s">
        <v>2816</v>
      </c>
      <c r="H85" s="29" t="s">
        <v>2817</v>
      </c>
    </row>
    <row r="86" spans="2:8" x14ac:dyDescent="0.3">
      <c r="B86" s="44">
        <v>45761</v>
      </c>
      <c r="C86" s="45">
        <v>45748</v>
      </c>
      <c r="D86" s="29" t="s">
        <v>2811</v>
      </c>
      <c r="E86" s="29" t="s">
        <v>1828</v>
      </c>
      <c r="F86" s="47" t="s">
        <v>6</v>
      </c>
      <c r="G86" s="29" t="s">
        <v>2818</v>
      </c>
      <c r="H86" s="29" t="s">
        <v>2819</v>
      </c>
    </row>
    <row r="87" spans="2:8" x14ac:dyDescent="0.3">
      <c r="B87" s="44">
        <v>45762</v>
      </c>
      <c r="C87" s="45">
        <v>45748</v>
      </c>
      <c r="D87" s="29" t="s">
        <v>2811</v>
      </c>
      <c r="E87" s="29" t="s">
        <v>1828</v>
      </c>
      <c r="F87" s="47" t="s">
        <v>6</v>
      </c>
      <c r="G87" s="29" t="s">
        <v>2812</v>
      </c>
      <c r="H87" s="29" t="s">
        <v>2813</v>
      </c>
    </row>
    <row r="88" spans="2:8" x14ac:dyDescent="0.3">
      <c r="B88" s="44">
        <v>45762</v>
      </c>
      <c r="C88" s="45">
        <v>45748</v>
      </c>
      <c r="D88" s="29" t="s">
        <v>2811</v>
      </c>
      <c r="E88" s="29" t="s">
        <v>1828</v>
      </c>
      <c r="F88" s="47" t="s">
        <v>6</v>
      </c>
      <c r="G88" s="29" t="s">
        <v>2814</v>
      </c>
      <c r="H88" s="29" t="s">
        <v>2815</v>
      </c>
    </row>
    <row r="89" spans="2:8" x14ac:dyDescent="0.3">
      <c r="B89" s="44">
        <v>45762</v>
      </c>
      <c r="C89" s="45">
        <v>45748</v>
      </c>
      <c r="D89" s="29" t="s">
        <v>2811</v>
      </c>
      <c r="E89" s="29" t="s">
        <v>1828</v>
      </c>
      <c r="F89" s="47" t="s">
        <v>6</v>
      </c>
      <c r="G89" s="29" t="s">
        <v>2816</v>
      </c>
      <c r="H89" s="29" t="s">
        <v>2817</v>
      </c>
    </row>
    <row r="90" spans="2:8" x14ac:dyDescent="0.3">
      <c r="B90" s="44">
        <v>45762</v>
      </c>
      <c r="C90" s="45">
        <v>45748</v>
      </c>
      <c r="D90" s="29" t="s">
        <v>2811</v>
      </c>
      <c r="E90" s="29" t="s">
        <v>1828</v>
      </c>
      <c r="F90" s="47" t="s">
        <v>6</v>
      </c>
      <c r="G90" s="29" t="s">
        <v>2818</v>
      </c>
      <c r="H90" s="29" t="s">
        <v>2819</v>
      </c>
    </row>
    <row r="91" spans="2:8" x14ac:dyDescent="0.3">
      <c r="B91" s="46">
        <v>45763</v>
      </c>
      <c r="C91" s="45">
        <v>45748</v>
      </c>
      <c r="D91" s="5" t="s">
        <v>2811</v>
      </c>
      <c r="E91" s="29" t="s">
        <v>1828</v>
      </c>
      <c r="F91" s="47" t="s">
        <v>6</v>
      </c>
      <c r="G91" s="5" t="s">
        <v>2812</v>
      </c>
      <c r="H91" s="5" t="s">
        <v>2813</v>
      </c>
    </row>
    <row r="92" spans="2:8" x14ac:dyDescent="0.3">
      <c r="B92" s="46">
        <v>45763</v>
      </c>
      <c r="C92" s="45">
        <v>45748</v>
      </c>
      <c r="D92" s="5" t="s">
        <v>2811</v>
      </c>
      <c r="E92" s="29" t="s">
        <v>1828</v>
      </c>
      <c r="F92" s="47" t="s">
        <v>6</v>
      </c>
      <c r="G92" s="5" t="s">
        <v>2814</v>
      </c>
      <c r="H92" s="5" t="s">
        <v>2815</v>
      </c>
    </row>
    <row r="93" spans="2:8" x14ac:dyDescent="0.3">
      <c r="B93" s="46">
        <v>45763</v>
      </c>
      <c r="C93" s="45">
        <v>45748</v>
      </c>
      <c r="D93" s="5" t="s">
        <v>2811</v>
      </c>
      <c r="E93" s="29" t="s">
        <v>1828</v>
      </c>
      <c r="F93" s="47" t="s">
        <v>6</v>
      </c>
      <c r="G93" s="5" t="s">
        <v>2816</v>
      </c>
      <c r="H93" s="5" t="s">
        <v>2817</v>
      </c>
    </row>
    <row r="94" spans="2:8" x14ac:dyDescent="0.3">
      <c r="B94" s="46">
        <v>45763</v>
      </c>
      <c r="C94" s="45">
        <v>45748</v>
      </c>
      <c r="D94" s="5" t="s">
        <v>2811</v>
      </c>
      <c r="E94" s="29" t="s">
        <v>1828</v>
      </c>
      <c r="F94" s="47" t="s">
        <v>6</v>
      </c>
      <c r="G94" s="5" t="s">
        <v>2818</v>
      </c>
      <c r="H94" s="5" t="s">
        <v>2819</v>
      </c>
    </row>
    <row r="95" spans="2:8" x14ac:dyDescent="0.3">
      <c r="B95" s="46">
        <v>45764</v>
      </c>
      <c r="C95" s="45">
        <v>45748</v>
      </c>
      <c r="D95" s="5" t="s">
        <v>2811</v>
      </c>
      <c r="E95" s="29" t="s">
        <v>1828</v>
      </c>
      <c r="F95" s="47" t="s">
        <v>6</v>
      </c>
      <c r="G95" s="5" t="s">
        <v>2812</v>
      </c>
      <c r="H95" s="5" t="s">
        <v>2813</v>
      </c>
    </row>
    <row r="96" spans="2:8" x14ac:dyDescent="0.3">
      <c r="B96" s="46">
        <v>45764</v>
      </c>
      <c r="C96" s="45">
        <v>45748</v>
      </c>
      <c r="D96" s="5" t="s">
        <v>2811</v>
      </c>
      <c r="E96" s="29" t="s">
        <v>1828</v>
      </c>
      <c r="F96" s="47" t="s">
        <v>6</v>
      </c>
      <c r="G96" s="5" t="s">
        <v>2814</v>
      </c>
      <c r="H96" s="5" t="s">
        <v>2815</v>
      </c>
    </row>
    <row r="97" spans="2:8" x14ac:dyDescent="0.3">
      <c r="B97" s="46">
        <v>45764</v>
      </c>
      <c r="C97" s="45">
        <v>45748</v>
      </c>
      <c r="D97" s="5" t="s">
        <v>2811</v>
      </c>
      <c r="E97" s="29" t="s">
        <v>1828</v>
      </c>
      <c r="F97" s="47" t="s">
        <v>6</v>
      </c>
      <c r="G97" s="5" t="s">
        <v>2816</v>
      </c>
      <c r="H97" s="5" t="s">
        <v>2817</v>
      </c>
    </row>
    <row r="98" spans="2:8" x14ac:dyDescent="0.3">
      <c r="B98" s="46">
        <v>45764</v>
      </c>
      <c r="C98" s="45">
        <v>45748</v>
      </c>
      <c r="D98" s="5" t="s">
        <v>2811</v>
      </c>
      <c r="E98" s="29" t="s">
        <v>1828</v>
      </c>
      <c r="F98" s="47" t="s">
        <v>6</v>
      </c>
      <c r="G98" s="5" t="s">
        <v>2818</v>
      </c>
      <c r="H98" s="5" t="s">
        <v>2819</v>
      </c>
    </row>
    <row r="99" spans="2:8" x14ac:dyDescent="0.3">
      <c r="B99" s="46">
        <v>45768</v>
      </c>
      <c r="C99" s="45">
        <v>45748</v>
      </c>
      <c r="D99" s="5" t="s">
        <v>2811</v>
      </c>
      <c r="E99" s="29" t="s">
        <v>1828</v>
      </c>
      <c r="F99" s="47" t="s">
        <v>6</v>
      </c>
      <c r="G99" s="5" t="s">
        <v>2812</v>
      </c>
      <c r="H99" s="5" t="s">
        <v>2813</v>
      </c>
    </row>
    <row r="100" spans="2:8" x14ac:dyDescent="0.3">
      <c r="B100" s="46">
        <v>45768</v>
      </c>
      <c r="C100" s="45">
        <v>45748</v>
      </c>
      <c r="D100" s="5" t="s">
        <v>2811</v>
      </c>
      <c r="E100" s="29" t="s">
        <v>1828</v>
      </c>
      <c r="F100" s="47" t="s">
        <v>6</v>
      </c>
      <c r="G100" s="5" t="s">
        <v>2814</v>
      </c>
      <c r="H100" s="5" t="s">
        <v>2815</v>
      </c>
    </row>
    <row r="101" spans="2:8" x14ac:dyDescent="0.3">
      <c r="B101" s="46">
        <v>45768</v>
      </c>
      <c r="C101" s="45">
        <v>45748</v>
      </c>
      <c r="D101" s="5" t="s">
        <v>2811</v>
      </c>
      <c r="E101" s="29" t="s">
        <v>1828</v>
      </c>
      <c r="F101" s="47" t="s">
        <v>6</v>
      </c>
      <c r="G101" s="5" t="s">
        <v>2816</v>
      </c>
      <c r="H101" s="5" t="s">
        <v>2817</v>
      </c>
    </row>
    <row r="102" spans="2:8" x14ac:dyDescent="0.3">
      <c r="B102" s="46">
        <v>45768</v>
      </c>
      <c r="C102" s="45">
        <v>45748</v>
      </c>
      <c r="D102" s="5" t="s">
        <v>2811</v>
      </c>
      <c r="E102" s="29" t="s">
        <v>1828</v>
      </c>
      <c r="F102" s="47" t="s">
        <v>6</v>
      </c>
      <c r="G102" s="5" t="s">
        <v>2818</v>
      </c>
      <c r="H102" s="5" t="s">
        <v>2819</v>
      </c>
    </row>
    <row r="103" spans="2:8" x14ac:dyDescent="0.3">
      <c r="B103" s="46">
        <v>45768</v>
      </c>
      <c r="C103" s="45">
        <v>45748</v>
      </c>
      <c r="D103" s="5" t="s">
        <v>2811</v>
      </c>
      <c r="E103" s="29" t="s">
        <v>1828</v>
      </c>
      <c r="F103" s="137" t="s">
        <v>325</v>
      </c>
      <c r="G103" s="5" t="s">
        <v>2833</v>
      </c>
      <c r="H103" s="5" t="s">
        <v>2834</v>
      </c>
    </row>
    <row r="104" spans="2:8" x14ac:dyDescent="0.3">
      <c r="B104" s="46">
        <v>45768</v>
      </c>
      <c r="C104" s="45">
        <v>45748</v>
      </c>
      <c r="D104" s="5" t="s">
        <v>2811</v>
      </c>
      <c r="E104" s="29" t="s">
        <v>1828</v>
      </c>
      <c r="F104" s="137" t="s">
        <v>325</v>
      </c>
      <c r="G104" s="5" t="s">
        <v>2835</v>
      </c>
      <c r="H104" s="5" t="s">
        <v>2836</v>
      </c>
    </row>
    <row r="105" spans="2:8" x14ac:dyDescent="0.3">
      <c r="B105" s="46">
        <v>45769</v>
      </c>
      <c r="C105" s="45">
        <v>45748</v>
      </c>
      <c r="D105" s="5" t="s">
        <v>2811</v>
      </c>
      <c r="E105" s="29" t="s">
        <v>1828</v>
      </c>
      <c r="F105" s="47" t="s">
        <v>6</v>
      </c>
      <c r="G105" s="5" t="s">
        <v>2812</v>
      </c>
      <c r="H105" s="5" t="s">
        <v>2813</v>
      </c>
    </row>
    <row r="106" spans="2:8" x14ac:dyDescent="0.3">
      <c r="B106" s="46">
        <v>45769</v>
      </c>
      <c r="C106" s="45">
        <v>45748</v>
      </c>
      <c r="D106" s="5" t="s">
        <v>2811</v>
      </c>
      <c r="E106" s="29" t="s">
        <v>1828</v>
      </c>
      <c r="F106" s="47" t="s">
        <v>6</v>
      </c>
      <c r="G106" s="5" t="s">
        <v>2814</v>
      </c>
      <c r="H106" s="5" t="s">
        <v>2815</v>
      </c>
    </row>
    <row r="107" spans="2:8" x14ac:dyDescent="0.3">
      <c r="B107" s="46">
        <v>45769</v>
      </c>
      <c r="C107" s="45">
        <v>45748</v>
      </c>
      <c r="D107" s="5" t="s">
        <v>2811</v>
      </c>
      <c r="E107" s="29" t="s">
        <v>1828</v>
      </c>
      <c r="F107" s="47" t="s">
        <v>6</v>
      </c>
      <c r="G107" s="5" t="s">
        <v>2816</v>
      </c>
      <c r="H107" s="5" t="s">
        <v>2817</v>
      </c>
    </row>
    <row r="108" spans="2:8" x14ac:dyDescent="0.3">
      <c r="B108" s="46">
        <v>45769</v>
      </c>
      <c r="C108" s="45">
        <v>45748</v>
      </c>
      <c r="D108" s="5" t="s">
        <v>2811</v>
      </c>
      <c r="E108" s="29" t="s">
        <v>1828</v>
      </c>
      <c r="F108" s="47" t="s">
        <v>6</v>
      </c>
      <c r="G108" s="5" t="s">
        <v>2818</v>
      </c>
      <c r="H108" s="5" t="s">
        <v>2819</v>
      </c>
    </row>
    <row r="109" spans="2:8" x14ac:dyDescent="0.3">
      <c r="B109" s="46">
        <v>45770</v>
      </c>
      <c r="C109" s="45">
        <v>45748</v>
      </c>
      <c r="D109" s="5" t="s">
        <v>2811</v>
      </c>
      <c r="E109" s="29" t="s">
        <v>1828</v>
      </c>
      <c r="F109" s="47" t="s">
        <v>6</v>
      </c>
      <c r="G109" s="5" t="s">
        <v>2812</v>
      </c>
      <c r="H109" s="5" t="s">
        <v>2813</v>
      </c>
    </row>
    <row r="110" spans="2:8" x14ac:dyDescent="0.3">
      <c r="B110" s="46">
        <v>45770</v>
      </c>
      <c r="C110" s="45">
        <v>45748</v>
      </c>
      <c r="D110" s="5" t="s">
        <v>2811</v>
      </c>
      <c r="E110" s="29" t="s">
        <v>1828</v>
      </c>
      <c r="F110" s="47" t="s">
        <v>6</v>
      </c>
      <c r="G110" s="5" t="s">
        <v>2814</v>
      </c>
      <c r="H110" s="5" t="s">
        <v>2815</v>
      </c>
    </row>
    <row r="111" spans="2:8" x14ac:dyDescent="0.3">
      <c r="B111" s="46">
        <v>45770</v>
      </c>
      <c r="C111" s="45">
        <v>45748</v>
      </c>
      <c r="D111" s="5" t="s">
        <v>2811</v>
      </c>
      <c r="E111" s="29" t="s">
        <v>1828</v>
      </c>
      <c r="F111" s="47" t="s">
        <v>6</v>
      </c>
      <c r="G111" s="5" t="s">
        <v>2816</v>
      </c>
      <c r="H111" s="5" t="s">
        <v>2817</v>
      </c>
    </row>
    <row r="112" spans="2:8" x14ac:dyDescent="0.3">
      <c r="B112" s="46">
        <v>45770</v>
      </c>
      <c r="C112" s="45">
        <v>45748</v>
      </c>
      <c r="D112" s="5" t="s">
        <v>2811</v>
      </c>
      <c r="E112" s="29" t="s">
        <v>1828</v>
      </c>
      <c r="F112" s="47" t="s">
        <v>6</v>
      </c>
      <c r="G112" s="5" t="s">
        <v>2818</v>
      </c>
      <c r="H112" s="5" t="s">
        <v>2819</v>
      </c>
    </row>
    <row r="113" spans="2:8" x14ac:dyDescent="0.3">
      <c r="B113" s="46">
        <v>45771</v>
      </c>
      <c r="C113" s="45">
        <v>45748</v>
      </c>
      <c r="D113" s="5" t="s">
        <v>2811</v>
      </c>
      <c r="E113" s="29" t="s">
        <v>1828</v>
      </c>
      <c r="F113" s="47" t="s">
        <v>6</v>
      </c>
      <c r="G113" s="5" t="s">
        <v>2812</v>
      </c>
      <c r="H113" s="5" t="s">
        <v>2813</v>
      </c>
    </row>
    <row r="114" spans="2:8" x14ac:dyDescent="0.3">
      <c r="B114" s="46">
        <v>45771</v>
      </c>
      <c r="C114" s="45">
        <v>45748</v>
      </c>
      <c r="D114" s="5" t="s">
        <v>2811</v>
      </c>
      <c r="E114" s="29" t="s">
        <v>1828</v>
      </c>
      <c r="F114" s="47" t="s">
        <v>6</v>
      </c>
      <c r="G114" s="5" t="s">
        <v>2814</v>
      </c>
      <c r="H114" s="5" t="s">
        <v>2815</v>
      </c>
    </row>
    <row r="115" spans="2:8" x14ac:dyDescent="0.3">
      <c r="B115" s="46">
        <v>45771</v>
      </c>
      <c r="C115" s="45">
        <v>45748</v>
      </c>
      <c r="D115" s="5" t="s">
        <v>2811</v>
      </c>
      <c r="E115" s="29" t="s">
        <v>1828</v>
      </c>
      <c r="F115" s="47" t="s">
        <v>6</v>
      </c>
      <c r="G115" s="5" t="s">
        <v>2816</v>
      </c>
      <c r="H115" s="5" t="s">
        <v>2817</v>
      </c>
    </row>
    <row r="116" spans="2:8" x14ac:dyDescent="0.3">
      <c r="B116" s="46">
        <v>45771</v>
      </c>
      <c r="C116" s="45">
        <v>45748</v>
      </c>
      <c r="D116" s="5" t="s">
        <v>2811</v>
      </c>
      <c r="E116" s="29" t="s">
        <v>1828</v>
      </c>
      <c r="F116" s="47" t="s">
        <v>6</v>
      </c>
      <c r="G116" s="5" t="s">
        <v>2818</v>
      </c>
      <c r="H116" s="5" t="s">
        <v>2819</v>
      </c>
    </row>
    <row r="117" spans="2:8" x14ac:dyDescent="0.3">
      <c r="B117" s="46">
        <v>45772</v>
      </c>
      <c r="C117" s="45">
        <v>45748</v>
      </c>
      <c r="D117" s="5" t="s">
        <v>2811</v>
      </c>
      <c r="E117" s="29" t="s">
        <v>1828</v>
      </c>
      <c r="F117" s="47" t="s">
        <v>6</v>
      </c>
      <c r="G117" s="5" t="s">
        <v>2812</v>
      </c>
      <c r="H117" s="5" t="s">
        <v>2813</v>
      </c>
    </row>
    <row r="118" spans="2:8" x14ac:dyDescent="0.3">
      <c r="B118" s="46">
        <v>45772</v>
      </c>
      <c r="C118" s="45">
        <v>45748</v>
      </c>
      <c r="D118" s="5" t="s">
        <v>2811</v>
      </c>
      <c r="E118" s="29" t="s">
        <v>1828</v>
      </c>
      <c r="F118" s="47" t="s">
        <v>6</v>
      </c>
      <c r="G118" s="5" t="s">
        <v>2814</v>
      </c>
      <c r="H118" s="5" t="s">
        <v>2815</v>
      </c>
    </row>
    <row r="119" spans="2:8" x14ac:dyDescent="0.3">
      <c r="B119" s="46">
        <v>45772</v>
      </c>
      <c r="C119" s="45">
        <v>45748</v>
      </c>
      <c r="D119" s="5" t="s">
        <v>2811</v>
      </c>
      <c r="E119" s="29" t="s">
        <v>1828</v>
      </c>
      <c r="F119" s="47" t="s">
        <v>6</v>
      </c>
      <c r="G119" s="5" t="s">
        <v>2816</v>
      </c>
      <c r="H119" s="5" t="s">
        <v>2817</v>
      </c>
    </row>
    <row r="120" spans="2:8" x14ac:dyDescent="0.3">
      <c r="B120" s="46">
        <v>45772</v>
      </c>
      <c r="C120" s="45">
        <v>45748</v>
      </c>
      <c r="D120" s="5" t="s">
        <v>2811</v>
      </c>
      <c r="E120" s="29" t="s">
        <v>1828</v>
      </c>
      <c r="F120" s="47" t="s">
        <v>6</v>
      </c>
      <c r="G120" s="5" t="s">
        <v>2818</v>
      </c>
      <c r="H120" s="5" t="s">
        <v>2819</v>
      </c>
    </row>
    <row r="121" spans="2:8" x14ac:dyDescent="0.3">
      <c r="B121" s="46">
        <v>45775</v>
      </c>
      <c r="C121" s="45">
        <v>45748</v>
      </c>
      <c r="D121" s="5" t="s">
        <v>2811</v>
      </c>
      <c r="E121" s="29" t="s">
        <v>1828</v>
      </c>
      <c r="F121" s="47" t="s">
        <v>6</v>
      </c>
      <c r="G121" s="5" t="s">
        <v>2812</v>
      </c>
      <c r="H121" s="5" t="s">
        <v>2813</v>
      </c>
    </row>
    <row r="122" spans="2:8" x14ac:dyDescent="0.3">
      <c r="B122" s="46">
        <v>45775</v>
      </c>
      <c r="C122" s="45">
        <v>45748</v>
      </c>
      <c r="D122" s="5" t="s">
        <v>2811</v>
      </c>
      <c r="E122" s="29" t="s">
        <v>1828</v>
      </c>
      <c r="F122" s="47" t="s">
        <v>6</v>
      </c>
      <c r="G122" s="5" t="s">
        <v>2814</v>
      </c>
      <c r="H122" s="5" t="s">
        <v>2815</v>
      </c>
    </row>
    <row r="123" spans="2:8" x14ac:dyDescent="0.3">
      <c r="B123" s="46">
        <v>45775</v>
      </c>
      <c r="C123" s="45">
        <v>45748</v>
      </c>
      <c r="D123" s="5" t="s">
        <v>2811</v>
      </c>
      <c r="E123" s="29" t="s">
        <v>1828</v>
      </c>
      <c r="F123" s="47" t="s">
        <v>6</v>
      </c>
      <c r="G123" s="5" t="s">
        <v>2816</v>
      </c>
      <c r="H123" s="5" t="s">
        <v>2817</v>
      </c>
    </row>
    <row r="124" spans="2:8" x14ac:dyDescent="0.3">
      <c r="B124" s="46">
        <v>45775</v>
      </c>
      <c r="C124" s="45">
        <v>45748</v>
      </c>
      <c r="D124" s="5" t="s">
        <v>2811</v>
      </c>
      <c r="E124" s="29" t="s">
        <v>1828</v>
      </c>
      <c r="F124" s="47" t="s">
        <v>6</v>
      </c>
      <c r="G124" s="5" t="s">
        <v>2818</v>
      </c>
      <c r="H124" s="5" t="s">
        <v>2819</v>
      </c>
    </row>
    <row r="125" spans="2:8" x14ac:dyDescent="0.3">
      <c r="B125" s="46">
        <v>45776</v>
      </c>
      <c r="C125" s="45">
        <v>45748</v>
      </c>
      <c r="D125" s="5" t="s">
        <v>2811</v>
      </c>
      <c r="E125" s="29" t="s">
        <v>1828</v>
      </c>
      <c r="F125" s="47" t="s">
        <v>6</v>
      </c>
      <c r="G125" s="5" t="s">
        <v>2812</v>
      </c>
      <c r="H125" s="5" t="s">
        <v>2813</v>
      </c>
    </row>
    <row r="126" spans="2:8" x14ac:dyDescent="0.3">
      <c r="B126" s="46">
        <v>45776</v>
      </c>
      <c r="C126" s="45">
        <v>45748</v>
      </c>
      <c r="D126" s="5" t="s">
        <v>2811</v>
      </c>
      <c r="E126" s="29" t="s">
        <v>1828</v>
      </c>
      <c r="F126" s="47" t="s">
        <v>6</v>
      </c>
      <c r="G126" s="5" t="s">
        <v>2814</v>
      </c>
      <c r="H126" s="5" t="s">
        <v>2815</v>
      </c>
    </row>
    <row r="127" spans="2:8" x14ac:dyDescent="0.3">
      <c r="B127" s="46">
        <v>45776</v>
      </c>
      <c r="C127" s="45">
        <v>45748</v>
      </c>
      <c r="D127" s="5" t="s">
        <v>2811</v>
      </c>
      <c r="E127" s="29" t="s">
        <v>1828</v>
      </c>
      <c r="F127" s="47" t="s">
        <v>6</v>
      </c>
      <c r="G127" s="5" t="s">
        <v>2816</v>
      </c>
      <c r="H127" s="5" t="s">
        <v>2817</v>
      </c>
    </row>
    <row r="128" spans="2:8" x14ac:dyDescent="0.3">
      <c r="B128" s="46">
        <v>45776</v>
      </c>
      <c r="C128" s="45">
        <v>45748</v>
      </c>
      <c r="D128" s="5" t="s">
        <v>2811</v>
      </c>
      <c r="E128" s="29" t="s">
        <v>1828</v>
      </c>
      <c r="F128" s="47" t="s">
        <v>6</v>
      </c>
      <c r="G128" s="5" t="s">
        <v>2818</v>
      </c>
      <c r="H128" s="5" t="s">
        <v>2819</v>
      </c>
    </row>
    <row r="129" spans="2:8" x14ac:dyDescent="0.3">
      <c r="B129" s="46">
        <v>45777</v>
      </c>
      <c r="C129" s="45">
        <v>45748</v>
      </c>
      <c r="D129" s="5" t="s">
        <v>2811</v>
      </c>
      <c r="E129" s="29" t="s">
        <v>1828</v>
      </c>
      <c r="F129" s="47" t="s">
        <v>6</v>
      </c>
      <c r="G129" s="5" t="s">
        <v>2812</v>
      </c>
      <c r="H129" s="5" t="s">
        <v>2813</v>
      </c>
    </row>
    <row r="130" spans="2:8" x14ac:dyDescent="0.3">
      <c r="B130" s="46">
        <v>45777</v>
      </c>
      <c r="C130" s="45">
        <v>45748</v>
      </c>
      <c r="D130" s="5" t="s">
        <v>2811</v>
      </c>
      <c r="E130" s="29" t="s">
        <v>1828</v>
      </c>
      <c r="F130" s="47" t="s">
        <v>6</v>
      </c>
      <c r="G130" s="5" t="s">
        <v>2814</v>
      </c>
      <c r="H130" s="5" t="s">
        <v>2815</v>
      </c>
    </row>
    <row r="131" spans="2:8" x14ac:dyDescent="0.3">
      <c r="B131" s="46">
        <v>45777</v>
      </c>
      <c r="C131" s="45">
        <v>45748</v>
      </c>
      <c r="D131" s="5" t="s">
        <v>2811</v>
      </c>
      <c r="E131" s="29" t="s">
        <v>1828</v>
      </c>
      <c r="F131" s="47" t="s">
        <v>6</v>
      </c>
      <c r="G131" s="5" t="s">
        <v>2816</v>
      </c>
      <c r="H131" s="5" t="s">
        <v>2817</v>
      </c>
    </row>
    <row r="132" spans="2:8" x14ac:dyDescent="0.3">
      <c r="B132" s="46">
        <v>45777</v>
      </c>
      <c r="C132" s="45">
        <v>45748</v>
      </c>
      <c r="D132" s="5" t="s">
        <v>2811</v>
      </c>
      <c r="E132" s="29" t="s">
        <v>1828</v>
      </c>
      <c r="F132" s="47" t="s">
        <v>6</v>
      </c>
      <c r="G132" s="5" t="s">
        <v>2818</v>
      </c>
      <c r="H132" s="5" t="s">
        <v>2819</v>
      </c>
    </row>
    <row r="133" spans="2:8" x14ac:dyDescent="0.3">
      <c r="B133" s="46">
        <v>45779</v>
      </c>
      <c r="C133" s="45">
        <v>45779</v>
      </c>
      <c r="D133" s="5" t="s">
        <v>2811</v>
      </c>
      <c r="E133" s="29" t="s">
        <v>1828</v>
      </c>
      <c r="F133" s="47" t="s">
        <v>6</v>
      </c>
      <c r="G133" s="5" t="s">
        <v>2812</v>
      </c>
      <c r="H133" s="5" t="s">
        <v>2813</v>
      </c>
    </row>
    <row r="134" spans="2:8" x14ac:dyDescent="0.3">
      <c r="B134" s="46">
        <v>45779</v>
      </c>
      <c r="C134" s="45">
        <v>45779</v>
      </c>
      <c r="D134" s="5" t="s">
        <v>2811</v>
      </c>
      <c r="E134" s="29" t="s">
        <v>1828</v>
      </c>
      <c r="F134" s="47" t="s">
        <v>6</v>
      </c>
      <c r="G134" s="5" t="s">
        <v>2814</v>
      </c>
      <c r="H134" s="5" t="s">
        <v>2815</v>
      </c>
    </row>
    <row r="135" spans="2:8" x14ac:dyDescent="0.3">
      <c r="B135" s="46">
        <v>45779</v>
      </c>
      <c r="C135" s="45">
        <v>45779</v>
      </c>
      <c r="D135" s="5" t="s">
        <v>2811</v>
      </c>
      <c r="E135" s="29" t="s">
        <v>1828</v>
      </c>
      <c r="F135" s="47" t="s">
        <v>6</v>
      </c>
      <c r="G135" s="5" t="s">
        <v>2816</v>
      </c>
      <c r="H135" s="5" t="s">
        <v>2817</v>
      </c>
    </row>
    <row r="136" spans="2:8" x14ac:dyDescent="0.3">
      <c r="B136" s="46">
        <v>45779</v>
      </c>
      <c r="C136" s="45">
        <v>45779</v>
      </c>
      <c r="D136" s="5" t="s">
        <v>2811</v>
      </c>
      <c r="E136" s="29" t="s">
        <v>1828</v>
      </c>
      <c r="F136" s="47" t="s">
        <v>6</v>
      </c>
      <c r="G136" s="5" t="s">
        <v>2818</v>
      </c>
      <c r="H136" s="5" t="s">
        <v>2819</v>
      </c>
    </row>
    <row r="137" spans="2:8" x14ac:dyDescent="0.3">
      <c r="B137" s="46">
        <v>45782</v>
      </c>
      <c r="C137" s="45">
        <v>45779</v>
      </c>
      <c r="D137" s="5" t="s">
        <v>2811</v>
      </c>
      <c r="E137" s="29" t="s">
        <v>1828</v>
      </c>
      <c r="F137" s="47" t="s">
        <v>6</v>
      </c>
      <c r="G137" s="5" t="s">
        <v>2812</v>
      </c>
      <c r="H137" s="5" t="s">
        <v>2813</v>
      </c>
    </row>
    <row r="138" spans="2:8" x14ac:dyDescent="0.3">
      <c r="B138" s="46">
        <v>45782</v>
      </c>
      <c r="C138" s="45">
        <v>45779</v>
      </c>
      <c r="D138" s="5" t="s">
        <v>2811</v>
      </c>
      <c r="E138" s="29" t="s">
        <v>1828</v>
      </c>
      <c r="F138" s="47" t="s">
        <v>6</v>
      </c>
      <c r="G138" s="5" t="s">
        <v>2814</v>
      </c>
      <c r="H138" s="5" t="s">
        <v>2815</v>
      </c>
    </row>
    <row r="139" spans="2:8" x14ac:dyDescent="0.3">
      <c r="B139" s="46">
        <v>45782</v>
      </c>
      <c r="C139" s="45">
        <v>45779</v>
      </c>
      <c r="D139" s="5" t="s">
        <v>2811</v>
      </c>
      <c r="E139" s="29" t="s">
        <v>1828</v>
      </c>
      <c r="F139" s="47" t="s">
        <v>6</v>
      </c>
      <c r="G139" s="5" t="s">
        <v>2816</v>
      </c>
      <c r="H139" s="5" t="s">
        <v>2817</v>
      </c>
    </row>
    <row r="140" spans="2:8" x14ac:dyDescent="0.3">
      <c r="B140" s="46">
        <v>45782</v>
      </c>
      <c r="C140" s="45">
        <v>45779</v>
      </c>
      <c r="D140" s="5" t="s">
        <v>2811</v>
      </c>
      <c r="E140" s="29" t="s">
        <v>1828</v>
      </c>
      <c r="F140" s="47" t="s">
        <v>6</v>
      </c>
      <c r="G140" s="5" t="s">
        <v>2818</v>
      </c>
      <c r="H140" s="5" t="s">
        <v>2819</v>
      </c>
    </row>
    <row r="141" spans="2:8" x14ac:dyDescent="0.3">
      <c r="B141" s="46">
        <v>45783</v>
      </c>
      <c r="C141" s="45">
        <v>45779</v>
      </c>
      <c r="D141" s="5" t="s">
        <v>2811</v>
      </c>
      <c r="E141" s="29" t="s">
        <v>1828</v>
      </c>
      <c r="F141" s="47" t="s">
        <v>6</v>
      </c>
      <c r="G141" s="5" t="s">
        <v>2812</v>
      </c>
      <c r="H141" s="5" t="s">
        <v>2813</v>
      </c>
    </row>
    <row r="142" spans="2:8" x14ac:dyDescent="0.3">
      <c r="B142" s="46">
        <v>45783</v>
      </c>
      <c r="C142" s="45">
        <v>45779</v>
      </c>
      <c r="D142" s="5" t="s">
        <v>2811</v>
      </c>
      <c r="E142" s="29" t="s">
        <v>1828</v>
      </c>
      <c r="F142" s="47" t="s">
        <v>6</v>
      </c>
      <c r="G142" s="5" t="s">
        <v>2814</v>
      </c>
      <c r="H142" s="5" t="s">
        <v>2815</v>
      </c>
    </row>
    <row r="143" spans="2:8" x14ac:dyDescent="0.3">
      <c r="B143" s="46">
        <v>45783</v>
      </c>
      <c r="C143" s="45">
        <v>45779</v>
      </c>
      <c r="D143" s="5" t="s">
        <v>2811</v>
      </c>
      <c r="E143" s="29" t="s">
        <v>1828</v>
      </c>
      <c r="F143" s="47" t="s">
        <v>6</v>
      </c>
      <c r="G143" s="5" t="s">
        <v>2816</v>
      </c>
      <c r="H143" s="5" t="s">
        <v>2817</v>
      </c>
    </row>
    <row r="144" spans="2:8" x14ac:dyDescent="0.3">
      <c r="B144" s="46">
        <v>45783</v>
      </c>
      <c r="C144" s="45">
        <v>45779</v>
      </c>
      <c r="D144" s="5" t="s">
        <v>2811</v>
      </c>
      <c r="E144" s="29" t="s">
        <v>1828</v>
      </c>
      <c r="F144" s="47" t="s">
        <v>6</v>
      </c>
      <c r="G144" s="5" t="s">
        <v>2818</v>
      </c>
      <c r="H144" s="5" t="s">
        <v>2819</v>
      </c>
    </row>
    <row r="145" spans="2:8" x14ac:dyDescent="0.3">
      <c r="B145" s="46">
        <v>45784</v>
      </c>
      <c r="C145" s="45">
        <v>45779</v>
      </c>
      <c r="D145" s="5" t="s">
        <v>2811</v>
      </c>
      <c r="E145" s="29" t="s">
        <v>1828</v>
      </c>
      <c r="F145" s="47" t="s">
        <v>6</v>
      </c>
      <c r="G145" s="5" t="s">
        <v>2812</v>
      </c>
      <c r="H145" s="5" t="s">
        <v>2813</v>
      </c>
    </row>
    <row r="146" spans="2:8" x14ac:dyDescent="0.3">
      <c r="B146" s="46">
        <v>45784</v>
      </c>
      <c r="C146" s="45">
        <v>45779</v>
      </c>
      <c r="D146" s="5" t="s">
        <v>2811</v>
      </c>
      <c r="E146" s="29" t="s">
        <v>1828</v>
      </c>
      <c r="F146" s="47" t="s">
        <v>6</v>
      </c>
      <c r="G146" s="5" t="s">
        <v>2814</v>
      </c>
      <c r="H146" s="5" t="s">
        <v>2815</v>
      </c>
    </row>
    <row r="147" spans="2:8" x14ac:dyDescent="0.3">
      <c r="B147" s="46">
        <v>45784</v>
      </c>
      <c r="C147" s="45">
        <v>45779</v>
      </c>
      <c r="D147" s="5" t="s">
        <v>2811</v>
      </c>
      <c r="E147" s="29" t="s">
        <v>1828</v>
      </c>
      <c r="F147" s="47" t="s">
        <v>6</v>
      </c>
      <c r="G147" s="5" t="s">
        <v>2816</v>
      </c>
      <c r="H147" s="5" t="s">
        <v>2817</v>
      </c>
    </row>
    <row r="148" spans="2:8" x14ac:dyDescent="0.3">
      <c r="B148" s="46">
        <v>45784</v>
      </c>
      <c r="C148" s="45">
        <v>45779</v>
      </c>
      <c r="D148" s="5" t="s">
        <v>2811</v>
      </c>
      <c r="E148" s="29" t="s">
        <v>1828</v>
      </c>
      <c r="F148" s="47" t="s">
        <v>6</v>
      </c>
      <c r="G148" s="5" t="s">
        <v>2818</v>
      </c>
      <c r="H148" s="5" t="s">
        <v>2819</v>
      </c>
    </row>
    <row r="149" spans="2:8" x14ac:dyDescent="0.3">
      <c r="B149" s="46">
        <v>45785</v>
      </c>
      <c r="C149" s="45">
        <v>45779</v>
      </c>
      <c r="D149" s="5" t="s">
        <v>2811</v>
      </c>
      <c r="E149" s="29" t="s">
        <v>1828</v>
      </c>
      <c r="F149" s="47" t="s">
        <v>6</v>
      </c>
      <c r="G149" s="5" t="s">
        <v>2812</v>
      </c>
      <c r="H149" s="5" t="s">
        <v>2813</v>
      </c>
    </row>
    <row r="150" spans="2:8" x14ac:dyDescent="0.3">
      <c r="B150" s="46">
        <v>45785</v>
      </c>
      <c r="C150" s="45">
        <v>45779</v>
      </c>
      <c r="D150" s="5" t="s">
        <v>2811</v>
      </c>
      <c r="E150" s="29" t="s">
        <v>1828</v>
      </c>
      <c r="F150" s="47" t="s">
        <v>6</v>
      </c>
      <c r="G150" s="5" t="s">
        <v>2814</v>
      </c>
      <c r="H150" s="5" t="s">
        <v>2815</v>
      </c>
    </row>
    <row r="151" spans="2:8" x14ac:dyDescent="0.3">
      <c r="B151" s="46">
        <v>45785</v>
      </c>
      <c r="C151" s="45">
        <v>45779</v>
      </c>
      <c r="D151" s="5" t="s">
        <v>2811</v>
      </c>
      <c r="E151" s="29" t="s">
        <v>1828</v>
      </c>
      <c r="F151" s="47" t="s">
        <v>6</v>
      </c>
      <c r="G151" s="5" t="s">
        <v>2816</v>
      </c>
      <c r="H151" s="5" t="s">
        <v>2817</v>
      </c>
    </row>
    <row r="152" spans="2:8" x14ac:dyDescent="0.3">
      <c r="B152" s="46">
        <v>45785</v>
      </c>
      <c r="C152" s="45">
        <v>45779</v>
      </c>
      <c r="D152" s="5" t="s">
        <v>2811</v>
      </c>
      <c r="E152" s="29" t="s">
        <v>1828</v>
      </c>
      <c r="F152" s="47" t="s">
        <v>6</v>
      </c>
      <c r="G152" s="5" t="s">
        <v>2818</v>
      </c>
      <c r="H152" s="5" t="s">
        <v>2819</v>
      </c>
    </row>
    <row r="153" spans="2:8" x14ac:dyDescent="0.3">
      <c r="B153" s="46">
        <v>45786</v>
      </c>
      <c r="C153" s="45">
        <v>45779</v>
      </c>
      <c r="D153" s="5" t="s">
        <v>2811</v>
      </c>
      <c r="E153" s="29" t="s">
        <v>1828</v>
      </c>
      <c r="F153" s="47" t="s">
        <v>6</v>
      </c>
      <c r="G153" s="5" t="s">
        <v>2814</v>
      </c>
      <c r="H153" s="5" t="s">
        <v>2815</v>
      </c>
    </row>
    <row r="154" spans="2:8" x14ac:dyDescent="0.3">
      <c r="B154" s="46">
        <v>45786</v>
      </c>
      <c r="C154" s="45">
        <v>45779</v>
      </c>
      <c r="D154" s="5" t="s">
        <v>2811</v>
      </c>
      <c r="E154" s="29" t="s">
        <v>1828</v>
      </c>
      <c r="F154" s="47" t="s">
        <v>6</v>
      </c>
      <c r="G154" s="5" t="s">
        <v>2816</v>
      </c>
      <c r="H154" s="5" t="s">
        <v>2817</v>
      </c>
    </row>
    <row r="155" spans="2:8" x14ac:dyDescent="0.3">
      <c r="B155" s="46">
        <v>45786</v>
      </c>
      <c r="C155" s="45">
        <v>45779</v>
      </c>
      <c r="D155" s="5" t="s">
        <v>2811</v>
      </c>
      <c r="E155" s="29" t="s">
        <v>1828</v>
      </c>
      <c r="F155" s="47" t="s">
        <v>6</v>
      </c>
      <c r="G155" s="5" t="s">
        <v>2818</v>
      </c>
      <c r="H155" s="5" t="s">
        <v>2819</v>
      </c>
    </row>
    <row r="156" spans="2:8" x14ac:dyDescent="0.3">
      <c r="B156" s="46">
        <v>45789</v>
      </c>
      <c r="C156" s="45">
        <v>45779</v>
      </c>
      <c r="D156" s="5" t="s">
        <v>2811</v>
      </c>
      <c r="E156" s="29" t="s">
        <v>1828</v>
      </c>
      <c r="F156" s="47" t="s">
        <v>6</v>
      </c>
      <c r="G156" s="5" t="s">
        <v>2814</v>
      </c>
      <c r="H156" s="5" t="s">
        <v>2815</v>
      </c>
    </row>
    <row r="157" spans="2:8" x14ac:dyDescent="0.3">
      <c r="B157" s="46">
        <v>45789</v>
      </c>
      <c r="C157" s="45">
        <v>45779</v>
      </c>
      <c r="D157" s="5" t="s">
        <v>2811</v>
      </c>
      <c r="E157" s="29" t="s">
        <v>1828</v>
      </c>
      <c r="F157" s="47" t="s">
        <v>6</v>
      </c>
      <c r="G157" s="5" t="s">
        <v>2816</v>
      </c>
      <c r="H157" s="5" t="s">
        <v>2817</v>
      </c>
    </row>
    <row r="158" spans="2:8" x14ac:dyDescent="0.3">
      <c r="B158" s="46">
        <v>45789</v>
      </c>
      <c r="C158" s="45">
        <v>45779</v>
      </c>
      <c r="D158" s="5" t="s">
        <v>2811</v>
      </c>
      <c r="E158" s="29" t="s">
        <v>1828</v>
      </c>
      <c r="F158" s="47" t="s">
        <v>6</v>
      </c>
      <c r="G158" s="5" t="s">
        <v>2818</v>
      </c>
      <c r="H158" s="5" t="s">
        <v>2819</v>
      </c>
    </row>
    <row r="159" spans="2:8" x14ac:dyDescent="0.3">
      <c r="B159" s="46">
        <v>45789</v>
      </c>
      <c r="C159" s="45">
        <v>45779</v>
      </c>
      <c r="D159" s="5" t="s">
        <v>2811</v>
      </c>
      <c r="E159" s="29" t="s">
        <v>1828</v>
      </c>
      <c r="F159" s="47" t="s">
        <v>6</v>
      </c>
      <c r="G159" s="29" t="s">
        <v>2837</v>
      </c>
      <c r="H159" s="29" t="s">
        <v>2837</v>
      </c>
    </row>
    <row r="160" spans="2:8" x14ac:dyDescent="0.3">
      <c r="B160" s="46">
        <v>45790</v>
      </c>
      <c r="C160" s="45">
        <v>45779</v>
      </c>
      <c r="D160" s="5" t="s">
        <v>2811</v>
      </c>
      <c r="E160" s="29" t="s">
        <v>1828</v>
      </c>
      <c r="F160" s="47" t="s">
        <v>6</v>
      </c>
      <c r="G160" s="5" t="s">
        <v>2814</v>
      </c>
      <c r="H160" s="5" t="s">
        <v>2815</v>
      </c>
    </row>
    <row r="161" spans="2:8" x14ac:dyDescent="0.3">
      <c r="B161" s="46">
        <v>45790</v>
      </c>
      <c r="C161" s="45">
        <v>45779</v>
      </c>
      <c r="D161" s="5" t="s">
        <v>2811</v>
      </c>
      <c r="E161" s="29" t="s">
        <v>1828</v>
      </c>
      <c r="F161" s="47" t="s">
        <v>6</v>
      </c>
      <c r="G161" s="5" t="s">
        <v>2816</v>
      </c>
      <c r="H161" s="5" t="s">
        <v>2817</v>
      </c>
    </row>
    <row r="162" spans="2:8" x14ac:dyDescent="0.3">
      <c r="B162" s="46">
        <v>45790</v>
      </c>
      <c r="C162" s="45">
        <v>45779</v>
      </c>
      <c r="D162" s="5" t="s">
        <v>2811</v>
      </c>
      <c r="E162" s="29" t="s">
        <v>1828</v>
      </c>
      <c r="F162" s="47" t="s">
        <v>6</v>
      </c>
      <c r="G162" s="5" t="s">
        <v>2818</v>
      </c>
      <c r="H162" s="5" t="s">
        <v>2819</v>
      </c>
    </row>
    <row r="163" spans="2:8" x14ac:dyDescent="0.3">
      <c r="B163" s="46">
        <v>45790</v>
      </c>
      <c r="C163" s="45">
        <v>45779</v>
      </c>
      <c r="D163" s="5" t="s">
        <v>2811</v>
      </c>
      <c r="E163" s="29" t="s">
        <v>1828</v>
      </c>
      <c r="F163" s="47" t="s">
        <v>6</v>
      </c>
      <c r="G163" s="29" t="s">
        <v>2837</v>
      </c>
      <c r="H163" s="29" t="s">
        <v>2837</v>
      </c>
    </row>
    <row r="164" spans="2:8" x14ac:dyDescent="0.3">
      <c r="B164" s="46">
        <v>45791</v>
      </c>
      <c r="C164" s="45">
        <v>45779</v>
      </c>
      <c r="D164" s="5" t="s">
        <v>2811</v>
      </c>
      <c r="E164" s="29" t="s">
        <v>1828</v>
      </c>
      <c r="F164" s="47" t="s">
        <v>6</v>
      </c>
      <c r="G164" s="5" t="s">
        <v>2814</v>
      </c>
      <c r="H164" s="5" t="s">
        <v>2815</v>
      </c>
    </row>
    <row r="165" spans="2:8" x14ac:dyDescent="0.3">
      <c r="B165" s="46">
        <v>45791</v>
      </c>
      <c r="C165" s="45">
        <v>45779</v>
      </c>
      <c r="D165" s="5" t="s">
        <v>2811</v>
      </c>
      <c r="E165" s="29" t="s">
        <v>1828</v>
      </c>
      <c r="F165" s="47" t="s">
        <v>6</v>
      </c>
      <c r="G165" s="5" t="s">
        <v>2816</v>
      </c>
      <c r="H165" s="5" t="s">
        <v>2817</v>
      </c>
    </row>
    <row r="166" spans="2:8" x14ac:dyDescent="0.3">
      <c r="B166" s="46">
        <v>45791</v>
      </c>
      <c r="C166" s="45">
        <v>45779</v>
      </c>
      <c r="D166" s="5" t="s">
        <v>2811</v>
      </c>
      <c r="E166" s="29" t="s">
        <v>1828</v>
      </c>
      <c r="F166" s="47" t="s">
        <v>6</v>
      </c>
      <c r="G166" s="5" t="s">
        <v>2818</v>
      </c>
      <c r="H166" s="5" t="s">
        <v>2819</v>
      </c>
    </row>
    <row r="167" spans="2:8" x14ac:dyDescent="0.3">
      <c r="B167" s="46">
        <v>45791</v>
      </c>
      <c r="C167" s="45">
        <v>45779</v>
      </c>
      <c r="D167" s="5" t="s">
        <v>2811</v>
      </c>
      <c r="E167" s="29" t="s">
        <v>1828</v>
      </c>
      <c r="F167" s="47" t="s">
        <v>6</v>
      </c>
      <c r="G167" s="29" t="s">
        <v>2837</v>
      </c>
      <c r="H167" s="29" t="s">
        <v>2837</v>
      </c>
    </row>
    <row r="168" spans="2:8" x14ac:dyDescent="0.3">
      <c r="B168" s="46">
        <v>45792</v>
      </c>
      <c r="C168" s="45">
        <v>45779</v>
      </c>
      <c r="D168" s="5" t="s">
        <v>2811</v>
      </c>
      <c r="E168" s="29" t="s">
        <v>1828</v>
      </c>
      <c r="F168" s="47" t="s">
        <v>6</v>
      </c>
      <c r="G168" s="5" t="s">
        <v>2814</v>
      </c>
      <c r="H168" s="5" t="s">
        <v>2815</v>
      </c>
    </row>
    <row r="169" spans="2:8" x14ac:dyDescent="0.3">
      <c r="B169" s="46">
        <v>45792</v>
      </c>
      <c r="C169" s="45">
        <v>45779</v>
      </c>
      <c r="D169" s="5" t="s">
        <v>2811</v>
      </c>
      <c r="E169" s="29" t="s">
        <v>1828</v>
      </c>
      <c r="F169" s="47" t="s">
        <v>6</v>
      </c>
      <c r="G169" s="5" t="s">
        <v>2816</v>
      </c>
      <c r="H169" s="5" t="s">
        <v>2817</v>
      </c>
    </row>
    <row r="170" spans="2:8" x14ac:dyDescent="0.3">
      <c r="B170" s="46">
        <v>45792</v>
      </c>
      <c r="C170" s="45">
        <v>45779</v>
      </c>
      <c r="D170" s="5" t="s">
        <v>2811</v>
      </c>
      <c r="E170" s="29" t="s">
        <v>1828</v>
      </c>
      <c r="F170" s="47" t="s">
        <v>6</v>
      </c>
      <c r="G170" s="5" t="s">
        <v>2818</v>
      </c>
      <c r="H170" s="5" t="s">
        <v>2819</v>
      </c>
    </row>
    <row r="171" spans="2:8" x14ac:dyDescent="0.3">
      <c r="B171" s="46">
        <v>45792</v>
      </c>
      <c r="C171" s="45">
        <v>45779</v>
      </c>
      <c r="D171" s="5" t="s">
        <v>2811</v>
      </c>
      <c r="E171" s="29" t="s">
        <v>1828</v>
      </c>
      <c r="F171" s="47" t="s">
        <v>6</v>
      </c>
      <c r="G171" s="29" t="s">
        <v>2837</v>
      </c>
      <c r="H171" s="29" t="s">
        <v>2837</v>
      </c>
    </row>
    <row r="172" spans="2:8" x14ac:dyDescent="0.3">
      <c r="B172" s="46">
        <v>45793</v>
      </c>
      <c r="C172" s="45">
        <v>45779</v>
      </c>
      <c r="D172" s="5" t="s">
        <v>2811</v>
      </c>
      <c r="E172" s="29" t="s">
        <v>1828</v>
      </c>
      <c r="F172" s="47" t="s">
        <v>6</v>
      </c>
      <c r="G172" s="5" t="s">
        <v>2814</v>
      </c>
      <c r="H172" s="5" t="s">
        <v>2815</v>
      </c>
    </row>
    <row r="173" spans="2:8" x14ac:dyDescent="0.3">
      <c r="B173" s="46">
        <v>45793</v>
      </c>
      <c r="C173" s="45">
        <v>45779</v>
      </c>
      <c r="D173" s="5" t="s">
        <v>2811</v>
      </c>
      <c r="E173" s="29" t="s">
        <v>1828</v>
      </c>
      <c r="F173" s="47" t="s">
        <v>6</v>
      </c>
      <c r="G173" s="5" t="s">
        <v>2816</v>
      </c>
      <c r="H173" s="5" t="s">
        <v>2817</v>
      </c>
    </row>
    <row r="174" spans="2:8" x14ac:dyDescent="0.3">
      <c r="B174" s="46">
        <v>45793</v>
      </c>
      <c r="C174" s="45">
        <v>45779</v>
      </c>
      <c r="D174" s="5" t="s">
        <v>2811</v>
      </c>
      <c r="E174" s="29" t="s">
        <v>1828</v>
      </c>
      <c r="F174" s="47" t="s">
        <v>6</v>
      </c>
      <c r="G174" s="5" t="s">
        <v>2818</v>
      </c>
      <c r="H174" s="5" t="s">
        <v>2819</v>
      </c>
    </row>
    <row r="175" spans="2:8" x14ac:dyDescent="0.3">
      <c r="B175" s="46">
        <v>45793</v>
      </c>
      <c r="C175" s="45">
        <v>45779</v>
      </c>
      <c r="D175" s="5" t="s">
        <v>2811</v>
      </c>
      <c r="E175" s="29" t="s">
        <v>1828</v>
      </c>
      <c r="F175" s="47" t="s">
        <v>6</v>
      </c>
      <c r="G175" s="29" t="s">
        <v>2837</v>
      </c>
      <c r="H175" s="29" t="s">
        <v>2837</v>
      </c>
    </row>
    <row r="176" spans="2:8" x14ac:dyDescent="0.3">
      <c r="B176" s="46">
        <v>45793</v>
      </c>
      <c r="C176" s="45">
        <v>45779</v>
      </c>
      <c r="D176" s="5" t="s">
        <v>2811</v>
      </c>
      <c r="E176" s="29" t="s">
        <v>1828</v>
      </c>
      <c r="F176" s="137" t="s">
        <v>325</v>
      </c>
      <c r="G176" s="29" t="s">
        <v>2838</v>
      </c>
      <c r="H176" s="29" t="s">
        <v>2839</v>
      </c>
    </row>
    <row r="177" spans="2:8" x14ac:dyDescent="0.3">
      <c r="B177" s="46">
        <v>45796</v>
      </c>
      <c r="C177" s="45">
        <v>45779</v>
      </c>
      <c r="D177" s="5" t="s">
        <v>2811</v>
      </c>
      <c r="E177" s="29" t="s">
        <v>1828</v>
      </c>
      <c r="F177" s="47" t="s">
        <v>6</v>
      </c>
      <c r="G177" s="5" t="s">
        <v>2814</v>
      </c>
      <c r="H177" s="5" t="s">
        <v>2815</v>
      </c>
    </row>
    <row r="178" spans="2:8" x14ac:dyDescent="0.3">
      <c r="B178" s="46">
        <v>45796</v>
      </c>
      <c r="C178" s="45">
        <v>45779</v>
      </c>
      <c r="D178" s="5" t="s">
        <v>2811</v>
      </c>
      <c r="E178" s="29" t="s">
        <v>1828</v>
      </c>
      <c r="F178" s="47" t="s">
        <v>6</v>
      </c>
      <c r="G178" s="5" t="s">
        <v>2816</v>
      </c>
      <c r="H178" s="5" t="s">
        <v>2817</v>
      </c>
    </row>
    <row r="179" spans="2:8" x14ac:dyDescent="0.3">
      <c r="B179" s="46">
        <v>45796</v>
      </c>
      <c r="C179" s="45">
        <v>45779</v>
      </c>
      <c r="D179" s="5" t="s">
        <v>2811</v>
      </c>
      <c r="E179" s="29" t="s">
        <v>1828</v>
      </c>
      <c r="F179" s="47" t="s">
        <v>6</v>
      </c>
      <c r="G179" s="5" t="s">
        <v>2818</v>
      </c>
      <c r="H179" s="5" t="s">
        <v>2819</v>
      </c>
    </row>
    <row r="180" spans="2:8" x14ac:dyDescent="0.3">
      <c r="B180" s="46">
        <v>45797</v>
      </c>
      <c r="C180" s="45">
        <v>45779</v>
      </c>
      <c r="D180" s="5" t="s">
        <v>2811</v>
      </c>
      <c r="E180" s="29" t="s">
        <v>1828</v>
      </c>
      <c r="F180" s="47" t="s">
        <v>6</v>
      </c>
      <c r="G180" s="5" t="s">
        <v>2814</v>
      </c>
      <c r="H180" s="5" t="s">
        <v>2815</v>
      </c>
    </row>
    <row r="181" spans="2:8" x14ac:dyDescent="0.3">
      <c r="B181" s="46">
        <v>45797</v>
      </c>
      <c r="C181" s="45">
        <v>45779</v>
      </c>
      <c r="D181" s="5" t="s">
        <v>2811</v>
      </c>
      <c r="E181" s="29" t="s">
        <v>1828</v>
      </c>
      <c r="F181" s="47" t="s">
        <v>6</v>
      </c>
      <c r="G181" s="5" t="s">
        <v>2816</v>
      </c>
      <c r="H181" s="5" t="s">
        <v>2817</v>
      </c>
    </row>
    <row r="182" spans="2:8" x14ac:dyDescent="0.3">
      <c r="B182" s="46">
        <v>45797</v>
      </c>
      <c r="C182" s="45">
        <v>45779</v>
      </c>
      <c r="D182" s="5" t="s">
        <v>2811</v>
      </c>
      <c r="E182" s="29" t="s">
        <v>1828</v>
      </c>
      <c r="F182" s="47" t="s">
        <v>6</v>
      </c>
      <c r="G182" s="5" t="s">
        <v>2818</v>
      </c>
      <c r="H182" s="5" t="s">
        <v>2819</v>
      </c>
    </row>
    <row r="183" spans="2:8" x14ac:dyDescent="0.3">
      <c r="B183" s="46">
        <v>45798</v>
      </c>
      <c r="C183" s="45">
        <v>45779</v>
      </c>
      <c r="D183" s="5" t="s">
        <v>2811</v>
      </c>
      <c r="E183" s="29" t="s">
        <v>1828</v>
      </c>
      <c r="F183" s="47" t="s">
        <v>6</v>
      </c>
      <c r="G183" s="5" t="s">
        <v>2814</v>
      </c>
      <c r="H183" s="5" t="s">
        <v>2815</v>
      </c>
    </row>
    <row r="184" spans="2:8" x14ac:dyDescent="0.3">
      <c r="B184" s="46">
        <v>45798</v>
      </c>
      <c r="C184" s="45">
        <v>45779</v>
      </c>
      <c r="D184" s="5" t="s">
        <v>2811</v>
      </c>
      <c r="E184" s="29" t="s">
        <v>1828</v>
      </c>
      <c r="F184" s="47" t="s">
        <v>6</v>
      </c>
      <c r="G184" s="5" t="s">
        <v>2816</v>
      </c>
      <c r="H184" s="5" t="s">
        <v>2817</v>
      </c>
    </row>
    <row r="185" spans="2:8" x14ac:dyDescent="0.3">
      <c r="B185" s="46">
        <v>45798</v>
      </c>
      <c r="C185" s="45">
        <v>45779</v>
      </c>
      <c r="D185" s="5" t="s">
        <v>2811</v>
      </c>
      <c r="E185" s="29" t="s">
        <v>1828</v>
      </c>
      <c r="F185" s="47" t="s">
        <v>6</v>
      </c>
      <c r="G185" s="5" t="s">
        <v>2818</v>
      </c>
      <c r="H185" s="5" t="s">
        <v>2819</v>
      </c>
    </row>
    <row r="186" spans="2:8" x14ac:dyDescent="0.3">
      <c r="B186" s="46">
        <v>45799</v>
      </c>
      <c r="C186" s="45">
        <v>45779</v>
      </c>
      <c r="D186" s="5" t="s">
        <v>2811</v>
      </c>
      <c r="E186" s="29" t="s">
        <v>1828</v>
      </c>
      <c r="F186" s="47" t="s">
        <v>6</v>
      </c>
      <c r="G186" s="5" t="s">
        <v>2814</v>
      </c>
      <c r="H186" s="5" t="s">
        <v>2815</v>
      </c>
    </row>
    <row r="187" spans="2:8" x14ac:dyDescent="0.3">
      <c r="B187" s="46">
        <v>45799</v>
      </c>
      <c r="C187" s="45">
        <v>45779</v>
      </c>
      <c r="D187" s="5" t="s">
        <v>2811</v>
      </c>
      <c r="E187" s="29" t="s">
        <v>1828</v>
      </c>
      <c r="F187" s="47" t="s">
        <v>6</v>
      </c>
      <c r="G187" s="5" t="s">
        <v>2816</v>
      </c>
      <c r="H187" s="5" t="s">
        <v>2817</v>
      </c>
    </row>
    <row r="188" spans="2:8" x14ac:dyDescent="0.3">
      <c r="B188" s="46">
        <v>45799</v>
      </c>
      <c r="C188" s="45">
        <v>45779</v>
      </c>
      <c r="D188" s="5" t="s">
        <v>2811</v>
      </c>
      <c r="E188" s="29" t="s">
        <v>1828</v>
      </c>
      <c r="F188" s="47" t="s">
        <v>6</v>
      </c>
      <c r="G188" s="5" t="s">
        <v>2818</v>
      </c>
      <c r="H188" s="5" t="s">
        <v>2819</v>
      </c>
    </row>
    <row r="189" spans="2:8" x14ac:dyDescent="0.3">
      <c r="B189" s="46">
        <v>45800</v>
      </c>
      <c r="C189" s="45">
        <v>45779</v>
      </c>
      <c r="D189" s="5" t="s">
        <v>2811</v>
      </c>
      <c r="E189" s="29" t="s">
        <v>1828</v>
      </c>
      <c r="F189" s="47" t="s">
        <v>6</v>
      </c>
      <c r="G189" s="5" t="s">
        <v>2814</v>
      </c>
      <c r="H189" s="5" t="s">
        <v>2815</v>
      </c>
    </row>
    <row r="190" spans="2:8" x14ac:dyDescent="0.3">
      <c r="B190" s="46">
        <v>45800</v>
      </c>
      <c r="C190" s="45">
        <v>45779</v>
      </c>
      <c r="D190" s="5" t="s">
        <v>2811</v>
      </c>
      <c r="E190" s="29" t="s">
        <v>1828</v>
      </c>
      <c r="F190" s="47" t="s">
        <v>6</v>
      </c>
      <c r="G190" s="5" t="s">
        <v>2816</v>
      </c>
      <c r="H190" s="5" t="s">
        <v>2817</v>
      </c>
    </row>
    <row r="191" spans="2:8" x14ac:dyDescent="0.3">
      <c r="B191" s="46">
        <v>45800</v>
      </c>
      <c r="C191" s="45">
        <v>45779</v>
      </c>
      <c r="D191" s="5" t="s">
        <v>2811</v>
      </c>
      <c r="E191" s="29" t="s">
        <v>1828</v>
      </c>
      <c r="F191" s="47" t="s">
        <v>6</v>
      </c>
      <c r="G191" s="5" t="s">
        <v>2818</v>
      </c>
      <c r="H191" s="5" t="s">
        <v>2819</v>
      </c>
    </row>
    <row r="192" spans="2:8" x14ac:dyDescent="0.3">
      <c r="B192" s="46">
        <v>45803</v>
      </c>
      <c r="C192" s="45">
        <v>45779</v>
      </c>
      <c r="D192" s="5" t="s">
        <v>2811</v>
      </c>
      <c r="E192" s="29" t="s">
        <v>1828</v>
      </c>
      <c r="F192" s="47" t="s">
        <v>6</v>
      </c>
      <c r="G192" s="5" t="s">
        <v>2814</v>
      </c>
      <c r="H192" s="5" t="s">
        <v>2815</v>
      </c>
    </row>
    <row r="193" spans="2:8" x14ac:dyDescent="0.3">
      <c r="B193" s="46">
        <v>45803</v>
      </c>
      <c r="C193" s="45">
        <v>45779</v>
      </c>
      <c r="D193" s="5" t="s">
        <v>2811</v>
      </c>
      <c r="E193" s="29" t="s">
        <v>1828</v>
      </c>
      <c r="F193" s="47" t="s">
        <v>6</v>
      </c>
      <c r="G193" s="5" t="s">
        <v>2816</v>
      </c>
      <c r="H193" s="5" t="s">
        <v>2817</v>
      </c>
    </row>
    <row r="194" spans="2:8" x14ac:dyDescent="0.3">
      <c r="B194" s="46">
        <v>45803</v>
      </c>
      <c r="C194" s="45">
        <v>45779</v>
      </c>
      <c r="D194" s="5" t="s">
        <v>2811</v>
      </c>
      <c r="E194" s="29" t="s">
        <v>1828</v>
      </c>
      <c r="F194" s="47" t="s">
        <v>6</v>
      </c>
      <c r="G194" s="5" t="s">
        <v>2818</v>
      </c>
      <c r="H194" s="5" t="s">
        <v>2819</v>
      </c>
    </row>
    <row r="195" spans="2:8" x14ac:dyDescent="0.3">
      <c r="B195" s="46">
        <v>45804</v>
      </c>
      <c r="C195" s="45">
        <v>45779</v>
      </c>
      <c r="D195" s="5" t="s">
        <v>2811</v>
      </c>
      <c r="E195" s="29" t="s">
        <v>1828</v>
      </c>
      <c r="F195" s="47" t="s">
        <v>6</v>
      </c>
      <c r="G195" s="5" t="s">
        <v>2814</v>
      </c>
      <c r="H195" s="5" t="s">
        <v>2815</v>
      </c>
    </row>
    <row r="196" spans="2:8" x14ac:dyDescent="0.3">
      <c r="B196" s="46">
        <v>45804</v>
      </c>
      <c r="C196" s="45">
        <v>45779</v>
      </c>
      <c r="D196" s="5" t="s">
        <v>2811</v>
      </c>
      <c r="E196" s="29" t="s">
        <v>1828</v>
      </c>
      <c r="F196" s="47" t="s">
        <v>6</v>
      </c>
      <c r="G196" s="5" t="s">
        <v>2816</v>
      </c>
      <c r="H196" s="5" t="s">
        <v>2817</v>
      </c>
    </row>
    <row r="197" spans="2:8" x14ac:dyDescent="0.3">
      <c r="B197" s="46">
        <v>45804</v>
      </c>
      <c r="C197" s="45">
        <v>45779</v>
      </c>
      <c r="D197" s="5" t="s">
        <v>2811</v>
      </c>
      <c r="E197" s="29" t="s">
        <v>1828</v>
      </c>
      <c r="F197" s="47" t="s">
        <v>6</v>
      </c>
      <c r="G197" s="5" t="s">
        <v>2818</v>
      </c>
      <c r="H197" s="5" t="s">
        <v>2819</v>
      </c>
    </row>
    <row r="198" spans="2:8" x14ac:dyDescent="0.3">
      <c r="B198" s="46">
        <v>45805</v>
      </c>
      <c r="C198" s="45">
        <v>45779</v>
      </c>
      <c r="D198" s="5" t="s">
        <v>2811</v>
      </c>
      <c r="E198" s="29" t="s">
        <v>1828</v>
      </c>
      <c r="F198" s="47" t="s">
        <v>6</v>
      </c>
      <c r="G198" s="5" t="s">
        <v>2814</v>
      </c>
      <c r="H198" s="5" t="s">
        <v>2815</v>
      </c>
    </row>
    <row r="199" spans="2:8" x14ac:dyDescent="0.3">
      <c r="B199" s="46">
        <v>45805</v>
      </c>
      <c r="C199" s="45">
        <v>45779</v>
      </c>
      <c r="D199" s="5" t="s">
        <v>2811</v>
      </c>
      <c r="E199" s="29" t="s">
        <v>1828</v>
      </c>
      <c r="F199" s="47" t="s">
        <v>6</v>
      </c>
      <c r="G199" s="5" t="s">
        <v>2816</v>
      </c>
      <c r="H199" s="5" t="s">
        <v>2817</v>
      </c>
    </row>
    <row r="200" spans="2:8" x14ac:dyDescent="0.3">
      <c r="B200" s="46">
        <v>45805</v>
      </c>
      <c r="C200" s="45">
        <v>45779</v>
      </c>
      <c r="D200" s="5" t="s">
        <v>2811</v>
      </c>
      <c r="E200" s="29" t="s">
        <v>1828</v>
      </c>
      <c r="F200" s="47" t="s">
        <v>6</v>
      </c>
      <c r="G200" s="5" t="s">
        <v>2818</v>
      </c>
      <c r="H200" s="5" t="s">
        <v>2819</v>
      </c>
    </row>
    <row r="201" spans="2:8" x14ac:dyDescent="0.3">
      <c r="B201" s="46">
        <v>45806</v>
      </c>
      <c r="C201" s="45">
        <v>45779</v>
      </c>
      <c r="D201" s="5" t="s">
        <v>2811</v>
      </c>
      <c r="E201" s="29" t="s">
        <v>1828</v>
      </c>
      <c r="F201" s="47" t="s">
        <v>6</v>
      </c>
      <c r="G201" s="5" t="s">
        <v>2814</v>
      </c>
      <c r="H201" s="5" t="s">
        <v>2815</v>
      </c>
    </row>
    <row r="202" spans="2:8" x14ac:dyDescent="0.3">
      <c r="B202" s="46">
        <v>45806</v>
      </c>
      <c r="C202" s="45">
        <v>45779</v>
      </c>
      <c r="D202" s="5" t="s">
        <v>2811</v>
      </c>
      <c r="E202" s="29" t="s">
        <v>1828</v>
      </c>
      <c r="F202" s="47" t="s">
        <v>6</v>
      </c>
      <c r="G202" s="5" t="s">
        <v>2816</v>
      </c>
      <c r="H202" s="5" t="s">
        <v>2817</v>
      </c>
    </row>
    <row r="203" spans="2:8" x14ac:dyDescent="0.3">
      <c r="B203" s="46">
        <v>45806</v>
      </c>
      <c r="C203" s="45">
        <v>45779</v>
      </c>
      <c r="D203" s="5" t="s">
        <v>2811</v>
      </c>
      <c r="E203" s="29" t="s">
        <v>1828</v>
      </c>
      <c r="F203" s="47" t="s">
        <v>6</v>
      </c>
      <c r="G203" s="5" t="s">
        <v>2818</v>
      </c>
      <c r="H203" s="5" t="s">
        <v>2819</v>
      </c>
    </row>
    <row r="204" spans="2:8" x14ac:dyDescent="0.3">
      <c r="B204" s="46">
        <v>45807</v>
      </c>
      <c r="C204" s="45">
        <v>45779</v>
      </c>
      <c r="D204" s="5" t="s">
        <v>2811</v>
      </c>
      <c r="E204" s="29" t="s">
        <v>1828</v>
      </c>
      <c r="F204" s="47" t="s">
        <v>6</v>
      </c>
      <c r="G204" s="5" t="s">
        <v>2814</v>
      </c>
      <c r="H204" s="5" t="s">
        <v>2815</v>
      </c>
    </row>
    <row r="205" spans="2:8" x14ac:dyDescent="0.3">
      <c r="B205" s="46">
        <v>45807</v>
      </c>
      <c r="C205" s="45">
        <v>45779</v>
      </c>
      <c r="D205" s="5" t="s">
        <v>2811</v>
      </c>
      <c r="E205" s="29" t="s">
        <v>1828</v>
      </c>
      <c r="F205" s="47" t="s">
        <v>6</v>
      </c>
      <c r="G205" s="5" t="s">
        <v>2816</v>
      </c>
      <c r="H205" s="5" t="s">
        <v>2817</v>
      </c>
    </row>
    <row r="206" spans="2:8" x14ac:dyDescent="0.3">
      <c r="B206" s="46">
        <v>45807</v>
      </c>
      <c r="C206" s="45">
        <v>45779</v>
      </c>
      <c r="D206" s="5" t="s">
        <v>2811</v>
      </c>
      <c r="E206" s="29" t="s">
        <v>1828</v>
      </c>
      <c r="F206" s="47" t="s">
        <v>6</v>
      </c>
      <c r="G206" s="5" t="s">
        <v>2818</v>
      </c>
      <c r="H206" s="5" t="s">
        <v>2819</v>
      </c>
    </row>
    <row r="207" spans="2:8" x14ac:dyDescent="0.3">
      <c r="B207" s="46">
        <v>45810</v>
      </c>
      <c r="C207" s="45">
        <v>45810</v>
      </c>
      <c r="D207" s="5" t="s">
        <v>2811</v>
      </c>
      <c r="E207" s="29" t="s">
        <v>1828</v>
      </c>
      <c r="F207" s="47" t="s">
        <v>6</v>
      </c>
      <c r="G207" s="5" t="s">
        <v>2814</v>
      </c>
      <c r="H207" s="5" t="s">
        <v>2815</v>
      </c>
    </row>
    <row r="208" spans="2:8" x14ac:dyDescent="0.3">
      <c r="B208" s="46">
        <v>45810</v>
      </c>
      <c r="C208" s="45">
        <v>45810</v>
      </c>
      <c r="D208" s="5" t="s">
        <v>2811</v>
      </c>
      <c r="E208" s="29" t="s">
        <v>1828</v>
      </c>
      <c r="F208" s="47" t="s">
        <v>6</v>
      </c>
      <c r="G208" s="5" t="s">
        <v>2816</v>
      </c>
      <c r="H208" s="5" t="s">
        <v>2817</v>
      </c>
    </row>
    <row r="209" spans="2:8" x14ac:dyDescent="0.3">
      <c r="B209" s="46">
        <v>45810</v>
      </c>
      <c r="C209" s="45">
        <v>45810</v>
      </c>
      <c r="D209" s="5" t="s">
        <v>2811</v>
      </c>
      <c r="E209" s="29" t="s">
        <v>1828</v>
      </c>
      <c r="F209" s="47" t="s">
        <v>6</v>
      </c>
      <c r="G209" s="5" t="s">
        <v>2818</v>
      </c>
      <c r="H209" s="5" t="s">
        <v>2819</v>
      </c>
    </row>
    <row r="210" spans="2:8" x14ac:dyDescent="0.3">
      <c r="B210" s="46">
        <v>45810</v>
      </c>
      <c r="C210" s="45">
        <v>45810</v>
      </c>
      <c r="D210" s="5" t="s">
        <v>2811</v>
      </c>
      <c r="E210" s="29" t="s">
        <v>1828</v>
      </c>
      <c r="F210" s="137" t="s">
        <v>325</v>
      </c>
      <c r="G210" s="5" t="s">
        <v>1850</v>
      </c>
      <c r="H210" s="5" t="s">
        <v>2840</v>
      </c>
    </row>
    <row r="211" spans="2:8" x14ac:dyDescent="0.3">
      <c r="B211" s="46">
        <v>45811</v>
      </c>
      <c r="C211" s="45">
        <v>45810</v>
      </c>
      <c r="D211" s="5" t="s">
        <v>2811</v>
      </c>
      <c r="E211" s="29" t="s">
        <v>1828</v>
      </c>
      <c r="F211" s="137" t="s">
        <v>325</v>
      </c>
      <c r="G211" s="5" t="s">
        <v>2841</v>
      </c>
      <c r="H211" s="5" t="s">
        <v>2842</v>
      </c>
    </row>
    <row r="212" spans="2:8" x14ac:dyDescent="0.3">
      <c r="B212" s="46">
        <v>45811</v>
      </c>
      <c r="C212" s="45">
        <v>45810</v>
      </c>
      <c r="D212" s="5" t="s">
        <v>2811</v>
      </c>
      <c r="E212" s="29" t="s">
        <v>1828</v>
      </c>
      <c r="F212" s="47" t="s">
        <v>6</v>
      </c>
      <c r="G212" s="5" t="s">
        <v>2814</v>
      </c>
      <c r="H212" s="5" t="s">
        <v>2815</v>
      </c>
    </row>
    <row r="213" spans="2:8" x14ac:dyDescent="0.3">
      <c r="B213" s="46">
        <v>45811</v>
      </c>
      <c r="C213" s="45">
        <v>45810</v>
      </c>
      <c r="D213" s="5" t="s">
        <v>2811</v>
      </c>
      <c r="E213" s="29" t="s">
        <v>1828</v>
      </c>
      <c r="F213" s="47" t="s">
        <v>6</v>
      </c>
      <c r="G213" s="5" t="s">
        <v>2816</v>
      </c>
      <c r="H213" s="5" t="s">
        <v>2817</v>
      </c>
    </row>
    <row r="214" spans="2:8" x14ac:dyDescent="0.3">
      <c r="B214" s="46">
        <v>45811</v>
      </c>
      <c r="C214" s="45">
        <v>45810</v>
      </c>
      <c r="D214" s="5" t="s">
        <v>2811</v>
      </c>
      <c r="E214" s="29" t="s">
        <v>1828</v>
      </c>
      <c r="F214" s="47" t="s">
        <v>6</v>
      </c>
      <c r="G214" s="5" t="s">
        <v>2818</v>
      </c>
      <c r="H214" s="5" t="s">
        <v>2819</v>
      </c>
    </row>
    <row r="215" spans="2:8" x14ac:dyDescent="0.3">
      <c r="B215" s="46">
        <v>45812</v>
      </c>
      <c r="C215" s="45">
        <v>45810</v>
      </c>
      <c r="D215" s="5" t="s">
        <v>2811</v>
      </c>
      <c r="E215" s="29" t="s">
        <v>1828</v>
      </c>
      <c r="F215" s="47" t="s">
        <v>6</v>
      </c>
      <c r="G215" s="5" t="s">
        <v>2814</v>
      </c>
      <c r="H215" s="5" t="s">
        <v>2815</v>
      </c>
    </row>
    <row r="216" spans="2:8" x14ac:dyDescent="0.3">
      <c r="B216" s="46">
        <v>45812</v>
      </c>
      <c r="C216" s="45">
        <v>45810</v>
      </c>
      <c r="D216" s="5" t="s">
        <v>2811</v>
      </c>
      <c r="E216" s="29" t="s">
        <v>1828</v>
      </c>
      <c r="F216" s="47" t="s">
        <v>6</v>
      </c>
      <c r="G216" s="5" t="s">
        <v>2816</v>
      </c>
      <c r="H216" s="5" t="s">
        <v>2817</v>
      </c>
    </row>
    <row r="217" spans="2:8" x14ac:dyDescent="0.3">
      <c r="B217" s="46">
        <v>45812</v>
      </c>
      <c r="C217" s="45">
        <v>45810</v>
      </c>
      <c r="D217" s="5" t="s">
        <v>2811</v>
      </c>
      <c r="E217" s="29" t="s">
        <v>1828</v>
      </c>
      <c r="F217" s="47" t="s">
        <v>6</v>
      </c>
      <c r="G217" s="5" t="s">
        <v>2818</v>
      </c>
      <c r="H217" s="5" t="s">
        <v>2819</v>
      </c>
    </row>
    <row r="218" spans="2:8" x14ac:dyDescent="0.3">
      <c r="B218" s="46">
        <v>45812</v>
      </c>
      <c r="C218" s="45">
        <v>45810</v>
      </c>
      <c r="D218" s="5" t="s">
        <v>2811</v>
      </c>
      <c r="E218" s="29" t="s">
        <v>1828</v>
      </c>
      <c r="F218" s="137" t="s">
        <v>325</v>
      </c>
      <c r="G218" s="5" t="s">
        <v>2843</v>
      </c>
      <c r="H218" s="5" t="s">
        <v>2844</v>
      </c>
    </row>
    <row r="219" spans="2:8" x14ac:dyDescent="0.3">
      <c r="B219" s="46">
        <v>45813</v>
      </c>
      <c r="C219" s="45">
        <v>45810</v>
      </c>
      <c r="D219" s="5" t="s">
        <v>2811</v>
      </c>
      <c r="E219" s="29" t="s">
        <v>1828</v>
      </c>
      <c r="F219" s="47" t="s">
        <v>6</v>
      </c>
      <c r="G219" s="5" t="s">
        <v>2814</v>
      </c>
      <c r="H219" s="5" t="s">
        <v>2815</v>
      </c>
    </row>
    <row r="220" spans="2:8" x14ac:dyDescent="0.3">
      <c r="B220" s="46">
        <v>45813</v>
      </c>
      <c r="C220" s="45">
        <v>45810</v>
      </c>
      <c r="D220" s="5" t="s">
        <v>2811</v>
      </c>
      <c r="E220" s="29" t="s">
        <v>1828</v>
      </c>
      <c r="F220" s="47" t="s">
        <v>6</v>
      </c>
      <c r="G220" s="5" t="s">
        <v>2816</v>
      </c>
      <c r="H220" s="5" t="s">
        <v>2817</v>
      </c>
    </row>
    <row r="221" spans="2:8" x14ac:dyDescent="0.3">
      <c r="B221" s="46">
        <v>45813</v>
      </c>
      <c r="C221" s="45">
        <v>45810</v>
      </c>
      <c r="D221" s="5" t="s">
        <v>2811</v>
      </c>
      <c r="E221" s="29" t="s">
        <v>1828</v>
      </c>
      <c r="F221" s="47" t="s">
        <v>6</v>
      </c>
      <c r="G221" s="5" t="s">
        <v>2818</v>
      </c>
      <c r="H221" s="5" t="s">
        <v>2819</v>
      </c>
    </row>
    <row r="222" spans="2:8" x14ac:dyDescent="0.3">
      <c r="B222" s="46">
        <v>45813</v>
      </c>
      <c r="C222" s="45">
        <v>45810</v>
      </c>
      <c r="D222" s="5" t="s">
        <v>2811</v>
      </c>
      <c r="E222" s="29" t="s">
        <v>1828</v>
      </c>
      <c r="F222" s="137" t="s">
        <v>325</v>
      </c>
      <c r="G222" s="5" t="s">
        <v>2845</v>
      </c>
      <c r="H222" s="5" t="s">
        <v>2846</v>
      </c>
    </row>
    <row r="223" spans="2:8" x14ac:dyDescent="0.3">
      <c r="B223" s="46">
        <v>45813</v>
      </c>
      <c r="C223" s="45">
        <v>45810</v>
      </c>
      <c r="D223" s="5" t="s">
        <v>2811</v>
      </c>
      <c r="E223" s="29" t="s">
        <v>1828</v>
      </c>
      <c r="F223" s="137" t="s">
        <v>325</v>
      </c>
      <c r="G223" s="5" t="s">
        <v>2847</v>
      </c>
      <c r="H223" s="5" t="s">
        <v>2848</v>
      </c>
    </row>
    <row r="224" spans="2:8" x14ac:dyDescent="0.3">
      <c r="B224" s="46">
        <v>45814</v>
      </c>
      <c r="C224" s="45">
        <v>45810</v>
      </c>
      <c r="D224" s="5" t="s">
        <v>2811</v>
      </c>
      <c r="E224" s="29" t="s">
        <v>1828</v>
      </c>
      <c r="F224" s="47" t="s">
        <v>6</v>
      </c>
      <c r="G224" s="5" t="s">
        <v>2814</v>
      </c>
      <c r="H224" s="5" t="s">
        <v>2815</v>
      </c>
    </row>
    <row r="225" spans="2:8" x14ac:dyDescent="0.3">
      <c r="B225" s="46">
        <v>45814</v>
      </c>
      <c r="C225" s="45">
        <v>45810</v>
      </c>
      <c r="D225" s="5" t="s">
        <v>2811</v>
      </c>
      <c r="E225" s="29" t="s">
        <v>1828</v>
      </c>
      <c r="F225" s="47" t="s">
        <v>6</v>
      </c>
      <c r="G225" s="5" t="s">
        <v>2816</v>
      </c>
      <c r="H225" s="5" t="s">
        <v>2817</v>
      </c>
    </row>
    <row r="226" spans="2:8" x14ac:dyDescent="0.3">
      <c r="B226" s="46">
        <v>45814</v>
      </c>
      <c r="C226" s="45">
        <v>45810</v>
      </c>
      <c r="D226" s="5" t="s">
        <v>2811</v>
      </c>
      <c r="E226" s="29" t="s">
        <v>1828</v>
      </c>
      <c r="F226" s="47" t="s">
        <v>6</v>
      </c>
      <c r="G226" s="5" t="s">
        <v>2818</v>
      </c>
      <c r="H226" s="5" t="s">
        <v>2819</v>
      </c>
    </row>
    <row r="227" spans="2:8" x14ac:dyDescent="0.3">
      <c r="B227" s="46">
        <v>45816</v>
      </c>
      <c r="C227" s="45">
        <v>45810</v>
      </c>
      <c r="D227" s="5" t="s">
        <v>2811</v>
      </c>
      <c r="E227" s="29" t="s">
        <v>1828</v>
      </c>
      <c r="F227" s="137" t="s">
        <v>325</v>
      </c>
      <c r="G227" s="5" t="s">
        <v>2849</v>
      </c>
      <c r="H227" s="5" t="s">
        <v>2848</v>
      </c>
    </row>
    <row r="228" spans="2:8" x14ac:dyDescent="0.3">
      <c r="B228" s="46">
        <v>45816</v>
      </c>
      <c r="C228" s="45">
        <v>45810</v>
      </c>
      <c r="D228" s="5" t="s">
        <v>2811</v>
      </c>
      <c r="E228" s="29" t="s">
        <v>1828</v>
      </c>
      <c r="F228" s="137" t="s">
        <v>325</v>
      </c>
      <c r="G228" s="5" t="s">
        <v>2850</v>
      </c>
      <c r="H228" s="5" t="s">
        <v>2851</v>
      </c>
    </row>
    <row r="229" spans="2:8" x14ac:dyDescent="0.3">
      <c r="B229" s="46">
        <v>45816</v>
      </c>
      <c r="C229" s="45">
        <v>45810</v>
      </c>
      <c r="D229" s="5" t="s">
        <v>2811</v>
      </c>
      <c r="E229" s="29" t="s">
        <v>1828</v>
      </c>
      <c r="F229" s="137" t="s">
        <v>325</v>
      </c>
      <c r="G229" s="5" t="s">
        <v>2852</v>
      </c>
      <c r="H229" s="5" t="s">
        <v>2853</v>
      </c>
    </row>
    <row r="230" spans="2:8" x14ac:dyDescent="0.3">
      <c r="B230" s="46">
        <v>45816</v>
      </c>
      <c r="C230" s="45">
        <v>45810</v>
      </c>
      <c r="D230" s="5" t="s">
        <v>2811</v>
      </c>
      <c r="E230" s="29" t="s">
        <v>1828</v>
      </c>
      <c r="F230" s="137" t="s">
        <v>325</v>
      </c>
      <c r="G230" s="5" t="s">
        <v>2854</v>
      </c>
      <c r="H230" s="5" t="s">
        <v>2855</v>
      </c>
    </row>
    <row r="231" spans="2:8" x14ac:dyDescent="0.3">
      <c r="B231" s="46">
        <v>45817</v>
      </c>
      <c r="C231" s="45">
        <v>45810</v>
      </c>
      <c r="D231" s="5" t="s">
        <v>2811</v>
      </c>
      <c r="E231" s="29" t="s">
        <v>1828</v>
      </c>
      <c r="F231" s="47" t="s">
        <v>6</v>
      </c>
      <c r="G231" s="5" t="s">
        <v>2814</v>
      </c>
      <c r="H231" s="5" t="s">
        <v>2815</v>
      </c>
    </row>
    <row r="232" spans="2:8" x14ac:dyDescent="0.3">
      <c r="B232" s="46">
        <v>45817</v>
      </c>
      <c r="C232" s="45">
        <v>45810</v>
      </c>
      <c r="D232" s="5" t="s">
        <v>2811</v>
      </c>
      <c r="E232" s="29" t="s">
        <v>1828</v>
      </c>
      <c r="F232" s="47" t="s">
        <v>6</v>
      </c>
      <c r="G232" s="5" t="s">
        <v>2816</v>
      </c>
      <c r="H232" s="5" t="s">
        <v>2817</v>
      </c>
    </row>
    <row r="233" spans="2:8" x14ac:dyDescent="0.3">
      <c r="B233" s="46">
        <v>45817</v>
      </c>
      <c r="C233" s="45">
        <v>45810</v>
      </c>
      <c r="D233" s="5" t="s">
        <v>2811</v>
      </c>
      <c r="E233" s="29" t="s">
        <v>1828</v>
      </c>
      <c r="F233" s="47" t="s">
        <v>6</v>
      </c>
      <c r="G233" s="5" t="s">
        <v>2818</v>
      </c>
      <c r="H233" s="5" t="s">
        <v>2819</v>
      </c>
    </row>
    <row r="234" spans="2:8" x14ac:dyDescent="0.3">
      <c r="B234" s="46">
        <v>45818</v>
      </c>
      <c r="C234" s="45">
        <v>45810</v>
      </c>
      <c r="D234" s="5" t="s">
        <v>2811</v>
      </c>
      <c r="E234" s="29" t="s">
        <v>1828</v>
      </c>
      <c r="F234" s="47" t="s">
        <v>6</v>
      </c>
      <c r="G234" s="5" t="s">
        <v>2814</v>
      </c>
      <c r="H234" s="5" t="s">
        <v>2815</v>
      </c>
    </row>
    <row r="235" spans="2:8" x14ac:dyDescent="0.3">
      <c r="B235" s="46">
        <v>45818</v>
      </c>
      <c r="C235" s="45">
        <v>45810</v>
      </c>
      <c r="D235" s="5" t="s">
        <v>2811</v>
      </c>
      <c r="E235" s="29" t="s">
        <v>1828</v>
      </c>
      <c r="F235" s="47" t="s">
        <v>6</v>
      </c>
      <c r="G235" s="5" t="s">
        <v>2816</v>
      </c>
      <c r="H235" s="5" t="s">
        <v>2817</v>
      </c>
    </row>
    <row r="236" spans="2:8" x14ac:dyDescent="0.3">
      <c r="B236" s="46">
        <v>45818</v>
      </c>
      <c r="C236" s="45">
        <v>45810</v>
      </c>
      <c r="D236" s="5" t="s">
        <v>2811</v>
      </c>
      <c r="E236" s="29" t="s">
        <v>1828</v>
      </c>
      <c r="F236" s="47" t="s">
        <v>6</v>
      </c>
      <c r="G236" s="5" t="s">
        <v>2818</v>
      </c>
      <c r="H236" s="5" t="s">
        <v>2819</v>
      </c>
    </row>
    <row r="237" spans="2:8" x14ac:dyDescent="0.3">
      <c r="B237" s="46">
        <v>45819</v>
      </c>
      <c r="C237" s="45">
        <v>45810</v>
      </c>
      <c r="D237" s="5" t="s">
        <v>2811</v>
      </c>
      <c r="E237" s="29" t="s">
        <v>1828</v>
      </c>
      <c r="F237" s="47" t="s">
        <v>6</v>
      </c>
      <c r="G237" s="5" t="s">
        <v>2814</v>
      </c>
      <c r="H237" s="5" t="s">
        <v>2815</v>
      </c>
    </row>
    <row r="238" spans="2:8" x14ac:dyDescent="0.3">
      <c r="B238" s="46">
        <v>45819</v>
      </c>
      <c r="C238" s="45">
        <v>45810</v>
      </c>
      <c r="D238" s="5" t="s">
        <v>2811</v>
      </c>
      <c r="E238" s="29" t="s">
        <v>1828</v>
      </c>
      <c r="F238" s="47" t="s">
        <v>6</v>
      </c>
      <c r="G238" s="5" t="s">
        <v>2816</v>
      </c>
      <c r="H238" s="5" t="s">
        <v>2817</v>
      </c>
    </row>
    <row r="239" spans="2:8" x14ac:dyDescent="0.3">
      <c r="B239" s="46">
        <v>45819</v>
      </c>
      <c r="C239" s="45">
        <v>45810</v>
      </c>
      <c r="D239" s="5" t="s">
        <v>2811</v>
      </c>
      <c r="E239" s="29" t="s">
        <v>1828</v>
      </c>
      <c r="F239" s="47" t="s">
        <v>6</v>
      </c>
      <c r="G239" s="5" t="s">
        <v>2818</v>
      </c>
      <c r="H239" s="5" t="s">
        <v>2819</v>
      </c>
    </row>
    <row r="240" spans="2:8" x14ac:dyDescent="0.3">
      <c r="B240" s="46">
        <v>45820</v>
      </c>
      <c r="C240" s="45">
        <v>45810</v>
      </c>
      <c r="D240" s="5" t="s">
        <v>2811</v>
      </c>
      <c r="E240" s="29" t="s">
        <v>1828</v>
      </c>
      <c r="F240" s="47" t="s">
        <v>6</v>
      </c>
      <c r="G240" s="5" t="s">
        <v>2814</v>
      </c>
      <c r="H240" s="5" t="s">
        <v>2815</v>
      </c>
    </row>
    <row r="241" spans="2:8" x14ac:dyDescent="0.3">
      <c r="B241" s="46">
        <v>45820</v>
      </c>
      <c r="C241" s="45">
        <v>45810</v>
      </c>
      <c r="D241" s="5" t="s">
        <v>2811</v>
      </c>
      <c r="E241" s="29" t="s">
        <v>1828</v>
      </c>
      <c r="F241" s="47" t="s">
        <v>6</v>
      </c>
      <c r="G241" s="5" t="s">
        <v>2816</v>
      </c>
      <c r="H241" s="5" t="s">
        <v>2817</v>
      </c>
    </row>
    <row r="242" spans="2:8" x14ac:dyDescent="0.3">
      <c r="B242" s="46">
        <v>45820</v>
      </c>
      <c r="C242" s="45">
        <v>45810</v>
      </c>
      <c r="D242" s="5" t="s">
        <v>2811</v>
      </c>
      <c r="E242" s="29" t="s">
        <v>1828</v>
      </c>
      <c r="F242" s="47" t="s">
        <v>6</v>
      </c>
      <c r="G242" s="5" t="s">
        <v>2818</v>
      </c>
      <c r="H242" s="5" t="s">
        <v>2819</v>
      </c>
    </row>
    <row r="243" spans="2:8" x14ac:dyDescent="0.3">
      <c r="B243" s="46">
        <v>45821</v>
      </c>
      <c r="C243" s="45">
        <v>45810</v>
      </c>
      <c r="D243" s="5" t="s">
        <v>2811</v>
      </c>
      <c r="E243" s="29" t="s">
        <v>1828</v>
      </c>
      <c r="F243" s="47" t="s">
        <v>6</v>
      </c>
      <c r="G243" s="5" t="s">
        <v>2814</v>
      </c>
      <c r="H243" s="5" t="s">
        <v>2815</v>
      </c>
    </row>
    <row r="244" spans="2:8" x14ac:dyDescent="0.3">
      <c r="B244" s="46">
        <v>45821</v>
      </c>
      <c r="C244" s="45">
        <v>45810</v>
      </c>
      <c r="D244" s="5" t="s">
        <v>2811</v>
      </c>
      <c r="E244" s="29" t="s">
        <v>1828</v>
      </c>
      <c r="F244" s="47" t="s">
        <v>6</v>
      </c>
      <c r="G244" s="5" t="s">
        <v>2816</v>
      </c>
      <c r="H244" s="5" t="s">
        <v>2817</v>
      </c>
    </row>
    <row r="245" spans="2:8" x14ac:dyDescent="0.3">
      <c r="B245" s="46">
        <v>45821</v>
      </c>
      <c r="C245" s="45">
        <v>45810</v>
      </c>
      <c r="D245" s="5" t="s">
        <v>2811</v>
      </c>
      <c r="E245" s="29" t="s">
        <v>1828</v>
      </c>
      <c r="F245" s="47" t="s">
        <v>6</v>
      </c>
      <c r="G245" s="5" t="s">
        <v>2818</v>
      </c>
      <c r="H245" s="5" t="s">
        <v>2819</v>
      </c>
    </row>
    <row r="246" spans="2:8" x14ac:dyDescent="0.3">
      <c r="B246" s="46">
        <v>45824</v>
      </c>
      <c r="C246" s="45">
        <v>45810</v>
      </c>
      <c r="D246" s="5" t="s">
        <v>2811</v>
      </c>
      <c r="E246" s="29" t="s">
        <v>1828</v>
      </c>
      <c r="F246" s="47" t="s">
        <v>6</v>
      </c>
      <c r="G246" s="5" t="s">
        <v>2814</v>
      </c>
      <c r="H246" s="5" t="s">
        <v>2815</v>
      </c>
    </row>
    <row r="247" spans="2:8" x14ac:dyDescent="0.3">
      <c r="B247" s="46">
        <v>45824</v>
      </c>
      <c r="C247" s="45">
        <v>45810</v>
      </c>
      <c r="D247" s="5" t="s">
        <v>2811</v>
      </c>
      <c r="E247" s="29" t="s">
        <v>1828</v>
      </c>
      <c r="F247" s="47" t="s">
        <v>6</v>
      </c>
      <c r="G247" s="5" t="s">
        <v>2816</v>
      </c>
      <c r="H247" s="5" t="s">
        <v>2817</v>
      </c>
    </row>
    <row r="248" spans="2:8" x14ac:dyDescent="0.3">
      <c r="B248" s="46">
        <v>45824</v>
      </c>
      <c r="C248" s="45">
        <v>45810</v>
      </c>
      <c r="D248" s="5" t="s">
        <v>2811</v>
      </c>
      <c r="E248" s="29" t="s">
        <v>1828</v>
      </c>
      <c r="F248" s="47" t="s">
        <v>6</v>
      </c>
      <c r="G248" s="5" t="s">
        <v>2818</v>
      </c>
      <c r="H248" s="5" t="s">
        <v>2819</v>
      </c>
    </row>
    <row r="249" spans="2:8" x14ac:dyDescent="0.3">
      <c r="B249" s="46">
        <v>45825</v>
      </c>
      <c r="C249" s="45">
        <v>45810</v>
      </c>
      <c r="D249" s="5" t="s">
        <v>2811</v>
      </c>
      <c r="E249" s="29" t="s">
        <v>1828</v>
      </c>
      <c r="F249" s="47" t="s">
        <v>6</v>
      </c>
      <c r="G249" s="5" t="s">
        <v>2814</v>
      </c>
      <c r="H249" s="5" t="s">
        <v>2815</v>
      </c>
    </row>
    <row r="250" spans="2:8" x14ac:dyDescent="0.3">
      <c r="B250" s="46">
        <v>45825</v>
      </c>
      <c r="C250" s="45">
        <v>45810</v>
      </c>
      <c r="D250" s="5" t="s">
        <v>2811</v>
      </c>
      <c r="E250" s="29" t="s">
        <v>1828</v>
      </c>
      <c r="F250" s="47" t="s">
        <v>6</v>
      </c>
      <c r="G250" s="5" t="s">
        <v>2816</v>
      </c>
      <c r="H250" s="5" t="s">
        <v>2817</v>
      </c>
    </row>
    <row r="251" spans="2:8" x14ac:dyDescent="0.3">
      <c r="B251" s="46">
        <v>45825</v>
      </c>
      <c r="C251" s="45">
        <v>45810</v>
      </c>
      <c r="D251" s="5" t="s">
        <v>2811</v>
      </c>
      <c r="E251" s="29" t="s">
        <v>1828</v>
      </c>
      <c r="F251" s="47" t="s">
        <v>6</v>
      </c>
      <c r="G251" s="5" t="s">
        <v>2818</v>
      </c>
      <c r="H251" s="5" t="s">
        <v>2819</v>
      </c>
    </row>
    <row r="252" spans="2:8" x14ac:dyDescent="0.3">
      <c r="B252" s="46">
        <v>45826</v>
      </c>
      <c r="C252" s="45">
        <v>45810</v>
      </c>
      <c r="D252" s="5" t="s">
        <v>2811</v>
      </c>
      <c r="E252" s="29" t="s">
        <v>1828</v>
      </c>
      <c r="F252" s="47" t="s">
        <v>6</v>
      </c>
      <c r="G252" s="5" t="s">
        <v>2814</v>
      </c>
      <c r="H252" s="5" t="s">
        <v>2815</v>
      </c>
    </row>
    <row r="253" spans="2:8" x14ac:dyDescent="0.3">
      <c r="B253" s="46">
        <v>45826</v>
      </c>
      <c r="C253" s="45">
        <v>45810</v>
      </c>
      <c r="D253" s="5" t="s">
        <v>2811</v>
      </c>
      <c r="E253" s="29" t="s">
        <v>1828</v>
      </c>
      <c r="F253" s="47" t="s">
        <v>6</v>
      </c>
      <c r="G253" s="5" t="s">
        <v>2816</v>
      </c>
      <c r="H253" s="5" t="s">
        <v>2817</v>
      </c>
    </row>
    <row r="254" spans="2:8" x14ac:dyDescent="0.3">
      <c r="B254" s="46">
        <v>45826</v>
      </c>
      <c r="C254" s="45">
        <v>45810</v>
      </c>
      <c r="D254" s="5" t="s">
        <v>2811</v>
      </c>
      <c r="E254" s="29" t="s">
        <v>1828</v>
      </c>
      <c r="F254" s="47" t="s">
        <v>6</v>
      </c>
      <c r="G254" s="5" t="s">
        <v>2818</v>
      </c>
      <c r="H254" s="5" t="s">
        <v>2819</v>
      </c>
    </row>
    <row r="255" spans="2:8" x14ac:dyDescent="0.3">
      <c r="B255" s="46">
        <v>45827</v>
      </c>
      <c r="C255" s="45">
        <v>45810</v>
      </c>
      <c r="D255" s="5" t="s">
        <v>2811</v>
      </c>
      <c r="E255" s="29" t="s">
        <v>1828</v>
      </c>
      <c r="F255" s="47" t="s">
        <v>6</v>
      </c>
      <c r="G255" s="5" t="s">
        <v>2814</v>
      </c>
      <c r="H255" s="5" t="s">
        <v>2815</v>
      </c>
    </row>
    <row r="256" spans="2:8" x14ac:dyDescent="0.3">
      <c r="B256" s="46">
        <v>45827</v>
      </c>
      <c r="C256" s="45">
        <v>45810</v>
      </c>
      <c r="D256" s="5" t="s">
        <v>2811</v>
      </c>
      <c r="E256" s="29" t="s">
        <v>1828</v>
      </c>
      <c r="F256" s="47" t="s">
        <v>6</v>
      </c>
      <c r="G256" s="5" t="s">
        <v>2816</v>
      </c>
      <c r="H256" s="5" t="s">
        <v>2817</v>
      </c>
    </row>
    <row r="257" spans="2:8" x14ac:dyDescent="0.3">
      <c r="B257" s="46">
        <v>45827</v>
      </c>
      <c r="C257" s="45">
        <v>45810</v>
      </c>
      <c r="D257" s="5" t="s">
        <v>2811</v>
      </c>
      <c r="E257" s="29" t="s">
        <v>1828</v>
      </c>
      <c r="F257" s="47" t="s">
        <v>6</v>
      </c>
      <c r="G257" s="5" t="s">
        <v>2818</v>
      </c>
      <c r="H257" s="5" t="s">
        <v>2819</v>
      </c>
    </row>
    <row r="258" spans="2:8" x14ac:dyDescent="0.3">
      <c r="B258" s="46">
        <v>45828</v>
      </c>
      <c r="C258" s="45">
        <v>45810</v>
      </c>
      <c r="D258" s="5" t="s">
        <v>2811</v>
      </c>
      <c r="E258" s="29" t="s">
        <v>1828</v>
      </c>
      <c r="F258" s="47" t="s">
        <v>6</v>
      </c>
      <c r="G258" s="5" t="s">
        <v>2814</v>
      </c>
      <c r="H258" s="5" t="s">
        <v>2815</v>
      </c>
    </row>
    <row r="259" spans="2:8" x14ac:dyDescent="0.3">
      <c r="B259" s="46">
        <v>45828</v>
      </c>
      <c r="C259" s="45">
        <v>45810</v>
      </c>
      <c r="D259" s="5" t="s">
        <v>2811</v>
      </c>
      <c r="E259" s="29" t="s">
        <v>1828</v>
      </c>
      <c r="F259" s="47" t="s">
        <v>6</v>
      </c>
      <c r="G259" s="5" t="s">
        <v>2816</v>
      </c>
      <c r="H259" s="5" t="s">
        <v>2817</v>
      </c>
    </row>
    <row r="260" spans="2:8" x14ac:dyDescent="0.3">
      <c r="B260" s="46">
        <v>45828</v>
      </c>
      <c r="C260" s="45">
        <v>45810</v>
      </c>
      <c r="D260" s="5" t="s">
        <v>2811</v>
      </c>
      <c r="E260" s="29" t="s">
        <v>1828</v>
      </c>
      <c r="F260" s="47" t="s">
        <v>6</v>
      </c>
      <c r="G260" s="5" t="s">
        <v>2818</v>
      </c>
      <c r="H260" s="5" t="s">
        <v>2819</v>
      </c>
    </row>
    <row r="261" spans="2:8" x14ac:dyDescent="0.3">
      <c r="B261" s="46">
        <v>45831</v>
      </c>
      <c r="C261" s="45">
        <v>45810</v>
      </c>
      <c r="D261" s="5" t="s">
        <v>2811</v>
      </c>
      <c r="E261" s="29" t="s">
        <v>1828</v>
      </c>
      <c r="F261" s="47" t="s">
        <v>6</v>
      </c>
      <c r="G261" s="5" t="s">
        <v>2856</v>
      </c>
      <c r="H261" s="5" t="s">
        <v>2857</v>
      </c>
    </row>
    <row r="262" spans="2:8" x14ac:dyDescent="0.3">
      <c r="B262" s="46">
        <v>45831</v>
      </c>
      <c r="C262" s="45">
        <v>45810</v>
      </c>
      <c r="D262" s="5" t="s">
        <v>2811</v>
      </c>
      <c r="E262" s="29" t="s">
        <v>1828</v>
      </c>
      <c r="F262" s="47" t="s">
        <v>6</v>
      </c>
      <c r="G262" s="5" t="s">
        <v>2814</v>
      </c>
      <c r="H262" s="5" t="s">
        <v>2815</v>
      </c>
    </row>
    <row r="263" spans="2:8" x14ac:dyDescent="0.3">
      <c r="B263" s="46">
        <v>45831</v>
      </c>
      <c r="C263" s="45">
        <v>45810</v>
      </c>
      <c r="D263" s="5" t="s">
        <v>2811</v>
      </c>
      <c r="E263" s="29" t="s">
        <v>1828</v>
      </c>
      <c r="F263" s="47" t="s">
        <v>6</v>
      </c>
      <c r="G263" s="5" t="s">
        <v>2816</v>
      </c>
      <c r="H263" s="5" t="s">
        <v>2817</v>
      </c>
    </row>
    <row r="264" spans="2:8" x14ac:dyDescent="0.3">
      <c r="B264" s="46">
        <v>45831</v>
      </c>
      <c r="C264" s="45">
        <v>45810</v>
      </c>
      <c r="D264" s="5" t="s">
        <v>2811</v>
      </c>
      <c r="E264" s="29" t="s">
        <v>1828</v>
      </c>
      <c r="F264" s="47" t="s">
        <v>6</v>
      </c>
      <c r="G264" s="5" t="s">
        <v>2818</v>
      </c>
      <c r="H264" s="5" t="s">
        <v>2819</v>
      </c>
    </row>
    <row r="265" spans="2:8" x14ac:dyDescent="0.3">
      <c r="B265" s="46">
        <v>45832</v>
      </c>
      <c r="C265" s="45">
        <v>45810</v>
      </c>
      <c r="D265" s="5" t="s">
        <v>2811</v>
      </c>
      <c r="E265" s="29" t="s">
        <v>1828</v>
      </c>
      <c r="F265" s="47" t="s">
        <v>6</v>
      </c>
      <c r="G265" s="5" t="s">
        <v>2856</v>
      </c>
      <c r="H265" s="5" t="s">
        <v>2857</v>
      </c>
    </row>
    <row r="266" spans="2:8" x14ac:dyDescent="0.3">
      <c r="B266" s="46">
        <v>45832</v>
      </c>
      <c r="C266" s="45">
        <v>45810</v>
      </c>
      <c r="D266" s="5" t="s">
        <v>2811</v>
      </c>
      <c r="E266" s="29" t="s">
        <v>1828</v>
      </c>
      <c r="F266" s="47" t="s">
        <v>6</v>
      </c>
      <c r="G266" s="5" t="s">
        <v>2814</v>
      </c>
      <c r="H266" s="5" t="s">
        <v>2815</v>
      </c>
    </row>
    <row r="267" spans="2:8" x14ac:dyDescent="0.3">
      <c r="B267" s="46">
        <v>45832</v>
      </c>
      <c r="C267" s="45">
        <v>45810</v>
      </c>
      <c r="D267" s="5" t="s">
        <v>2811</v>
      </c>
      <c r="E267" s="29" t="s">
        <v>1828</v>
      </c>
      <c r="F267" s="47" t="s">
        <v>6</v>
      </c>
      <c r="G267" s="5" t="s">
        <v>2816</v>
      </c>
      <c r="H267" s="5" t="s">
        <v>2817</v>
      </c>
    </row>
    <row r="268" spans="2:8" x14ac:dyDescent="0.3">
      <c r="B268" s="46">
        <v>45832</v>
      </c>
      <c r="C268" s="45">
        <v>45810</v>
      </c>
      <c r="D268" s="5" t="s">
        <v>2811</v>
      </c>
      <c r="E268" s="29" t="s">
        <v>1828</v>
      </c>
      <c r="F268" s="47" t="s">
        <v>6</v>
      </c>
      <c r="G268" s="5" t="s">
        <v>2818</v>
      </c>
      <c r="H268" s="5" t="s">
        <v>2819</v>
      </c>
    </row>
    <row r="269" spans="2:8" x14ac:dyDescent="0.3">
      <c r="B269" s="46">
        <v>45832</v>
      </c>
      <c r="C269" s="45">
        <v>45810</v>
      </c>
      <c r="D269" s="5" t="s">
        <v>2811</v>
      </c>
      <c r="E269" s="29" t="s">
        <v>1828</v>
      </c>
      <c r="F269" s="137" t="s">
        <v>325</v>
      </c>
      <c r="G269" s="5" t="s">
        <v>2858</v>
      </c>
      <c r="H269" s="5" t="s">
        <v>2859</v>
      </c>
    </row>
    <row r="270" spans="2:8" x14ac:dyDescent="0.3">
      <c r="B270" s="46">
        <v>45833</v>
      </c>
      <c r="C270" s="45">
        <v>45810</v>
      </c>
      <c r="D270" s="5" t="s">
        <v>2811</v>
      </c>
      <c r="E270" s="29" t="s">
        <v>1828</v>
      </c>
      <c r="F270" s="47" t="s">
        <v>6</v>
      </c>
      <c r="G270" s="5" t="s">
        <v>2856</v>
      </c>
      <c r="H270" s="5" t="s">
        <v>2857</v>
      </c>
    </row>
    <row r="271" spans="2:8" x14ac:dyDescent="0.3">
      <c r="B271" s="46">
        <v>45833</v>
      </c>
      <c r="C271" s="45">
        <v>45810</v>
      </c>
      <c r="D271" s="5" t="s">
        <v>2811</v>
      </c>
      <c r="E271" s="29" t="s">
        <v>1828</v>
      </c>
      <c r="F271" s="47" t="s">
        <v>6</v>
      </c>
      <c r="G271" s="5" t="s">
        <v>2814</v>
      </c>
      <c r="H271" s="5" t="s">
        <v>2815</v>
      </c>
    </row>
    <row r="272" spans="2:8" x14ac:dyDescent="0.3">
      <c r="B272" s="46">
        <v>45833</v>
      </c>
      <c r="C272" s="45">
        <v>45810</v>
      </c>
      <c r="D272" s="5" t="s">
        <v>2811</v>
      </c>
      <c r="E272" s="29" t="s">
        <v>1828</v>
      </c>
      <c r="F272" s="47" t="s">
        <v>6</v>
      </c>
      <c r="G272" s="5" t="s">
        <v>2816</v>
      </c>
      <c r="H272" s="5" t="s">
        <v>2817</v>
      </c>
    </row>
    <row r="273" spans="2:8" x14ac:dyDescent="0.3">
      <c r="B273" s="46">
        <v>45833</v>
      </c>
      <c r="C273" s="45">
        <v>45810</v>
      </c>
      <c r="D273" s="5" t="s">
        <v>2811</v>
      </c>
      <c r="E273" s="29" t="s">
        <v>1828</v>
      </c>
      <c r="F273" s="47" t="s">
        <v>6</v>
      </c>
      <c r="G273" s="5" t="s">
        <v>2818</v>
      </c>
      <c r="H273" s="5" t="s">
        <v>2819</v>
      </c>
    </row>
    <row r="274" spans="2:8" x14ac:dyDescent="0.3">
      <c r="B274" s="46">
        <v>45834</v>
      </c>
      <c r="C274" s="45">
        <v>45810</v>
      </c>
      <c r="D274" s="5" t="s">
        <v>2811</v>
      </c>
      <c r="E274" s="29" t="s">
        <v>1828</v>
      </c>
      <c r="F274" s="47" t="s">
        <v>6</v>
      </c>
      <c r="G274" s="5" t="s">
        <v>2856</v>
      </c>
      <c r="H274" s="5" t="s">
        <v>2857</v>
      </c>
    </row>
    <row r="275" spans="2:8" x14ac:dyDescent="0.3">
      <c r="B275" s="46">
        <v>45834</v>
      </c>
      <c r="C275" s="45">
        <v>45810</v>
      </c>
      <c r="D275" s="5" t="s">
        <v>2811</v>
      </c>
      <c r="E275" s="29" t="s">
        <v>1828</v>
      </c>
      <c r="F275" s="47" t="s">
        <v>6</v>
      </c>
      <c r="G275" s="5" t="s">
        <v>2814</v>
      </c>
      <c r="H275" s="5" t="s">
        <v>2815</v>
      </c>
    </row>
    <row r="276" spans="2:8" x14ac:dyDescent="0.3">
      <c r="B276" s="46">
        <v>45834</v>
      </c>
      <c r="C276" s="45">
        <v>45810</v>
      </c>
      <c r="D276" s="5" t="s">
        <v>2811</v>
      </c>
      <c r="E276" s="29" t="s">
        <v>1828</v>
      </c>
      <c r="F276" s="47" t="s">
        <v>6</v>
      </c>
      <c r="G276" s="5" t="s">
        <v>2816</v>
      </c>
      <c r="H276" s="58" t="s">
        <v>2817</v>
      </c>
    </row>
    <row r="277" spans="2:8" x14ac:dyDescent="0.3">
      <c r="B277" s="46">
        <v>45834</v>
      </c>
      <c r="C277" s="45">
        <v>45810</v>
      </c>
      <c r="D277" s="5" t="s">
        <v>2811</v>
      </c>
      <c r="E277" s="29" t="s">
        <v>1828</v>
      </c>
      <c r="F277" s="137" t="s">
        <v>325</v>
      </c>
      <c r="G277" s="57" t="s">
        <v>2860</v>
      </c>
      <c r="H277" s="55" t="s">
        <v>2861</v>
      </c>
    </row>
    <row r="278" spans="2:8" x14ac:dyDescent="0.3">
      <c r="B278" s="46">
        <v>45834</v>
      </c>
      <c r="C278" s="45">
        <v>45810</v>
      </c>
      <c r="D278" s="5" t="s">
        <v>2811</v>
      </c>
      <c r="E278" s="29" t="s">
        <v>1828</v>
      </c>
      <c r="F278" s="137" t="s">
        <v>325</v>
      </c>
      <c r="G278" s="54" t="s">
        <v>2862</v>
      </c>
      <c r="H278" s="56" t="s">
        <v>2863</v>
      </c>
    </row>
    <row r="279" spans="2:8" x14ac:dyDescent="0.3">
      <c r="B279" s="46">
        <v>45834</v>
      </c>
      <c r="C279" s="45">
        <v>45810</v>
      </c>
      <c r="D279" s="5" t="s">
        <v>2811</v>
      </c>
      <c r="E279" s="29" t="s">
        <v>1828</v>
      </c>
      <c r="F279" s="47" t="s">
        <v>6</v>
      </c>
      <c r="G279" s="5" t="s">
        <v>2818</v>
      </c>
      <c r="H279" s="59" t="s">
        <v>2819</v>
      </c>
    </row>
    <row r="280" spans="2:8" x14ac:dyDescent="0.3">
      <c r="B280" s="46">
        <v>45835</v>
      </c>
      <c r="C280" s="45">
        <v>45810</v>
      </c>
      <c r="D280" s="5" t="s">
        <v>2811</v>
      </c>
      <c r="E280" s="29" t="s">
        <v>1828</v>
      </c>
      <c r="F280" s="47" t="s">
        <v>6</v>
      </c>
      <c r="G280" s="5" t="s">
        <v>2856</v>
      </c>
      <c r="H280" s="5" t="s">
        <v>2857</v>
      </c>
    </row>
    <row r="281" spans="2:8" x14ac:dyDescent="0.3">
      <c r="B281" s="46">
        <v>45835</v>
      </c>
      <c r="C281" s="45">
        <v>45810</v>
      </c>
      <c r="D281" s="5" t="s">
        <v>2811</v>
      </c>
      <c r="E281" s="29" t="s">
        <v>1828</v>
      </c>
      <c r="F281" s="47" t="s">
        <v>6</v>
      </c>
      <c r="G281" s="5" t="s">
        <v>2814</v>
      </c>
      <c r="H281" s="5" t="s">
        <v>2815</v>
      </c>
    </row>
    <row r="282" spans="2:8" x14ac:dyDescent="0.3">
      <c r="B282" s="46">
        <v>45835</v>
      </c>
      <c r="C282" s="45">
        <v>45810</v>
      </c>
      <c r="D282" s="5" t="s">
        <v>2811</v>
      </c>
      <c r="E282" s="29" t="s">
        <v>1828</v>
      </c>
      <c r="F282" s="47" t="s">
        <v>6</v>
      </c>
      <c r="G282" s="5" t="s">
        <v>2816</v>
      </c>
      <c r="H282" s="5" t="s">
        <v>2817</v>
      </c>
    </row>
    <row r="283" spans="2:8" x14ac:dyDescent="0.3">
      <c r="B283" s="46">
        <v>45835</v>
      </c>
      <c r="C283" s="45">
        <v>45810</v>
      </c>
      <c r="D283" s="5" t="s">
        <v>2811</v>
      </c>
      <c r="E283" s="29" t="s">
        <v>1828</v>
      </c>
      <c r="F283" s="47" t="s">
        <v>6</v>
      </c>
      <c r="G283" s="5" t="s">
        <v>2818</v>
      </c>
      <c r="H283" s="5" t="s">
        <v>2819</v>
      </c>
    </row>
    <row r="284" spans="2:8" x14ac:dyDescent="0.3">
      <c r="B284" s="46">
        <v>45838</v>
      </c>
      <c r="C284" s="45">
        <v>45810</v>
      </c>
      <c r="D284" s="5" t="s">
        <v>2811</v>
      </c>
      <c r="E284" s="29" t="s">
        <v>1828</v>
      </c>
      <c r="F284" s="47" t="s">
        <v>6</v>
      </c>
      <c r="G284" s="5" t="s">
        <v>2814</v>
      </c>
      <c r="H284" s="5" t="s">
        <v>2815</v>
      </c>
    </row>
    <row r="285" spans="2:8" x14ac:dyDescent="0.3">
      <c r="B285" s="46">
        <v>45838</v>
      </c>
      <c r="C285" s="45">
        <v>45810</v>
      </c>
      <c r="D285" s="5" t="s">
        <v>2811</v>
      </c>
      <c r="E285" s="29" t="s">
        <v>1828</v>
      </c>
      <c r="F285" s="47" t="s">
        <v>6</v>
      </c>
      <c r="G285" s="5" t="s">
        <v>2816</v>
      </c>
      <c r="H285" s="5" t="s">
        <v>2817</v>
      </c>
    </row>
    <row r="286" spans="2:8" x14ac:dyDescent="0.3">
      <c r="B286" s="46">
        <v>45838</v>
      </c>
      <c r="C286" s="45">
        <v>45810</v>
      </c>
      <c r="D286" s="5" t="s">
        <v>2811</v>
      </c>
      <c r="E286" s="29" t="s">
        <v>1828</v>
      </c>
      <c r="F286" s="47" t="s">
        <v>6</v>
      </c>
      <c r="G286" s="5" t="s">
        <v>2818</v>
      </c>
      <c r="H286" s="5" t="s">
        <v>2819</v>
      </c>
    </row>
    <row r="287" spans="2:8" x14ac:dyDescent="0.3">
      <c r="B287" s="46">
        <v>45839</v>
      </c>
      <c r="C287" s="45">
        <v>45839</v>
      </c>
      <c r="D287" s="5" t="s">
        <v>2811</v>
      </c>
      <c r="E287" s="29" t="s">
        <v>1828</v>
      </c>
      <c r="F287" s="47" t="s">
        <v>6</v>
      </c>
      <c r="G287" s="5" t="s">
        <v>2814</v>
      </c>
      <c r="H287" s="5" t="s">
        <v>2815</v>
      </c>
    </row>
    <row r="288" spans="2:8" x14ac:dyDescent="0.3">
      <c r="B288" s="46">
        <v>45839</v>
      </c>
      <c r="C288" s="45">
        <v>45839</v>
      </c>
      <c r="D288" s="5" t="s">
        <v>2811</v>
      </c>
      <c r="E288" s="29" t="s">
        <v>1828</v>
      </c>
      <c r="F288" s="47" t="s">
        <v>6</v>
      </c>
      <c r="G288" s="5" t="s">
        <v>2816</v>
      </c>
      <c r="H288" s="5" t="s">
        <v>2817</v>
      </c>
    </row>
    <row r="289" spans="2:8" x14ac:dyDescent="0.3">
      <c r="B289" s="46">
        <v>45839</v>
      </c>
      <c r="C289" s="45">
        <v>45839</v>
      </c>
      <c r="D289" s="5" t="s">
        <v>2811</v>
      </c>
      <c r="E289" s="29" t="s">
        <v>1828</v>
      </c>
      <c r="F289" s="47" t="s">
        <v>6</v>
      </c>
      <c r="G289" s="5" t="s">
        <v>2818</v>
      </c>
      <c r="H289" s="5" t="s">
        <v>2819</v>
      </c>
    </row>
    <row r="290" spans="2:8" x14ac:dyDescent="0.3">
      <c r="B290" s="46">
        <v>45840</v>
      </c>
      <c r="C290" s="45">
        <v>45839</v>
      </c>
      <c r="D290" s="5" t="s">
        <v>2811</v>
      </c>
      <c r="E290" s="29" t="s">
        <v>1828</v>
      </c>
      <c r="F290" s="47" t="s">
        <v>6</v>
      </c>
      <c r="G290" s="5" t="s">
        <v>2814</v>
      </c>
      <c r="H290" s="5" t="s">
        <v>2815</v>
      </c>
    </row>
    <row r="291" spans="2:8" x14ac:dyDescent="0.3">
      <c r="B291" s="46">
        <v>45840</v>
      </c>
      <c r="C291" s="45">
        <v>45839</v>
      </c>
      <c r="D291" s="5" t="s">
        <v>2811</v>
      </c>
      <c r="E291" s="29" t="s">
        <v>1828</v>
      </c>
      <c r="F291" s="47" t="s">
        <v>6</v>
      </c>
      <c r="G291" s="5" t="s">
        <v>2816</v>
      </c>
      <c r="H291" s="5" t="s">
        <v>2817</v>
      </c>
    </row>
    <row r="292" spans="2:8" x14ac:dyDescent="0.3">
      <c r="B292" s="46">
        <v>45840</v>
      </c>
      <c r="C292" s="45">
        <v>45839</v>
      </c>
      <c r="D292" s="5" t="s">
        <v>2811</v>
      </c>
      <c r="E292" s="29" t="s">
        <v>1828</v>
      </c>
      <c r="F292" s="47" t="s">
        <v>6</v>
      </c>
      <c r="G292" s="5" t="s">
        <v>2818</v>
      </c>
      <c r="H292" s="5" t="s">
        <v>2819</v>
      </c>
    </row>
    <row r="293" spans="2:8" x14ac:dyDescent="0.3">
      <c r="B293" s="46">
        <v>45841</v>
      </c>
      <c r="C293" s="45">
        <v>45839</v>
      </c>
      <c r="D293" s="5" t="s">
        <v>2811</v>
      </c>
      <c r="E293" s="29" t="s">
        <v>1828</v>
      </c>
      <c r="F293" s="47" t="s">
        <v>6</v>
      </c>
      <c r="G293" s="5" t="s">
        <v>2814</v>
      </c>
      <c r="H293" s="5" t="s">
        <v>2815</v>
      </c>
    </row>
    <row r="294" spans="2:8" x14ac:dyDescent="0.3">
      <c r="B294" s="46">
        <v>45841</v>
      </c>
      <c r="C294" s="45">
        <v>45839</v>
      </c>
      <c r="D294" s="5" t="s">
        <v>2811</v>
      </c>
      <c r="E294" s="29" t="s">
        <v>1828</v>
      </c>
      <c r="F294" s="47" t="s">
        <v>6</v>
      </c>
      <c r="G294" s="5" t="s">
        <v>2816</v>
      </c>
      <c r="H294" s="5" t="s">
        <v>2817</v>
      </c>
    </row>
    <row r="295" spans="2:8" x14ac:dyDescent="0.3">
      <c r="B295" s="46">
        <v>45841</v>
      </c>
      <c r="C295" s="45">
        <v>45839</v>
      </c>
      <c r="D295" s="5" t="s">
        <v>2811</v>
      </c>
      <c r="E295" s="29" t="s">
        <v>1828</v>
      </c>
      <c r="F295" s="47" t="s">
        <v>6</v>
      </c>
      <c r="G295" s="5" t="s">
        <v>2818</v>
      </c>
      <c r="H295" s="5" t="s">
        <v>2819</v>
      </c>
    </row>
    <row r="296" spans="2:8" x14ac:dyDescent="0.3">
      <c r="B296" s="46">
        <v>45842</v>
      </c>
      <c r="C296" s="45">
        <v>45839</v>
      </c>
      <c r="D296" s="5" t="s">
        <v>2811</v>
      </c>
      <c r="E296" s="29" t="s">
        <v>1828</v>
      </c>
      <c r="F296" s="47" t="s">
        <v>6</v>
      </c>
      <c r="G296" s="5" t="s">
        <v>2814</v>
      </c>
      <c r="H296" s="5" t="s">
        <v>2815</v>
      </c>
    </row>
    <row r="297" spans="2:8" x14ac:dyDescent="0.3">
      <c r="B297" s="46">
        <v>45842</v>
      </c>
      <c r="C297" s="45">
        <v>45839</v>
      </c>
      <c r="D297" s="5" t="s">
        <v>2811</v>
      </c>
      <c r="E297" s="29" t="s">
        <v>1828</v>
      </c>
      <c r="F297" s="47" t="s">
        <v>6</v>
      </c>
      <c r="G297" s="5" t="s">
        <v>2816</v>
      </c>
      <c r="H297" s="5" t="s">
        <v>2817</v>
      </c>
    </row>
    <row r="298" spans="2:8" x14ac:dyDescent="0.3">
      <c r="B298" s="46">
        <v>45842</v>
      </c>
      <c r="C298" s="45">
        <v>45839</v>
      </c>
      <c r="D298" s="5" t="s">
        <v>2811</v>
      </c>
      <c r="E298" s="29" t="s">
        <v>1828</v>
      </c>
      <c r="F298" s="47" t="s">
        <v>6</v>
      </c>
      <c r="G298" s="5" t="s">
        <v>2818</v>
      </c>
      <c r="H298" s="5" t="s">
        <v>2819</v>
      </c>
    </row>
    <row r="299" spans="2:8" x14ac:dyDescent="0.3">
      <c r="B299" s="46">
        <v>45845</v>
      </c>
      <c r="C299" s="45">
        <v>45839</v>
      </c>
      <c r="D299" s="5" t="s">
        <v>2811</v>
      </c>
      <c r="E299" s="29" t="s">
        <v>1828</v>
      </c>
      <c r="F299" s="47" t="s">
        <v>6</v>
      </c>
      <c r="G299" s="5" t="s">
        <v>2814</v>
      </c>
      <c r="H299" s="5" t="s">
        <v>2815</v>
      </c>
    </row>
    <row r="300" spans="2:8" x14ac:dyDescent="0.3">
      <c r="B300" s="46">
        <v>45845</v>
      </c>
      <c r="C300" s="45">
        <v>45839</v>
      </c>
      <c r="D300" s="5" t="s">
        <v>2811</v>
      </c>
      <c r="E300" s="29" t="s">
        <v>1828</v>
      </c>
      <c r="F300" s="47" t="s">
        <v>6</v>
      </c>
      <c r="G300" s="5" t="s">
        <v>2816</v>
      </c>
      <c r="H300" s="5" t="s">
        <v>2817</v>
      </c>
    </row>
    <row r="301" spans="2:8" x14ac:dyDescent="0.3">
      <c r="B301" s="46">
        <v>45845</v>
      </c>
      <c r="C301" s="45">
        <v>45839</v>
      </c>
      <c r="D301" s="5" t="s">
        <v>2811</v>
      </c>
      <c r="E301" s="29" t="s">
        <v>1828</v>
      </c>
      <c r="F301" s="47" t="s">
        <v>6</v>
      </c>
      <c r="G301" s="5" t="s">
        <v>2818</v>
      </c>
      <c r="H301" s="5" t="s">
        <v>2819</v>
      </c>
    </row>
    <row r="302" spans="2:8" x14ac:dyDescent="0.3">
      <c r="B302" s="46">
        <v>45846</v>
      </c>
      <c r="C302" s="45">
        <v>45839</v>
      </c>
      <c r="D302" s="5" t="s">
        <v>2811</v>
      </c>
      <c r="E302" s="29" t="s">
        <v>1828</v>
      </c>
      <c r="F302" s="47" t="s">
        <v>6</v>
      </c>
      <c r="G302" s="5" t="s">
        <v>2814</v>
      </c>
      <c r="H302" s="5" t="s">
        <v>2815</v>
      </c>
    </row>
    <row r="303" spans="2:8" x14ac:dyDescent="0.3">
      <c r="B303" s="46">
        <v>45846</v>
      </c>
      <c r="C303" s="45">
        <v>45839</v>
      </c>
      <c r="D303" s="5" t="s">
        <v>2811</v>
      </c>
      <c r="E303" s="29" t="s">
        <v>1828</v>
      </c>
      <c r="F303" s="47" t="s">
        <v>6</v>
      </c>
      <c r="G303" s="5" t="s">
        <v>2816</v>
      </c>
      <c r="H303" s="5" t="s">
        <v>2817</v>
      </c>
    </row>
    <row r="304" spans="2:8" x14ac:dyDescent="0.3">
      <c r="B304" s="46">
        <v>45846</v>
      </c>
      <c r="C304" s="45">
        <v>45839</v>
      </c>
      <c r="D304" s="5" t="s">
        <v>2811</v>
      </c>
      <c r="E304" s="29" t="s">
        <v>1828</v>
      </c>
      <c r="F304" s="47" t="s">
        <v>6</v>
      </c>
      <c r="G304" s="5" t="s">
        <v>2818</v>
      </c>
      <c r="H304" s="5" t="s">
        <v>2819</v>
      </c>
    </row>
    <row r="305" spans="2:8" x14ac:dyDescent="0.3">
      <c r="B305" s="46">
        <v>45847</v>
      </c>
      <c r="C305" s="45">
        <v>45839</v>
      </c>
      <c r="D305" s="5" t="s">
        <v>2811</v>
      </c>
      <c r="E305" s="29" t="s">
        <v>1828</v>
      </c>
      <c r="F305" s="47" t="s">
        <v>6</v>
      </c>
      <c r="G305" s="5" t="s">
        <v>2814</v>
      </c>
      <c r="H305" s="5" t="s">
        <v>2815</v>
      </c>
    </row>
    <row r="306" spans="2:8" x14ac:dyDescent="0.3">
      <c r="B306" s="46">
        <v>45847</v>
      </c>
      <c r="C306" s="45">
        <v>45839</v>
      </c>
      <c r="D306" s="5" t="s">
        <v>2811</v>
      </c>
      <c r="E306" s="29" t="s">
        <v>1828</v>
      </c>
      <c r="F306" s="47" t="s">
        <v>6</v>
      </c>
      <c r="G306" s="5" t="s">
        <v>2816</v>
      </c>
      <c r="H306" s="5" t="s">
        <v>2817</v>
      </c>
    </row>
    <row r="307" spans="2:8" x14ac:dyDescent="0.3">
      <c r="B307" s="46">
        <v>45847</v>
      </c>
      <c r="C307" s="45">
        <v>45839</v>
      </c>
      <c r="D307" s="5" t="s">
        <v>2811</v>
      </c>
      <c r="E307" s="29" t="s">
        <v>1828</v>
      </c>
      <c r="F307" s="47" t="s">
        <v>6</v>
      </c>
      <c r="G307" s="5" t="s">
        <v>2818</v>
      </c>
      <c r="H307" s="5" t="s">
        <v>2819</v>
      </c>
    </row>
    <row r="308" spans="2:8" x14ac:dyDescent="0.3">
      <c r="B308" s="46">
        <v>45848</v>
      </c>
      <c r="C308" s="45">
        <v>45839</v>
      </c>
      <c r="D308" s="5" t="s">
        <v>2811</v>
      </c>
      <c r="E308" s="29" t="s">
        <v>1828</v>
      </c>
      <c r="F308" s="47" t="s">
        <v>6</v>
      </c>
      <c r="G308" s="5" t="s">
        <v>2814</v>
      </c>
      <c r="H308" s="5" t="s">
        <v>2815</v>
      </c>
    </row>
    <row r="309" spans="2:8" x14ac:dyDescent="0.3">
      <c r="B309" s="46">
        <v>45848</v>
      </c>
      <c r="C309" s="45">
        <v>45839</v>
      </c>
      <c r="D309" s="5" t="s">
        <v>2811</v>
      </c>
      <c r="E309" s="29" t="s">
        <v>1828</v>
      </c>
      <c r="F309" s="47" t="s">
        <v>6</v>
      </c>
      <c r="G309" s="5" t="s">
        <v>2816</v>
      </c>
      <c r="H309" s="5" t="s">
        <v>2817</v>
      </c>
    </row>
    <row r="310" spans="2:8" x14ac:dyDescent="0.3">
      <c r="B310" s="46">
        <v>45848</v>
      </c>
      <c r="C310" s="45">
        <v>45839</v>
      </c>
      <c r="D310" s="5" t="s">
        <v>2811</v>
      </c>
      <c r="E310" s="29" t="s">
        <v>1828</v>
      </c>
      <c r="F310" s="47" t="s">
        <v>6</v>
      </c>
      <c r="G310" s="5" t="s">
        <v>2818</v>
      </c>
      <c r="H310" s="5" t="s">
        <v>2819</v>
      </c>
    </row>
    <row r="311" spans="2:8" x14ac:dyDescent="0.3">
      <c r="B311" s="46">
        <v>45849</v>
      </c>
      <c r="C311" s="45">
        <v>45839</v>
      </c>
      <c r="D311" s="5" t="s">
        <v>2811</v>
      </c>
      <c r="E311" s="29" t="s">
        <v>1828</v>
      </c>
      <c r="F311" s="47" t="s">
        <v>6</v>
      </c>
      <c r="G311" s="5" t="s">
        <v>2814</v>
      </c>
      <c r="H311" s="5" t="s">
        <v>2815</v>
      </c>
    </row>
    <row r="312" spans="2:8" x14ac:dyDescent="0.3">
      <c r="B312" s="46">
        <v>45849</v>
      </c>
      <c r="C312" s="45">
        <v>45839</v>
      </c>
      <c r="D312" s="5" t="s">
        <v>2811</v>
      </c>
      <c r="E312" s="29" t="s">
        <v>1828</v>
      </c>
      <c r="F312" s="47" t="s">
        <v>6</v>
      </c>
      <c r="G312" s="5" t="s">
        <v>2816</v>
      </c>
      <c r="H312" s="5" t="s">
        <v>2817</v>
      </c>
    </row>
    <row r="313" spans="2:8" x14ac:dyDescent="0.3">
      <c r="B313" s="46">
        <v>45849</v>
      </c>
      <c r="C313" s="45">
        <v>45839</v>
      </c>
      <c r="D313" s="5" t="s">
        <v>2811</v>
      </c>
      <c r="E313" s="29" t="s">
        <v>1828</v>
      </c>
      <c r="F313" s="47" t="s">
        <v>6</v>
      </c>
      <c r="G313" s="5" t="s">
        <v>2818</v>
      </c>
      <c r="H313" s="5" t="s">
        <v>2819</v>
      </c>
    </row>
    <row r="314" spans="2:8" x14ac:dyDescent="0.3">
      <c r="B314" s="46">
        <v>45852</v>
      </c>
      <c r="C314" s="45">
        <v>45839</v>
      </c>
      <c r="D314" s="5" t="s">
        <v>2811</v>
      </c>
      <c r="E314" s="29" t="s">
        <v>1828</v>
      </c>
      <c r="F314" s="47" t="s">
        <v>6</v>
      </c>
      <c r="G314" s="5" t="s">
        <v>2814</v>
      </c>
      <c r="H314" s="5" t="s">
        <v>2815</v>
      </c>
    </row>
    <row r="315" spans="2:8" x14ac:dyDescent="0.3">
      <c r="B315" s="46">
        <v>45852</v>
      </c>
      <c r="C315" s="45">
        <v>45839</v>
      </c>
      <c r="D315" s="5" t="s">
        <v>2811</v>
      </c>
      <c r="E315" s="29" t="s">
        <v>1828</v>
      </c>
      <c r="F315" s="47" t="s">
        <v>6</v>
      </c>
      <c r="G315" s="5" t="s">
        <v>2856</v>
      </c>
      <c r="H315" s="5" t="s">
        <v>2857</v>
      </c>
    </row>
    <row r="316" spans="2:8" x14ac:dyDescent="0.3">
      <c r="B316" s="46">
        <v>45852</v>
      </c>
      <c r="C316" s="45">
        <v>45839</v>
      </c>
      <c r="D316" s="5" t="s">
        <v>2811</v>
      </c>
      <c r="E316" s="29" t="s">
        <v>1828</v>
      </c>
      <c r="F316" s="47" t="s">
        <v>6</v>
      </c>
      <c r="G316" s="5" t="s">
        <v>2816</v>
      </c>
      <c r="H316" s="5" t="s">
        <v>2817</v>
      </c>
    </row>
    <row r="317" spans="2:8" x14ac:dyDescent="0.3">
      <c r="B317" s="46">
        <v>45852</v>
      </c>
      <c r="C317" s="45">
        <v>45839</v>
      </c>
      <c r="D317" s="5" t="s">
        <v>2811</v>
      </c>
      <c r="E317" s="29" t="s">
        <v>1828</v>
      </c>
      <c r="F317" s="47" t="s">
        <v>6</v>
      </c>
      <c r="G317" s="5" t="s">
        <v>2818</v>
      </c>
      <c r="H317" s="5" t="s">
        <v>2819</v>
      </c>
    </row>
    <row r="318" spans="2:8" x14ac:dyDescent="0.3">
      <c r="B318" s="46">
        <v>45853</v>
      </c>
      <c r="C318" s="45">
        <v>45839</v>
      </c>
      <c r="D318" s="5" t="s">
        <v>2811</v>
      </c>
      <c r="E318" s="29" t="s">
        <v>1828</v>
      </c>
      <c r="F318" s="47" t="s">
        <v>6</v>
      </c>
      <c r="G318" s="5" t="s">
        <v>2814</v>
      </c>
      <c r="H318" s="5" t="s">
        <v>2815</v>
      </c>
    </row>
    <row r="319" spans="2:8" x14ac:dyDescent="0.3">
      <c r="B319" s="46">
        <v>45853</v>
      </c>
      <c r="C319" s="45">
        <v>45839</v>
      </c>
      <c r="D319" s="5" t="s">
        <v>2811</v>
      </c>
      <c r="E319" s="29" t="s">
        <v>1828</v>
      </c>
      <c r="F319" s="47" t="s">
        <v>6</v>
      </c>
      <c r="G319" s="5" t="s">
        <v>2856</v>
      </c>
      <c r="H319" s="5" t="s">
        <v>2857</v>
      </c>
    </row>
    <row r="320" spans="2:8" x14ac:dyDescent="0.3">
      <c r="B320" s="46">
        <v>45853</v>
      </c>
      <c r="C320" s="45">
        <v>45839</v>
      </c>
      <c r="D320" s="5" t="s">
        <v>2811</v>
      </c>
      <c r="E320" s="29" t="s">
        <v>1828</v>
      </c>
      <c r="F320" s="47" t="s">
        <v>6</v>
      </c>
      <c r="G320" s="5" t="s">
        <v>2816</v>
      </c>
      <c r="H320" s="5" t="s">
        <v>2817</v>
      </c>
    </row>
    <row r="321" spans="2:8" x14ac:dyDescent="0.3">
      <c r="B321" s="46">
        <v>45853</v>
      </c>
      <c r="C321" s="45">
        <v>45839</v>
      </c>
      <c r="D321" s="5" t="s">
        <v>2811</v>
      </c>
      <c r="E321" s="29" t="s">
        <v>1828</v>
      </c>
      <c r="F321" s="47" t="s">
        <v>6</v>
      </c>
      <c r="G321" s="5" t="s">
        <v>2818</v>
      </c>
      <c r="H321" s="5" t="s">
        <v>2819</v>
      </c>
    </row>
    <row r="322" spans="2:8" x14ac:dyDescent="0.3">
      <c r="B322" s="46">
        <v>45854</v>
      </c>
      <c r="C322" s="45">
        <v>45839</v>
      </c>
      <c r="D322" s="5" t="s">
        <v>2811</v>
      </c>
      <c r="E322" s="29" t="s">
        <v>1828</v>
      </c>
      <c r="F322" s="47" t="s">
        <v>6</v>
      </c>
      <c r="G322" s="5" t="s">
        <v>2856</v>
      </c>
      <c r="H322" s="5" t="s">
        <v>2857</v>
      </c>
    </row>
    <row r="323" spans="2:8" x14ac:dyDescent="0.3">
      <c r="B323" s="46">
        <v>45854</v>
      </c>
      <c r="C323" s="45">
        <v>45839</v>
      </c>
      <c r="D323" s="5" t="s">
        <v>2811</v>
      </c>
      <c r="E323" s="29" t="s">
        <v>1828</v>
      </c>
      <c r="F323" s="47" t="s">
        <v>6</v>
      </c>
      <c r="G323" s="5" t="s">
        <v>2814</v>
      </c>
      <c r="H323" s="5" t="s">
        <v>2815</v>
      </c>
    </row>
    <row r="324" spans="2:8" x14ac:dyDescent="0.3">
      <c r="B324" s="46">
        <v>45854</v>
      </c>
      <c r="C324" s="45">
        <v>45839</v>
      </c>
      <c r="D324" s="5" t="s">
        <v>2811</v>
      </c>
      <c r="E324" s="29" t="s">
        <v>1828</v>
      </c>
      <c r="F324" s="47" t="s">
        <v>6</v>
      </c>
      <c r="G324" s="5" t="s">
        <v>2816</v>
      </c>
      <c r="H324" s="5" t="s">
        <v>2817</v>
      </c>
    </row>
    <row r="325" spans="2:8" x14ac:dyDescent="0.3">
      <c r="B325" s="46">
        <v>45854</v>
      </c>
      <c r="C325" s="45">
        <v>45839</v>
      </c>
      <c r="D325" s="5" t="s">
        <v>2811</v>
      </c>
      <c r="E325" s="29" t="s">
        <v>1828</v>
      </c>
      <c r="F325" s="47" t="s">
        <v>6</v>
      </c>
      <c r="G325" s="5" t="s">
        <v>2818</v>
      </c>
      <c r="H325" s="5" t="s">
        <v>2819</v>
      </c>
    </row>
    <row r="326" spans="2:8" x14ac:dyDescent="0.3">
      <c r="B326" s="46">
        <v>45855</v>
      </c>
      <c r="C326" s="45">
        <v>45839</v>
      </c>
      <c r="D326" s="5" t="s">
        <v>2811</v>
      </c>
      <c r="E326" s="29" t="s">
        <v>1828</v>
      </c>
      <c r="F326" s="47" t="s">
        <v>6</v>
      </c>
      <c r="G326" s="5" t="s">
        <v>2856</v>
      </c>
      <c r="H326" s="5" t="s">
        <v>2857</v>
      </c>
    </row>
    <row r="327" spans="2:8" x14ac:dyDescent="0.3">
      <c r="B327" s="46">
        <v>45855</v>
      </c>
      <c r="C327" s="45">
        <v>45839</v>
      </c>
      <c r="D327" s="5" t="s">
        <v>2811</v>
      </c>
      <c r="E327" s="29" t="s">
        <v>1828</v>
      </c>
      <c r="F327" s="47" t="s">
        <v>6</v>
      </c>
      <c r="G327" s="5" t="s">
        <v>2814</v>
      </c>
      <c r="H327" s="5" t="s">
        <v>2815</v>
      </c>
    </row>
    <row r="328" spans="2:8" x14ac:dyDescent="0.3">
      <c r="B328" s="46">
        <v>45855</v>
      </c>
      <c r="C328" s="45">
        <v>45839</v>
      </c>
      <c r="D328" s="5" t="s">
        <v>2811</v>
      </c>
      <c r="E328" s="29" t="s">
        <v>1828</v>
      </c>
      <c r="F328" s="47" t="s">
        <v>6</v>
      </c>
      <c r="G328" s="5" t="s">
        <v>2816</v>
      </c>
      <c r="H328" s="5" t="s">
        <v>2817</v>
      </c>
    </row>
    <row r="329" spans="2:8" x14ac:dyDescent="0.3">
      <c r="B329" s="46">
        <v>45855</v>
      </c>
      <c r="C329" s="45">
        <v>45839</v>
      </c>
      <c r="D329" s="5" t="s">
        <v>2811</v>
      </c>
      <c r="E329" s="29" t="s">
        <v>1828</v>
      </c>
      <c r="F329" s="47" t="s">
        <v>6</v>
      </c>
      <c r="G329" s="5" t="s">
        <v>2818</v>
      </c>
      <c r="H329" s="5" t="s">
        <v>2819</v>
      </c>
    </row>
    <row r="330" spans="2:8" x14ac:dyDescent="0.3">
      <c r="B330" s="46">
        <v>45856</v>
      </c>
      <c r="C330" s="45">
        <v>45839</v>
      </c>
      <c r="D330" s="5" t="s">
        <v>2811</v>
      </c>
      <c r="E330" s="29" t="s">
        <v>1828</v>
      </c>
      <c r="F330" s="47" t="s">
        <v>6</v>
      </c>
      <c r="G330" s="5" t="s">
        <v>2856</v>
      </c>
      <c r="H330" s="5" t="s">
        <v>2857</v>
      </c>
    </row>
    <row r="331" spans="2:8" x14ac:dyDescent="0.3">
      <c r="B331" s="46">
        <v>45856</v>
      </c>
      <c r="C331" s="45">
        <v>45839</v>
      </c>
      <c r="D331" s="5" t="s">
        <v>2811</v>
      </c>
      <c r="E331" s="29" t="s">
        <v>1828</v>
      </c>
      <c r="F331" s="47" t="s">
        <v>6</v>
      </c>
      <c r="G331" s="5" t="s">
        <v>2814</v>
      </c>
      <c r="H331" s="5" t="s">
        <v>2815</v>
      </c>
    </row>
    <row r="332" spans="2:8" x14ac:dyDescent="0.3">
      <c r="B332" s="46">
        <v>45856</v>
      </c>
      <c r="C332" s="45">
        <v>45839</v>
      </c>
      <c r="D332" s="5" t="s">
        <v>2811</v>
      </c>
      <c r="E332" s="29" t="s">
        <v>1828</v>
      </c>
      <c r="F332" s="47" t="s">
        <v>6</v>
      </c>
      <c r="G332" s="5" t="s">
        <v>2816</v>
      </c>
      <c r="H332" s="5" t="s">
        <v>2817</v>
      </c>
    </row>
    <row r="333" spans="2:8" x14ac:dyDescent="0.3">
      <c r="B333" s="46">
        <v>45856</v>
      </c>
      <c r="C333" s="45">
        <v>45839</v>
      </c>
      <c r="D333" s="5" t="s">
        <v>2811</v>
      </c>
      <c r="E333" s="29" t="s">
        <v>1828</v>
      </c>
      <c r="F333" s="47" t="s">
        <v>6</v>
      </c>
      <c r="G333" s="5" t="s">
        <v>2818</v>
      </c>
      <c r="H333" s="5" t="s">
        <v>2819</v>
      </c>
    </row>
    <row r="334" spans="2:8" x14ac:dyDescent="0.3">
      <c r="B334" s="46">
        <v>45856</v>
      </c>
      <c r="C334" s="45">
        <v>45839</v>
      </c>
      <c r="D334" s="5" t="s">
        <v>2811</v>
      </c>
      <c r="E334" s="29" t="s">
        <v>1828</v>
      </c>
      <c r="F334" s="137" t="s">
        <v>325</v>
      </c>
      <c r="G334" s="5" t="s">
        <v>2864</v>
      </c>
      <c r="H334" s="5" t="s">
        <v>2865</v>
      </c>
    </row>
    <row r="335" spans="2:8" x14ac:dyDescent="0.3">
      <c r="B335" s="46">
        <v>45857</v>
      </c>
      <c r="C335" s="45">
        <v>45839</v>
      </c>
      <c r="D335" s="5" t="s">
        <v>2811</v>
      </c>
      <c r="E335" s="29" t="s">
        <v>1828</v>
      </c>
      <c r="F335" s="137" t="s">
        <v>325</v>
      </c>
      <c r="G335" s="5" t="s">
        <v>2866</v>
      </c>
      <c r="H335" s="5" t="s">
        <v>2867</v>
      </c>
    </row>
    <row r="336" spans="2:8" x14ac:dyDescent="0.3">
      <c r="B336" s="46">
        <v>45857</v>
      </c>
      <c r="C336" s="45">
        <v>45839</v>
      </c>
      <c r="D336" s="5" t="s">
        <v>2811</v>
      </c>
      <c r="E336" s="29" t="s">
        <v>1828</v>
      </c>
      <c r="F336" s="137" t="s">
        <v>325</v>
      </c>
      <c r="G336" s="5" t="s">
        <v>2868</v>
      </c>
      <c r="H336" s="5" t="s">
        <v>2869</v>
      </c>
    </row>
    <row r="337" spans="2:8" x14ac:dyDescent="0.3">
      <c r="B337" s="46">
        <v>45859</v>
      </c>
      <c r="C337" s="45">
        <v>45839</v>
      </c>
      <c r="D337" s="5" t="s">
        <v>2811</v>
      </c>
      <c r="E337" s="29" t="s">
        <v>1828</v>
      </c>
      <c r="F337" s="47" t="s">
        <v>6</v>
      </c>
      <c r="G337" s="5" t="s">
        <v>2814</v>
      </c>
      <c r="H337" s="5" t="s">
        <v>2815</v>
      </c>
    </row>
    <row r="338" spans="2:8" x14ac:dyDescent="0.3">
      <c r="B338" s="46">
        <v>45859</v>
      </c>
      <c r="C338" s="45">
        <v>45839</v>
      </c>
      <c r="D338" s="5" t="s">
        <v>2811</v>
      </c>
      <c r="E338" s="29" t="s">
        <v>1828</v>
      </c>
      <c r="F338" s="47" t="s">
        <v>6</v>
      </c>
      <c r="G338" s="5" t="s">
        <v>2816</v>
      </c>
      <c r="H338" s="5" t="s">
        <v>2817</v>
      </c>
    </row>
    <row r="339" spans="2:8" x14ac:dyDescent="0.3">
      <c r="B339" s="46">
        <v>45859</v>
      </c>
      <c r="C339" s="45">
        <v>45839</v>
      </c>
      <c r="D339" s="5" t="s">
        <v>2811</v>
      </c>
      <c r="E339" s="29" t="s">
        <v>1828</v>
      </c>
      <c r="F339" s="47" t="s">
        <v>6</v>
      </c>
      <c r="G339" s="5" t="s">
        <v>2818</v>
      </c>
      <c r="H339" s="5" t="s">
        <v>2819</v>
      </c>
    </row>
    <row r="340" spans="2:8" x14ac:dyDescent="0.3">
      <c r="B340" s="46">
        <v>45860</v>
      </c>
      <c r="C340" s="45">
        <v>45839</v>
      </c>
      <c r="D340" s="5" t="s">
        <v>2811</v>
      </c>
      <c r="E340" s="29" t="s">
        <v>1828</v>
      </c>
      <c r="F340" s="47" t="s">
        <v>6</v>
      </c>
      <c r="G340" s="5" t="s">
        <v>2814</v>
      </c>
      <c r="H340" s="5" t="s">
        <v>2815</v>
      </c>
    </row>
    <row r="341" spans="2:8" x14ac:dyDescent="0.3">
      <c r="B341" s="46">
        <v>45860</v>
      </c>
      <c r="C341" s="45">
        <v>45839</v>
      </c>
      <c r="D341" s="5" t="s">
        <v>2811</v>
      </c>
      <c r="E341" s="29" t="s">
        <v>1828</v>
      </c>
      <c r="F341" s="47" t="s">
        <v>6</v>
      </c>
      <c r="G341" s="5" t="s">
        <v>2816</v>
      </c>
      <c r="H341" s="5" t="s">
        <v>2817</v>
      </c>
    </row>
    <row r="342" spans="2:8" x14ac:dyDescent="0.3">
      <c r="B342" s="46">
        <v>45860</v>
      </c>
      <c r="C342" s="45">
        <v>45839</v>
      </c>
      <c r="D342" s="5" t="s">
        <v>2811</v>
      </c>
      <c r="E342" s="29" t="s">
        <v>1828</v>
      </c>
      <c r="F342" s="47" t="s">
        <v>6</v>
      </c>
      <c r="G342" s="5" t="s">
        <v>2818</v>
      </c>
      <c r="H342" s="5" t="s">
        <v>2819</v>
      </c>
    </row>
    <row r="343" spans="2:8" x14ac:dyDescent="0.3">
      <c r="B343" s="46">
        <v>45861</v>
      </c>
      <c r="C343" s="45">
        <v>45839</v>
      </c>
      <c r="D343" s="5" t="s">
        <v>2811</v>
      </c>
      <c r="E343" s="29" t="s">
        <v>1828</v>
      </c>
      <c r="F343" s="47" t="s">
        <v>6</v>
      </c>
      <c r="G343" s="5" t="s">
        <v>2814</v>
      </c>
      <c r="H343" s="5" t="s">
        <v>2815</v>
      </c>
    </row>
    <row r="344" spans="2:8" x14ac:dyDescent="0.3">
      <c r="B344" s="46">
        <v>45861</v>
      </c>
      <c r="C344" s="45">
        <v>45839</v>
      </c>
      <c r="D344" s="5" t="s">
        <v>2811</v>
      </c>
      <c r="E344" s="29" t="s">
        <v>1828</v>
      </c>
      <c r="F344" s="47" t="s">
        <v>6</v>
      </c>
      <c r="G344" s="5" t="s">
        <v>2816</v>
      </c>
      <c r="H344" s="5" t="s">
        <v>2817</v>
      </c>
    </row>
    <row r="345" spans="2:8" x14ac:dyDescent="0.3">
      <c r="B345" s="46">
        <v>45861</v>
      </c>
      <c r="C345" s="45">
        <v>45839</v>
      </c>
      <c r="D345" s="5" t="s">
        <v>2811</v>
      </c>
      <c r="E345" s="29" t="s">
        <v>1828</v>
      </c>
      <c r="F345" s="47" t="s">
        <v>6</v>
      </c>
      <c r="G345" s="5" t="s">
        <v>2818</v>
      </c>
      <c r="H345" s="5" t="s">
        <v>2819</v>
      </c>
    </row>
    <row r="346" spans="2:8" x14ac:dyDescent="0.3">
      <c r="B346" s="46">
        <v>45862</v>
      </c>
      <c r="C346" s="45">
        <v>45839</v>
      </c>
      <c r="D346" s="5" t="s">
        <v>2811</v>
      </c>
      <c r="E346" s="29" t="s">
        <v>1828</v>
      </c>
      <c r="F346" s="47" t="s">
        <v>6</v>
      </c>
      <c r="G346" s="5" t="s">
        <v>2814</v>
      </c>
      <c r="H346" s="5" t="s">
        <v>2815</v>
      </c>
    </row>
    <row r="347" spans="2:8" x14ac:dyDescent="0.3">
      <c r="B347" s="46">
        <v>45862</v>
      </c>
      <c r="C347" s="45">
        <v>45839</v>
      </c>
      <c r="D347" s="5" t="s">
        <v>2811</v>
      </c>
      <c r="E347" s="29" t="s">
        <v>1828</v>
      </c>
      <c r="F347" s="47" t="s">
        <v>6</v>
      </c>
      <c r="G347" s="5" t="s">
        <v>2816</v>
      </c>
      <c r="H347" s="5" t="s">
        <v>2817</v>
      </c>
    </row>
    <row r="348" spans="2:8" x14ac:dyDescent="0.3">
      <c r="B348" s="46">
        <v>45862</v>
      </c>
      <c r="C348" s="45">
        <v>45839</v>
      </c>
      <c r="D348" s="5" t="s">
        <v>2811</v>
      </c>
      <c r="E348" s="29" t="s">
        <v>1828</v>
      </c>
      <c r="F348" s="47" t="s">
        <v>6</v>
      </c>
      <c r="G348" s="5" t="s">
        <v>2818</v>
      </c>
      <c r="H348" s="5" t="s">
        <v>2819</v>
      </c>
    </row>
    <row r="349" spans="2:8" x14ac:dyDescent="0.3">
      <c r="B349" s="46">
        <v>45863</v>
      </c>
      <c r="C349" s="45">
        <v>45839</v>
      </c>
      <c r="D349" s="5" t="s">
        <v>2811</v>
      </c>
      <c r="E349" s="29" t="s">
        <v>1828</v>
      </c>
      <c r="F349" s="47" t="s">
        <v>6</v>
      </c>
      <c r="G349" s="5" t="s">
        <v>2814</v>
      </c>
      <c r="H349" s="5" t="s">
        <v>2815</v>
      </c>
    </row>
    <row r="350" spans="2:8" x14ac:dyDescent="0.3">
      <c r="B350" s="46">
        <v>45863</v>
      </c>
      <c r="C350" s="45">
        <v>45839</v>
      </c>
      <c r="D350" s="5" t="s">
        <v>2811</v>
      </c>
      <c r="E350" s="29" t="s">
        <v>1828</v>
      </c>
      <c r="F350" s="47" t="s">
        <v>6</v>
      </c>
      <c r="G350" s="5" t="s">
        <v>2816</v>
      </c>
      <c r="H350" s="5" t="s">
        <v>2817</v>
      </c>
    </row>
    <row r="351" spans="2:8" x14ac:dyDescent="0.3">
      <c r="B351" s="46">
        <v>45863</v>
      </c>
      <c r="C351" s="45">
        <v>45839</v>
      </c>
      <c r="D351" s="5" t="s">
        <v>2811</v>
      </c>
      <c r="E351" s="29" t="s">
        <v>1828</v>
      </c>
      <c r="F351" s="47" t="s">
        <v>6</v>
      </c>
      <c r="G351" s="5" t="s">
        <v>2818</v>
      </c>
      <c r="H351" s="5" t="s">
        <v>2819</v>
      </c>
    </row>
    <row r="352" spans="2:8" x14ac:dyDescent="0.3">
      <c r="B352" s="46">
        <v>45866</v>
      </c>
      <c r="C352" s="45">
        <v>45839</v>
      </c>
      <c r="D352" s="5" t="s">
        <v>2811</v>
      </c>
      <c r="E352" s="29" t="s">
        <v>1828</v>
      </c>
      <c r="F352" s="47" t="s">
        <v>6</v>
      </c>
      <c r="G352" s="5" t="s">
        <v>2814</v>
      </c>
      <c r="H352" s="5" t="s">
        <v>2815</v>
      </c>
    </row>
    <row r="353" spans="2:8" x14ac:dyDescent="0.3">
      <c r="B353" s="46">
        <v>45866</v>
      </c>
      <c r="C353" s="45">
        <v>45839</v>
      </c>
      <c r="D353" s="5" t="s">
        <v>2811</v>
      </c>
      <c r="E353" s="29" t="s">
        <v>1828</v>
      </c>
      <c r="F353" s="47" t="s">
        <v>6</v>
      </c>
      <c r="G353" s="5" t="s">
        <v>2816</v>
      </c>
      <c r="H353" s="5" t="s">
        <v>2817</v>
      </c>
    </row>
    <row r="354" spans="2:8" x14ac:dyDescent="0.3">
      <c r="B354" s="46">
        <v>45866</v>
      </c>
      <c r="C354" s="45">
        <v>45839</v>
      </c>
      <c r="D354" s="5" t="s">
        <v>2811</v>
      </c>
      <c r="E354" s="29" t="s">
        <v>1828</v>
      </c>
      <c r="F354" s="47" t="s">
        <v>6</v>
      </c>
      <c r="G354" s="5" t="s">
        <v>2818</v>
      </c>
      <c r="H354" s="5" t="s">
        <v>2819</v>
      </c>
    </row>
    <row r="355" spans="2:8" x14ac:dyDescent="0.3">
      <c r="B355" s="46">
        <v>45867</v>
      </c>
      <c r="C355" s="45">
        <v>45839</v>
      </c>
      <c r="D355" s="5" t="s">
        <v>2811</v>
      </c>
      <c r="E355" s="29" t="s">
        <v>1828</v>
      </c>
      <c r="F355" s="47" t="s">
        <v>6</v>
      </c>
      <c r="G355" s="5" t="s">
        <v>2814</v>
      </c>
      <c r="H355" s="5" t="s">
        <v>2815</v>
      </c>
    </row>
    <row r="356" spans="2:8" x14ac:dyDescent="0.3">
      <c r="B356" s="46">
        <v>45867</v>
      </c>
      <c r="C356" s="45">
        <v>45839</v>
      </c>
      <c r="D356" s="5" t="s">
        <v>2811</v>
      </c>
      <c r="E356" s="29" t="s">
        <v>1828</v>
      </c>
      <c r="F356" s="47" t="s">
        <v>6</v>
      </c>
      <c r="G356" s="5" t="s">
        <v>2816</v>
      </c>
      <c r="H356" s="5" t="s">
        <v>2817</v>
      </c>
    </row>
    <row r="357" spans="2:8" x14ac:dyDescent="0.3">
      <c r="B357" s="46">
        <v>45867</v>
      </c>
      <c r="C357" s="45">
        <v>45839</v>
      </c>
      <c r="D357" s="5" t="s">
        <v>2811</v>
      </c>
      <c r="E357" s="29" t="s">
        <v>1828</v>
      </c>
      <c r="F357" s="47" t="s">
        <v>6</v>
      </c>
      <c r="G357" s="5" t="s">
        <v>2818</v>
      </c>
      <c r="H357" s="5" t="s">
        <v>2819</v>
      </c>
    </row>
    <row r="358" spans="2:8" x14ac:dyDescent="0.3">
      <c r="B358" s="46">
        <v>45868</v>
      </c>
      <c r="C358" s="45">
        <v>45839</v>
      </c>
      <c r="D358" s="5" t="s">
        <v>2811</v>
      </c>
      <c r="E358" s="29" t="s">
        <v>1828</v>
      </c>
      <c r="F358" s="47" t="s">
        <v>6</v>
      </c>
      <c r="G358" s="5" t="s">
        <v>2814</v>
      </c>
      <c r="H358" s="5" t="s">
        <v>2815</v>
      </c>
    </row>
    <row r="359" spans="2:8" x14ac:dyDescent="0.3">
      <c r="B359" s="46">
        <v>45868</v>
      </c>
      <c r="C359" s="45">
        <v>45839</v>
      </c>
      <c r="D359" s="5" t="s">
        <v>2811</v>
      </c>
      <c r="E359" s="29" t="s">
        <v>1828</v>
      </c>
      <c r="F359" s="47" t="s">
        <v>6</v>
      </c>
      <c r="G359" s="5" t="s">
        <v>2816</v>
      </c>
      <c r="H359" s="5" t="s">
        <v>2817</v>
      </c>
    </row>
    <row r="360" spans="2:8" x14ac:dyDescent="0.3">
      <c r="B360" s="46">
        <v>45868</v>
      </c>
      <c r="C360" s="45">
        <v>45839</v>
      </c>
      <c r="D360" s="5" t="s">
        <v>2811</v>
      </c>
      <c r="E360" s="29" t="s">
        <v>1828</v>
      </c>
      <c r="F360" s="47" t="s">
        <v>6</v>
      </c>
      <c r="G360" s="5" t="s">
        <v>2818</v>
      </c>
      <c r="H360" s="5" t="s">
        <v>2819</v>
      </c>
    </row>
    <row r="361" spans="2:8" x14ac:dyDescent="0.3">
      <c r="B361" s="46">
        <v>45869</v>
      </c>
      <c r="C361" s="45">
        <v>45839</v>
      </c>
      <c r="D361" s="5" t="s">
        <v>2811</v>
      </c>
      <c r="E361" s="29" t="s">
        <v>1828</v>
      </c>
      <c r="F361" s="47" t="s">
        <v>6</v>
      </c>
      <c r="G361" s="5" t="s">
        <v>2814</v>
      </c>
      <c r="H361" s="5" t="s">
        <v>2815</v>
      </c>
    </row>
    <row r="362" spans="2:8" x14ac:dyDescent="0.3">
      <c r="B362" s="46">
        <v>45869</v>
      </c>
      <c r="C362" s="45">
        <v>45839</v>
      </c>
      <c r="D362" s="5" t="s">
        <v>2811</v>
      </c>
      <c r="E362" s="29" t="s">
        <v>1828</v>
      </c>
      <c r="F362" s="47" t="s">
        <v>6</v>
      </c>
      <c r="G362" s="5" t="s">
        <v>2816</v>
      </c>
      <c r="H362" s="5" t="s">
        <v>2817</v>
      </c>
    </row>
    <row r="363" spans="2:8" x14ac:dyDescent="0.3">
      <c r="B363" s="46">
        <v>45869</v>
      </c>
      <c r="C363" s="45">
        <v>45839</v>
      </c>
      <c r="D363" s="5" t="s">
        <v>2811</v>
      </c>
      <c r="E363" s="29" t="s">
        <v>1828</v>
      </c>
      <c r="F363" s="47" t="s">
        <v>6</v>
      </c>
      <c r="G363" s="5" t="s">
        <v>2818</v>
      </c>
      <c r="H363" s="5" t="s">
        <v>2819</v>
      </c>
    </row>
    <row r="364" spans="2:8" x14ac:dyDescent="0.3">
      <c r="B364" s="46">
        <v>45870</v>
      </c>
      <c r="C364" s="45">
        <v>45870</v>
      </c>
      <c r="D364" s="5" t="s">
        <v>2811</v>
      </c>
      <c r="E364" s="29" t="s">
        <v>1828</v>
      </c>
      <c r="F364" s="47" t="s">
        <v>6</v>
      </c>
      <c r="G364" s="5" t="s">
        <v>2814</v>
      </c>
      <c r="H364" s="5" t="s">
        <v>2815</v>
      </c>
    </row>
    <row r="365" spans="2:8" x14ac:dyDescent="0.3">
      <c r="B365" s="46">
        <v>45870</v>
      </c>
      <c r="C365" s="45">
        <v>45870</v>
      </c>
      <c r="D365" s="5" t="s">
        <v>2811</v>
      </c>
      <c r="E365" s="29" t="s">
        <v>1828</v>
      </c>
      <c r="F365" s="47" t="s">
        <v>6</v>
      </c>
      <c r="G365" s="5" t="s">
        <v>2816</v>
      </c>
      <c r="H365" s="5" t="s">
        <v>2817</v>
      </c>
    </row>
    <row r="366" spans="2:8" x14ac:dyDescent="0.3">
      <c r="B366" s="46">
        <v>45870</v>
      </c>
      <c r="C366" s="45">
        <v>45870</v>
      </c>
      <c r="D366" s="5" t="s">
        <v>2811</v>
      </c>
      <c r="E366" s="29" t="s">
        <v>1828</v>
      </c>
      <c r="F366" s="47" t="s">
        <v>6</v>
      </c>
      <c r="G366" s="5" t="s">
        <v>2818</v>
      </c>
      <c r="H366" s="5" t="s">
        <v>2819</v>
      </c>
    </row>
    <row r="367" spans="2:8" x14ac:dyDescent="0.3">
      <c r="B367" s="65">
        <v>45873</v>
      </c>
      <c r="C367" s="71">
        <v>45870</v>
      </c>
      <c r="D367" s="56" t="s">
        <v>2811</v>
      </c>
      <c r="E367" s="29" t="s">
        <v>1828</v>
      </c>
      <c r="F367" s="63" t="s">
        <v>6</v>
      </c>
      <c r="G367" s="56" t="s">
        <v>2870</v>
      </c>
      <c r="H367" s="56" t="s">
        <v>2870</v>
      </c>
    </row>
    <row r="368" spans="2:8" x14ac:dyDescent="0.3">
      <c r="B368" s="46">
        <v>45873</v>
      </c>
      <c r="C368" s="45">
        <v>45870</v>
      </c>
      <c r="D368" s="5" t="s">
        <v>2811</v>
      </c>
      <c r="E368" s="29" t="s">
        <v>1828</v>
      </c>
      <c r="F368" s="47" t="s">
        <v>6</v>
      </c>
      <c r="G368" s="5" t="s">
        <v>2816</v>
      </c>
      <c r="H368" s="5" t="s">
        <v>2815</v>
      </c>
    </row>
    <row r="369" spans="2:8" x14ac:dyDescent="0.3">
      <c r="B369" s="46">
        <v>45873</v>
      </c>
      <c r="C369" s="45">
        <v>45870</v>
      </c>
      <c r="D369" s="5" t="s">
        <v>2811</v>
      </c>
      <c r="E369" s="29" t="s">
        <v>1828</v>
      </c>
      <c r="F369" s="47" t="s">
        <v>6</v>
      </c>
      <c r="G369" s="5" t="s">
        <v>2856</v>
      </c>
      <c r="H369" s="5" t="s">
        <v>2857</v>
      </c>
    </row>
    <row r="370" spans="2:8" x14ac:dyDescent="0.3">
      <c r="B370" s="46">
        <v>45873</v>
      </c>
      <c r="C370" s="45">
        <v>45870</v>
      </c>
      <c r="D370" s="5" t="s">
        <v>2811</v>
      </c>
      <c r="E370" s="29" t="s">
        <v>1828</v>
      </c>
      <c r="F370" s="47" t="s">
        <v>6</v>
      </c>
      <c r="G370" s="5" t="s">
        <v>2818</v>
      </c>
      <c r="H370" s="5" t="s">
        <v>2817</v>
      </c>
    </row>
    <row r="371" spans="2:8" x14ac:dyDescent="0.3">
      <c r="B371" s="46">
        <v>45873</v>
      </c>
      <c r="C371" s="45">
        <v>45870</v>
      </c>
      <c r="D371" s="5" t="s">
        <v>2811</v>
      </c>
      <c r="E371" s="29" t="s">
        <v>1828</v>
      </c>
      <c r="F371" s="47" t="s">
        <v>6</v>
      </c>
      <c r="G371" s="5" t="s">
        <v>2814</v>
      </c>
      <c r="H371" s="5" t="s">
        <v>2819</v>
      </c>
    </row>
    <row r="372" spans="2:8" x14ac:dyDescent="0.3">
      <c r="B372" s="46">
        <v>45873</v>
      </c>
      <c r="C372" s="45">
        <v>45870</v>
      </c>
      <c r="D372" s="5" t="s">
        <v>2811</v>
      </c>
      <c r="E372" s="29" t="s">
        <v>1828</v>
      </c>
      <c r="F372" s="137" t="s">
        <v>325</v>
      </c>
      <c r="G372" s="5" t="s">
        <v>2871</v>
      </c>
      <c r="H372" s="5" t="s">
        <v>2872</v>
      </c>
    </row>
    <row r="373" spans="2:8" x14ac:dyDescent="0.3">
      <c r="B373" s="46">
        <v>45873</v>
      </c>
      <c r="C373" s="45">
        <v>45870</v>
      </c>
      <c r="D373" s="5" t="s">
        <v>2811</v>
      </c>
      <c r="E373" s="29" t="s">
        <v>1828</v>
      </c>
      <c r="F373" s="137" t="s">
        <v>325</v>
      </c>
      <c r="G373" s="5" t="s">
        <v>2873</v>
      </c>
      <c r="H373" s="5" t="s">
        <v>2874</v>
      </c>
    </row>
    <row r="374" spans="2:8" x14ac:dyDescent="0.3">
      <c r="B374" s="65">
        <v>45874</v>
      </c>
      <c r="C374" s="71">
        <v>45870</v>
      </c>
      <c r="D374" s="56" t="s">
        <v>2811</v>
      </c>
      <c r="E374" s="29" t="s">
        <v>1828</v>
      </c>
      <c r="F374" s="63" t="s">
        <v>6</v>
      </c>
      <c r="G374" s="56" t="s">
        <v>2870</v>
      </c>
      <c r="H374" s="56" t="s">
        <v>2870</v>
      </c>
    </row>
    <row r="375" spans="2:8" x14ac:dyDescent="0.3">
      <c r="B375" s="46">
        <v>45874</v>
      </c>
      <c r="C375" s="45">
        <v>45870</v>
      </c>
      <c r="D375" s="5" t="s">
        <v>2811</v>
      </c>
      <c r="E375" s="29" t="s">
        <v>1828</v>
      </c>
      <c r="F375" s="47" t="s">
        <v>6</v>
      </c>
      <c r="G375" s="5" t="s">
        <v>2856</v>
      </c>
      <c r="H375" s="5" t="s">
        <v>2857</v>
      </c>
    </row>
    <row r="376" spans="2:8" x14ac:dyDescent="0.3">
      <c r="B376" s="46">
        <v>45874</v>
      </c>
      <c r="C376" s="45">
        <v>45870</v>
      </c>
      <c r="D376" s="5" t="s">
        <v>2811</v>
      </c>
      <c r="E376" s="29" t="s">
        <v>1828</v>
      </c>
      <c r="F376" s="47" t="s">
        <v>6</v>
      </c>
      <c r="G376" s="5" t="s">
        <v>2816</v>
      </c>
      <c r="H376" s="5" t="s">
        <v>2815</v>
      </c>
    </row>
    <row r="377" spans="2:8" x14ac:dyDescent="0.3">
      <c r="B377" s="46">
        <v>45874</v>
      </c>
      <c r="C377" s="45">
        <v>45870</v>
      </c>
      <c r="D377" s="5" t="s">
        <v>2811</v>
      </c>
      <c r="E377" s="29" t="s">
        <v>1828</v>
      </c>
      <c r="F377" s="47" t="s">
        <v>6</v>
      </c>
      <c r="G377" s="5" t="s">
        <v>2818</v>
      </c>
      <c r="H377" s="5" t="s">
        <v>2817</v>
      </c>
    </row>
    <row r="378" spans="2:8" x14ac:dyDescent="0.3">
      <c r="B378" s="46">
        <v>45874</v>
      </c>
      <c r="C378" s="45">
        <v>45870</v>
      </c>
      <c r="D378" s="5" t="s">
        <v>2811</v>
      </c>
      <c r="E378" s="29" t="s">
        <v>1828</v>
      </c>
      <c r="F378" s="47" t="s">
        <v>6</v>
      </c>
      <c r="G378" s="5" t="s">
        <v>2814</v>
      </c>
      <c r="H378" s="5" t="s">
        <v>2819</v>
      </c>
    </row>
    <row r="379" spans="2:8" x14ac:dyDescent="0.3">
      <c r="B379" s="46">
        <v>45874</v>
      </c>
      <c r="C379" s="45">
        <v>45870</v>
      </c>
      <c r="D379" s="5" t="s">
        <v>2811</v>
      </c>
      <c r="E379" s="29" t="s">
        <v>1828</v>
      </c>
      <c r="F379" s="137" t="s">
        <v>325</v>
      </c>
      <c r="G379" s="5" t="s">
        <v>2875</v>
      </c>
      <c r="H379" s="5" t="s">
        <v>2876</v>
      </c>
    </row>
    <row r="380" spans="2:8" x14ac:dyDescent="0.3">
      <c r="B380" s="46">
        <v>45874</v>
      </c>
      <c r="C380" s="45">
        <v>45870</v>
      </c>
      <c r="D380" s="5" t="s">
        <v>2811</v>
      </c>
      <c r="E380" s="29" t="s">
        <v>1828</v>
      </c>
      <c r="F380" s="137" t="s">
        <v>325</v>
      </c>
      <c r="G380" s="5" t="s">
        <v>2877</v>
      </c>
      <c r="H380" s="5" t="s">
        <v>2878</v>
      </c>
    </row>
    <row r="381" spans="2:8" x14ac:dyDescent="0.3">
      <c r="B381" s="46">
        <v>45874</v>
      </c>
      <c r="C381" s="45">
        <v>45870</v>
      </c>
      <c r="D381" s="5" t="s">
        <v>2811</v>
      </c>
      <c r="E381" s="29" t="s">
        <v>1828</v>
      </c>
      <c r="F381" s="137" t="s">
        <v>325</v>
      </c>
      <c r="G381" s="5" t="s">
        <v>2879</v>
      </c>
      <c r="H381" s="5" t="s">
        <v>2880</v>
      </c>
    </row>
    <row r="382" spans="2:8" x14ac:dyDescent="0.3">
      <c r="B382" s="65">
        <v>45875</v>
      </c>
      <c r="C382" s="71">
        <v>45870</v>
      </c>
      <c r="D382" s="56" t="s">
        <v>2811</v>
      </c>
      <c r="E382" s="29" t="s">
        <v>1828</v>
      </c>
      <c r="F382" s="63" t="s">
        <v>6</v>
      </c>
      <c r="G382" s="56" t="s">
        <v>2870</v>
      </c>
      <c r="H382" s="56" t="s">
        <v>2870</v>
      </c>
    </row>
    <row r="383" spans="2:8" x14ac:dyDescent="0.3">
      <c r="B383" s="46">
        <v>45875</v>
      </c>
      <c r="C383" s="45">
        <v>45870</v>
      </c>
      <c r="D383" s="5" t="s">
        <v>2811</v>
      </c>
      <c r="E383" s="29" t="s">
        <v>1828</v>
      </c>
      <c r="F383" s="47" t="s">
        <v>6</v>
      </c>
      <c r="G383" s="5" t="s">
        <v>2856</v>
      </c>
      <c r="H383" s="5" t="s">
        <v>2857</v>
      </c>
    </row>
    <row r="384" spans="2:8" x14ac:dyDescent="0.3">
      <c r="B384" s="46">
        <v>45875</v>
      </c>
      <c r="C384" s="45">
        <v>45870</v>
      </c>
      <c r="D384" s="5" t="s">
        <v>2811</v>
      </c>
      <c r="E384" s="29" t="s">
        <v>1828</v>
      </c>
      <c r="F384" s="47" t="s">
        <v>6</v>
      </c>
      <c r="G384" s="5" t="s">
        <v>2816</v>
      </c>
      <c r="H384" s="5" t="s">
        <v>2815</v>
      </c>
    </row>
    <row r="385" spans="2:8" x14ac:dyDescent="0.3">
      <c r="B385" s="46">
        <v>45875</v>
      </c>
      <c r="C385" s="45">
        <v>45870</v>
      </c>
      <c r="D385" s="5" t="s">
        <v>2811</v>
      </c>
      <c r="E385" s="29" t="s">
        <v>1828</v>
      </c>
      <c r="F385" s="47" t="s">
        <v>6</v>
      </c>
      <c r="G385" s="5" t="s">
        <v>2818</v>
      </c>
      <c r="H385" s="5" t="s">
        <v>2817</v>
      </c>
    </row>
    <row r="386" spans="2:8" x14ac:dyDescent="0.3">
      <c r="B386" s="46">
        <v>45875</v>
      </c>
      <c r="C386" s="45">
        <v>45870</v>
      </c>
      <c r="D386" s="5" t="s">
        <v>2811</v>
      </c>
      <c r="E386" s="29" t="s">
        <v>1828</v>
      </c>
      <c r="F386" s="47" t="s">
        <v>6</v>
      </c>
      <c r="G386" s="5" t="s">
        <v>2818</v>
      </c>
      <c r="H386" s="5" t="s">
        <v>2819</v>
      </c>
    </row>
    <row r="387" spans="2:8" x14ac:dyDescent="0.3">
      <c r="B387" s="65">
        <v>45876</v>
      </c>
      <c r="C387" s="71">
        <v>45870</v>
      </c>
      <c r="D387" s="56" t="s">
        <v>2811</v>
      </c>
      <c r="E387" s="29" t="s">
        <v>1828</v>
      </c>
      <c r="F387" s="63" t="s">
        <v>6</v>
      </c>
      <c r="G387" s="56" t="s">
        <v>2870</v>
      </c>
      <c r="H387" s="56" t="s">
        <v>2870</v>
      </c>
    </row>
    <row r="388" spans="2:8" x14ac:dyDescent="0.3">
      <c r="B388" s="46">
        <v>45876</v>
      </c>
      <c r="C388" s="45">
        <v>45870</v>
      </c>
      <c r="D388" s="5" t="s">
        <v>2811</v>
      </c>
      <c r="E388" s="29" t="s">
        <v>1828</v>
      </c>
      <c r="F388" s="137" t="s">
        <v>325</v>
      </c>
      <c r="G388" s="5" t="s">
        <v>2881</v>
      </c>
      <c r="H388" s="5" t="s">
        <v>2882</v>
      </c>
    </row>
    <row r="389" spans="2:8" x14ac:dyDescent="0.3">
      <c r="B389" s="46">
        <v>45876</v>
      </c>
      <c r="C389" s="45">
        <v>45870</v>
      </c>
      <c r="D389" s="5" t="s">
        <v>2811</v>
      </c>
      <c r="E389" s="29" t="s">
        <v>1828</v>
      </c>
      <c r="F389" s="47" t="s">
        <v>6</v>
      </c>
      <c r="G389" s="5" t="s">
        <v>2856</v>
      </c>
      <c r="H389" s="5" t="s">
        <v>2857</v>
      </c>
    </row>
    <row r="390" spans="2:8" x14ac:dyDescent="0.3">
      <c r="B390" s="46">
        <v>45876</v>
      </c>
      <c r="C390" s="45">
        <v>45870</v>
      </c>
      <c r="D390" s="5" t="s">
        <v>2811</v>
      </c>
      <c r="E390" s="29" t="s">
        <v>1828</v>
      </c>
      <c r="F390" s="137" t="s">
        <v>325</v>
      </c>
      <c r="G390" s="5" t="s">
        <v>2883</v>
      </c>
      <c r="H390" s="5" t="s">
        <v>2884</v>
      </c>
    </row>
    <row r="391" spans="2:8" x14ac:dyDescent="0.3">
      <c r="B391" s="46">
        <v>45876</v>
      </c>
      <c r="C391" s="45">
        <v>45870</v>
      </c>
      <c r="D391" s="5" t="s">
        <v>2811</v>
      </c>
      <c r="E391" s="29" t="s">
        <v>1828</v>
      </c>
      <c r="F391" s="137" t="s">
        <v>325</v>
      </c>
      <c r="G391" s="5" t="s">
        <v>2885</v>
      </c>
      <c r="H391" s="5" t="s">
        <v>2886</v>
      </c>
    </row>
    <row r="392" spans="2:8" ht="79.5" x14ac:dyDescent="0.3">
      <c r="B392" s="17">
        <v>45876</v>
      </c>
      <c r="C392" s="72">
        <v>45870</v>
      </c>
      <c r="D392" s="18" t="s">
        <v>2811</v>
      </c>
      <c r="E392" s="73" t="s">
        <v>1828</v>
      </c>
      <c r="F392" s="137" t="s">
        <v>325</v>
      </c>
      <c r="G392" s="18" t="s">
        <v>2887</v>
      </c>
      <c r="H392" s="62" t="s">
        <v>2888</v>
      </c>
    </row>
    <row r="393" spans="2:8" x14ac:dyDescent="0.3">
      <c r="B393" s="17">
        <v>45876</v>
      </c>
      <c r="C393" s="72">
        <v>45870</v>
      </c>
      <c r="D393" s="18" t="s">
        <v>2811</v>
      </c>
      <c r="E393" s="73" t="s">
        <v>1828</v>
      </c>
      <c r="F393" s="137" t="s">
        <v>325</v>
      </c>
      <c r="G393" s="5" t="s">
        <v>2889</v>
      </c>
      <c r="H393" s="5" t="s">
        <v>2890</v>
      </c>
    </row>
    <row r="394" spans="2:8" ht="48" x14ac:dyDescent="0.3">
      <c r="B394" s="17">
        <v>45876</v>
      </c>
      <c r="C394" s="72">
        <v>45870</v>
      </c>
      <c r="D394" s="18" t="s">
        <v>2811</v>
      </c>
      <c r="E394" s="73" t="s">
        <v>1828</v>
      </c>
      <c r="F394" s="137" t="s">
        <v>325</v>
      </c>
      <c r="G394" s="18" t="s">
        <v>2891</v>
      </c>
      <c r="H394" s="62" t="s">
        <v>2892</v>
      </c>
    </row>
    <row r="395" spans="2:8" ht="32.25" x14ac:dyDescent="0.3">
      <c r="B395" s="17">
        <v>45876</v>
      </c>
      <c r="C395" s="72">
        <v>45870</v>
      </c>
      <c r="D395" s="18" t="s">
        <v>2811</v>
      </c>
      <c r="E395" s="73" t="s">
        <v>1828</v>
      </c>
      <c r="F395" s="137" t="s">
        <v>325</v>
      </c>
      <c r="G395" s="18" t="s">
        <v>2893</v>
      </c>
      <c r="H395" s="62" t="s">
        <v>2894</v>
      </c>
    </row>
    <row r="396" spans="2:8" x14ac:dyDescent="0.3">
      <c r="B396" s="46">
        <v>45876</v>
      </c>
      <c r="C396" s="45">
        <v>45870</v>
      </c>
      <c r="D396" s="5" t="s">
        <v>2811</v>
      </c>
      <c r="E396" s="29" t="s">
        <v>1828</v>
      </c>
      <c r="F396" s="47" t="s">
        <v>6</v>
      </c>
      <c r="G396" s="5" t="s">
        <v>2816</v>
      </c>
      <c r="H396" s="5" t="s">
        <v>2815</v>
      </c>
    </row>
    <row r="397" spans="2:8" x14ac:dyDescent="0.3">
      <c r="B397" s="46">
        <v>45876</v>
      </c>
      <c r="C397" s="45">
        <v>45870</v>
      </c>
      <c r="D397" s="5" t="s">
        <v>2811</v>
      </c>
      <c r="E397" s="29" t="s">
        <v>1828</v>
      </c>
      <c r="F397" s="47" t="s">
        <v>6</v>
      </c>
      <c r="G397" s="5" t="s">
        <v>2818</v>
      </c>
      <c r="H397" s="5" t="s">
        <v>2817</v>
      </c>
    </row>
    <row r="398" spans="2:8" x14ac:dyDescent="0.3">
      <c r="B398" s="46">
        <v>45876</v>
      </c>
      <c r="C398" s="45">
        <v>45870</v>
      </c>
      <c r="D398" s="5" t="s">
        <v>2811</v>
      </c>
      <c r="E398" s="29" t="s">
        <v>1828</v>
      </c>
      <c r="F398" s="47" t="s">
        <v>6</v>
      </c>
      <c r="G398" s="5" t="s">
        <v>2818</v>
      </c>
      <c r="H398" s="5" t="s">
        <v>2819</v>
      </c>
    </row>
    <row r="399" spans="2:8" x14ac:dyDescent="0.3">
      <c r="B399" s="65">
        <v>45877</v>
      </c>
      <c r="C399" s="71">
        <v>45870</v>
      </c>
      <c r="D399" s="56" t="s">
        <v>2811</v>
      </c>
      <c r="E399" s="29" t="s">
        <v>1828</v>
      </c>
      <c r="F399" s="63" t="s">
        <v>6</v>
      </c>
      <c r="G399" s="56" t="s">
        <v>2870</v>
      </c>
      <c r="H399" s="56" t="s">
        <v>2870</v>
      </c>
    </row>
    <row r="400" spans="2:8" x14ac:dyDescent="0.3">
      <c r="B400" s="46">
        <v>45877</v>
      </c>
      <c r="C400" s="45">
        <v>45870</v>
      </c>
      <c r="D400" s="5" t="s">
        <v>2811</v>
      </c>
      <c r="E400" s="29" t="s">
        <v>1828</v>
      </c>
      <c r="F400" s="47" t="s">
        <v>6</v>
      </c>
      <c r="G400" s="5" t="s">
        <v>2856</v>
      </c>
      <c r="H400" s="5" t="s">
        <v>2857</v>
      </c>
    </row>
    <row r="401" spans="2:8" x14ac:dyDescent="0.3">
      <c r="B401" s="46">
        <v>45877</v>
      </c>
      <c r="C401" s="45">
        <v>45870</v>
      </c>
      <c r="D401" s="5" t="s">
        <v>2811</v>
      </c>
      <c r="E401" s="29" t="s">
        <v>1828</v>
      </c>
      <c r="F401" s="47" t="s">
        <v>6</v>
      </c>
      <c r="G401" s="5" t="s">
        <v>2816</v>
      </c>
      <c r="H401" s="5" t="s">
        <v>2815</v>
      </c>
    </row>
    <row r="402" spans="2:8" x14ac:dyDescent="0.3">
      <c r="B402" s="46">
        <v>45877</v>
      </c>
      <c r="C402" s="45">
        <v>45870</v>
      </c>
      <c r="D402" s="5" t="s">
        <v>2811</v>
      </c>
      <c r="E402" s="29" t="s">
        <v>1828</v>
      </c>
      <c r="F402" s="47" t="s">
        <v>6</v>
      </c>
      <c r="G402" s="5" t="s">
        <v>2818</v>
      </c>
      <c r="H402" s="5" t="s">
        <v>2817</v>
      </c>
    </row>
    <row r="403" spans="2:8" x14ac:dyDescent="0.3">
      <c r="B403" s="46">
        <v>45877</v>
      </c>
      <c r="C403" s="45">
        <v>45870</v>
      </c>
      <c r="D403" s="5" t="s">
        <v>2811</v>
      </c>
      <c r="E403" s="29" t="s">
        <v>1828</v>
      </c>
      <c r="F403" s="47" t="s">
        <v>6</v>
      </c>
      <c r="G403" s="5" t="s">
        <v>2818</v>
      </c>
      <c r="H403" s="5" t="s">
        <v>2819</v>
      </c>
    </row>
    <row r="404" spans="2:8" ht="32.25" x14ac:dyDescent="0.3">
      <c r="B404" s="17">
        <v>45877</v>
      </c>
      <c r="C404" s="72">
        <v>45870</v>
      </c>
      <c r="D404" s="18" t="s">
        <v>2811</v>
      </c>
      <c r="E404" s="73" t="s">
        <v>1828</v>
      </c>
      <c r="F404" s="137" t="s">
        <v>325</v>
      </c>
      <c r="G404" s="5" t="s">
        <v>2895</v>
      </c>
      <c r="H404" s="62" t="s">
        <v>2896</v>
      </c>
    </row>
    <row r="405" spans="2:8" ht="32.25" x14ac:dyDescent="0.3">
      <c r="B405" s="17">
        <v>45877</v>
      </c>
      <c r="C405" s="72">
        <v>45870</v>
      </c>
      <c r="D405" s="18" t="s">
        <v>2811</v>
      </c>
      <c r="E405" s="73" t="s">
        <v>1828</v>
      </c>
      <c r="F405" s="137" t="s">
        <v>325</v>
      </c>
      <c r="G405" s="5" t="s">
        <v>2897</v>
      </c>
      <c r="H405" s="62" t="s">
        <v>2898</v>
      </c>
    </row>
    <row r="406" spans="2:8" x14ac:dyDescent="0.3">
      <c r="B406" s="65">
        <v>45880</v>
      </c>
      <c r="C406" s="71">
        <v>45870</v>
      </c>
      <c r="D406" s="56" t="s">
        <v>2811</v>
      </c>
      <c r="E406" s="73" t="s">
        <v>1828</v>
      </c>
      <c r="F406" s="63" t="s">
        <v>6</v>
      </c>
      <c r="G406" s="56" t="s">
        <v>2870</v>
      </c>
      <c r="H406" s="56" t="s">
        <v>2870</v>
      </c>
    </row>
    <row r="407" spans="2:8" x14ac:dyDescent="0.3">
      <c r="B407" s="65">
        <v>45880</v>
      </c>
      <c r="C407" s="71">
        <v>45870</v>
      </c>
      <c r="D407" s="56" t="s">
        <v>2811</v>
      </c>
      <c r="E407" s="73" t="s">
        <v>1828</v>
      </c>
      <c r="F407" s="63" t="s">
        <v>6</v>
      </c>
      <c r="G407" s="56" t="s">
        <v>2899</v>
      </c>
      <c r="H407" s="56" t="s">
        <v>2900</v>
      </c>
    </row>
    <row r="408" spans="2:8" x14ac:dyDescent="0.3">
      <c r="B408" s="65">
        <v>45880</v>
      </c>
      <c r="C408" s="71">
        <v>45870</v>
      </c>
      <c r="D408" s="56" t="s">
        <v>2811</v>
      </c>
      <c r="E408" s="73" t="s">
        <v>1828</v>
      </c>
      <c r="F408" s="63" t="s">
        <v>6</v>
      </c>
      <c r="G408" s="56" t="s">
        <v>2814</v>
      </c>
      <c r="H408" s="56" t="s">
        <v>2815</v>
      </c>
    </row>
    <row r="409" spans="2:8" x14ac:dyDescent="0.3">
      <c r="B409" s="65">
        <v>45880</v>
      </c>
      <c r="C409" s="71">
        <v>45870</v>
      </c>
      <c r="D409" s="56" t="s">
        <v>2811</v>
      </c>
      <c r="E409" s="73" t="s">
        <v>1828</v>
      </c>
      <c r="F409" s="63" t="s">
        <v>6</v>
      </c>
      <c r="G409" s="56" t="s">
        <v>2816</v>
      </c>
      <c r="H409" s="56" t="s">
        <v>2817</v>
      </c>
    </row>
    <row r="410" spans="2:8" x14ac:dyDescent="0.3">
      <c r="B410" s="65">
        <v>45880</v>
      </c>
      <c r="C410" s="71">
        <v>45870</v>
      </c>
      <c r="D410" s="56" t="s">
        <v>2811</v>
      </c>
      <c r="E410" s="73" t="s">
        <v>1828</v>
      </c>
      <c r="F410" s="63" t="s">
        <v>6</v>
      </c>
      <c r="G410" s="56" t="s">
        <v>2818</v>
      </c>
      <c r="H410" s="56" t="s">
        <v>2819</v>
      </c>
    </row>
    <row r="411" spans="2:8" x14ac:dyDescent="0.3">
      <c r="B411" s="65">
        <v>45881</v>
      </c>
      <c r="C411" s="71">
        <v>45870</v>
      </c>
      <c r="D411" s="56" t="s">
        <v>2811</v>
      </c>
      <c r="E411" s="73" t="s">
        <v>1828</v>
      </c>
      <c r="F411" s="63" t="s">
        <v>6</v>
      </c>
      <c r="G411" s="56" t="s">
        <v>2870</v>
      </c>
      <c r="H411" s="56" t="s">
        <v>2870</v>
      </c>
    </row>
    <row r="412" spans="2:8" x14ac:dyDescent="0.3">
      <c r="B412" s="65">
        <v>45881</v>
      </c>
      <c r="C412" s="71">
        <v>45870</v>
      </c>
      <c r="D412" s="56" t="s">
        <v>2811</v>
      </c>
      <c r="E412" s="73" t="s">
        <v>1828</v>
      </c>
      <c r="F412" s="63" t="s">
        <v>6</v>
      </c>
      <c r="G412" s="56" t="s">
        <v>2899</v>
      </c>
      <c r="H412" s="56" t="s">
        <v>2900</v>
      </c>
    </row>
    <row r="413" spans="2:8" x14ac:dyDescent="0.3">
      <c r="B413" s="65">
        <v>45881</v>
      </c>
      <c r="C413" s="71">
        <v>45870</v>
      </c>
      <c r="D413" s="56" t="s">
        <v>2811</v>
      </c>
      <c r="E413" s="73" t="s">
        <v>1828</v>
      </c>
      <c r="F413" s="63" t="s">
        <v>6</v>
      </c>
      <c r="G413" s="56" t="s">
        <v>2814</v>
      </c>
      <c r="H413" s="56" t="s">
        <v>2815</v>
      </c>
    </row>
    <row r="414" spans="2:8" x14ac:dyDescent="0.3">
      <c r="B414" s="65">
        <v>45881</v>
      </c>
      <c r="C414" s="71">
        <v>45870</v>
      </c>
      <c r="D414" s="56" t="s">
        <v>2811</v>
      </c>
      <c r="E414" s="73" t="s">
        <v>1828</v>
      </c>
      <c r="F414" s="63" t="s">
        <v>6</v>
      </c>
      <c r="G414" s="56" t="s">
        <v>2816</v>
      </c>
      <c r="H414" s="56" t="s">
        <v>2817</v>
      </c>
    </row>
    <row r="415" spans="2:8" x14ac:dyDescent="0.3">
      <c r="B415" s="65">
        <v>45881</v>
      </c>
      <c r="C415" s="71">
        <v>45870</v>
      </c>
      <c r="D415" s="56" t="s">
        <v>2811</v>
      </c>
      <c r="E415" s="73" t="s">
        <v>1828</v>
      </c>
      <c r="F415" s="63" t="s">
        <v>6</v>
      </c>
      <c r="G415" s="56" t="s">
        <v>2818</v>
      </c>
      <c r="H415" s="56" t="s">
        <v>2819</v>
      </c>
    </row>
    <row r="416" spans="2:8" x14ac:dyDescent="0.3">
      <c r="B416" s="65">
        <v>45882</v>
      </c>
      <c r="C416" s="71">
        <v>45870</v>
      </c>
      <c r="D416" s="56" t="s">
        <v>2811</v>
      </c>
      <c r="E416" s="73" t="s">
        <v>1828</v>
      </c>
      <c r="F416" s="63" t="s">
        <v>6</v>
      </c>
      <c r="G416" s="56" t="s">
        <v>2870</v>
      </c>
      <c r="H416" s="56" t="s">
        <v>2870</v>
      </c>
    </row>
    <row r="417" spans="2:8" x14ac:dyDescent="0.3">
      <c r="B417" s="65">
        <v>45882</v>
      </c>
      <c r="C417" s="71">
        <v>45870</v>
      </c>
      <c r="D417" s="56" t="s">
        <v>2811</v>
      </c>
      <c r="E417" s="73" t="s">
        <v>1828</v>
      </c>
      <c r="F417" s="63" t="s">
        <v>6</v>
      </c>
      <c r="G417" s="56" t="s">
        <v>2899</v>
      </c>
      <c r="H417" s="56" t="s">
        <v>2900</v>
      </c>
    </row>
    <row r="418" spans="2:8" x14ac:dyDescent="0.3">
      <c r="B418" s="65">
        <v>45882</v>
      </c>
      <c r="C418" s="71">
        <v>45870</v>
      </c>
      <c r="D418" s="56" t="s">
        <v>2811</v>
      </c>
      <c r="E418" s="73" t="s">
        <v>1828</v>
      </c>
      <c r="F418" s="63" t="s">
        <v>6</v>
      </c>
      <c r="G418" s="56" t="s">
        <v>2814</v>
      </c>
      <c r="H418" s="56" t="s">
        <v>2815</v>
      </c>
    </row>
    <row r="419" spans="2:8" x14ac:dyDescent="0.3">
      <c r="B419" s="65">
        <v>45882</v>
      </c>
      <c r="C419" s="71">
        <v>45870</v>
      </c>
      <c r="D419" s="56" t="s">
        <v>2811</v>
      </c>
      <c r="E419" s="73" t="s">
        <v>1828</v>
      </c>
      <c r="F419" s="63" t="s">
        <v>6</v>
      </c>
      <c r="G419" s="56" t="s">
        <v>2816</v>
      </c>
      <c r="H419" s="56" t="s">
        <v>2817</v>
      </c>
    </row>
    <row r="420" spans="2:8" x14ac:dyDescent="0.3">
      <c r="B420" s="65">
        <v>45882</v>
      </c>
      <c r="C420" s="71">
        <v>45870</v>
      </c>
      <c r="D420" s="56" t="s">
        <v>2811</v>
      </c>
      <c r="E420" s="73" t="s">
        <v>1828</v>
      </c>
      <c r="F420" s="63" t="s">
        <v>6</v>
      </c>
      <c r="G420" s="56" t="s">
        <v>2818</v>
      </c>
      <c r="H420" s="56" t="s">
        <v>2819</v>
      </c>
    </row>
    <row r="421" spans="2:8" x14ac:dyDescent="0.3">
      <c r="B421" s="65">
        <v>45883</v>
      </c>
      <c r="C421" s="71">
        <v>45870</v>
      </c>
      <c r="D421" s="56" t="s">
        <v>2811</v>
      </c>
      <c r="E421" s="73" t="s">
        <v>1828</v>
      </c>
      <c r="F421" s="63" t="s">
        <v>6</v>
      </c>
      <c r="G421" s="56" t="s">
        <v>2870</v>
      </c>
      <c r="H421" s="56" t="s">
        <v>2870</v>
      </c>
    </row>
    <row r="422" spans="2:8" x14ac:dyDescent="0.3">
      <c r="B422" s="65">
        <v>45883</v>
      </c>
      <c r="C422" s="71">
        <v>45870</v>
      </c>
      <c r="D422" s="56" t="s">
        <v>2811</v>
      </c>
      <c r="E422" s="73" t="s">
        <v>1828</v>
      </c>
      <c r="F422" s="63" t="s">
        <v>6</v>
      </c>
      <c r="G422" s="56" t="s">
        <v>2899</v>
      </c>
      <c r="H422" s="56" t="s">
        <v>2900</v>
      </c>
    </row>
    <row r="423" spans="2:8" x14ac:dyDescent="0.3">
      <c r="B423" s="65">
        <v>45883</v>
      </c>
      <c r="C423" s="71">
        <v>45870</v>
      </c>
      <c r="D423" s="56" t="s">
        <v>2811</v>
      </c>
      <c r="E423" s="73" t="s">
        <v>1828</v>
      </c>
      <c r="F423" s="63" t="s">
        <v>6</v>
      </c>
      <c r="G423" s="56" t="s">
        <v>2814</v>
      </c>
      <c r="H423" s="56" t="s">
        <v>2815</v>
      </c>
    </row>
    <row r="424" spans="2:8" x14ac:dyDescent="0.3">
      <c r="B424" s="65">
        <v>45883</v>
      </c>
      <c r="C424" s="71">
        <v>45870</v>
      </c>
      <c r="D424" s="56" t="s">
        <v>2811</v>
      </c>
      <c r="E424" s="73" t="s">
        <v>1828</v>
      </c>
      <c r="F424" s="63" t="s">
        <v>6</v>
      </c>
      <c r="G424" s="56" t="s">
        <v>2816</v>
      </c>
      <c r="H424" s="56" t="s">
        <v>2817</v>
      </c>
    </row>
    <row r="425" spans="2:8" x14ac:dyDescent="0.3">
      <c r="B425" s="65">
        <v>45883</v>
      </c>
      <c r="C425" s="71">
        <v>45870</v>
      </c>
      <c r="D425" s="56" t="s">
        <v>2811</v>
      </c>
      <c r="E425" s="73" t="s">
        <v>1828</v>
      </c>
      <c r="F425" s="63" t="s">
        <v>6</v>
      </c>
      <c r="G425" s="56" t="s">
        <v>2818</v>
      </c>
      <c r="H425" s="56" t="s">
        <v>2819</v>
      </c>
    </row>
    <row r="426" spans="2:8" x14ac:dyDescent="0.3">
      <c r="B426" s="65">
        <v>45887</v>
      </c>
      <c r="C426" s="71">
        <v>45870</v>
      </c>
      <c r="D426" s="56" t="s">
        <v>2811</v>
      </c>
      <c r="E426" s="73" t="s">
        <v>1828</v>
      </c>
      <c r="F426" s="63" t="s">
        <v>6</v>
      </c>
      <c r="G426" s="56" t="s">
        <v>2870</v>
      </c>
      <c r="H426" s="56" t="s">
        <v>2870</v>
      </c>
    </row>
    <row r="427" spans="2:8" x14ac:dyDescent="0.3">
      <c r="B427" s="65">
        <v>45887</v>
      </c>
      <c r="C427" s="71">
        <v>45870</v>
      </c>
      <c r="D427" s="56" t="s">
        <v>2811</v>
      </c>
      <c r="E427" s="73" t="s">
        <v>1828</v>
      </c>
      <c r="F427" s="63" t="s">
        <v>6</v>
      </c>
      <c r="G427" s="56" t="s">
        <v>2899</v>
      </c>
      <c r="H427" s="56" t="s">
        <v>2900</v>
      </c>
    </row>
    <row r="428" spans="2:8" x14ac:dyDescent="0.3">
      <c r="B428" s="65">
        <v>45887</v>
      </c>
      <c r="C428" s="71">
        <v>45870</v>
      </c>
      <c r="D428" s="56" t="s">
        <v>2811</v>
      </c>
      <c r="E428" s="73" t="s">
        <v>1828</v>
      </c>
      <c r="F428" s="63" t="s">
        <v>6</v>
      </c>
      <c r="G428" s="56" t="s">
        <v>2814</v>
      </c>
      <c r="H428" s="56" t="s">
        <v>2815</v>
      </c>
    </row>
    <row r="429" spans="2:8" x14ac:dyDescent="0.3">
      <c r="B429" s="65">
        <v>45887</v>
      </c>
      <c r="C429" s="71">
        <v>45870</v>
      </c>
      <c r="D429" s="56" t="s">
        <v>2811</v>
      </c>
      <c r="E429" s="73" t="s">
        <v>1828</v>
      </c>
      <c r="F429" s="63" t="s">
        <v>6</v>
      </c>
      <c r="G429" s="56" t="s">
        <v>2816</v>
      </c>
      <c r="H429" s="56" t="s">
        <v>2817</v>
      </c>
    </row>
    <row r="430" spans="2:8" x14ac:dyDescent="0.3">
      <c r="B430" s="65">
        <v>45887</v>
      </c>
      <c r="C430" s="71">
        <v>45870</v>
      </c>
      <c r="D430" s="56" t="s">
        <v>2811</v>
      </c>
      <c r="E430" s="73" t="s">
        <v>1828</v>
      </c>
      <c r="F430" s="63" t="s">
        <v>6</v>
      </c>
      <c r="G430" s="56" t="s">
        <v>2818</v>
      </c>
      <c r="H430" s="56" t="s">
        <v>2819</v>
      </c>
    </row>
    <row r="431" spans="2:8" x14ac:dyDescent="0.3">
      <c r="B431" s="65">
        <v>45887</v>
      </c>
      <c r="C431" s="71">
        <v>45870</v>
      </c>
      <c r="D431" s="56" t="s">
        <v>2811</v>
      </c>
      <c r="E431" s="73" t="s">
        <v>1828</v>
      </c>
      <c r="F431" s="137" t="s">
        <v>325</v>
      </c>
      <c r="G431" s="56" t="s">
        <v>2324</v>
      </c>
      <c r="H431" s="56" t="s">
        <v>2901</v>
      </c>
    </row>
    <row r="432" spans="2:8" x14ac:dyDescent="0.3">
      <c r="B432" s="65">
        <v>45887</v>
      </c>
      <c r="C432" s="71">
        <v>45870</v>
      </c>
      <c r="D432" s="56" t="s">
        <v>2811</v>
      </c>
      <c r="E432" s="73" t="s">
        <v>1828</v>
      </c>
      <c r="F432" s="137" t="s">
        <v>325</v>
      </c>
      <c r="G432" s="56" t="s">
        <v>2902</v>
      </c>
      <c r="H432" s="56" t="s">
        <v>2903</v>
      </c>
    </row>
    <row r="433" spans="2:8" x14ac:dyDescent="0.3">
      <c r="B433" s="65">
        <v>45888</v>
      </c>
      <c r="C433" s="71">
        <v>45870</v>
      </c>
      <c r="D433" s="56" t="s">
        <v>2811</v>
      </c>
      <c r="E433" s="73" t="s">
        <v>1828</v>
      </c>
      <c r="F433" s="63" t="s">
        <v>6</v>
      </c>
      <c r="G433" s="56" t="s">
        <v>2870</v>
      </c>
      <c r="H433" s="56" t="s">
        <v>2870</v>
      </c>
    </row>
    <row r="434" spans="2:8" x14ac:dyDescent="0.3">
      <c r="B434" s="65">
        <v>45888</v>
      </c>
      <c r="C434" s="71">
        <v>45870</v>
      </c>
      <c r="D434" s="56" t="s">
        <v>2811</v>
      </c>
      <c r="E434" s="73" t="s">
        <v>1828</v>
      </c>
      <c r="F434" s="63" t="s">
        <v>6</v>
      </c>
      <c r="G434" s="56" t="s">
        <v>2899</v>
      </c>
      <c r="H434" s="56" t="s">
        <v>2900</v>
      </c>
    </row>
    <row r="435" spans="2:8" x14ac:dyDescent="0.3">
      <c r="B435" s="65">
        <v>45888</v>
      </c>
      <c r="C435" s="71">
        <v>45870</v>
      </c>
      <c r="D435" s="56" t="s">
        <v>2811</v>
      </c>
      <c r="E435" s="73" t="s">
        <v>1828</v>
      </c>
      <c r="F435" s="63" t="s">
        <v>6</v>
      </c>
      <c r="G435" s="56" t="s">
        <v>2814</v>
      </c>
      <c r="H435" s="56" t="s">
        <v>2815</v>
      </c>
    </row>
    <row r="436" spans="2:8" x14ac:dyDescent="0.3">
      <c r="B436" s="65">
        <v>45888</v>
      </c>
      <c r="C436" s="71">
        <v>45870</v>
      </c>
      <c r="D436" s="56" t="s">
        <v>2811</v>
      </c>
      <c r="E436" s="73" t="s">
        <v>1828</v>
      </c>
      <c r="F436" s="63" t="s">
        <v>6</v>
      </c>
      <c r="G436" s="56" t="s">
        <v>2816</v>
      </c>
      <c r="H436" s="56" t="s">
        <v>2817</v>
      </c>
    </row>
    <row r="437" spans="2:8" x14ac:dyDescent="0.3">
      <c r="B437" s="65">
        <v>45888</v>
      </c>
      <c r="C437" s="71">
        <v>45870</v>
      </c>
      <c r="D437" s="56" t="s">
        <v>2811</v>
      </c>
      <c r="E437" s="73" t="s">
        <v>1828</v>
      </c>
      <c r="F437" s="63" t="s">
        <v>6</v>
      </c>
      <c r="G437" s="56" t="s">
        <v>2818</v>
      </c>
      <c r="H437" s="56" t="s">
        <v>2819</v>
      </c>
    </row>
    <row r="438" spans="2:8" x14ac:dyDescent="0.3">
      <c r="B438" s="65">
        <v>45889</v>
      </c>
      <c r="C438" s="71">
        <v>45870</v>
      </c>
      <c r="D438" s="56" t="s">
        <v>2811</v>
      </c>
      <c r="E438" s="73" t="s">
        <v>1828</v>
      </c>
      <c r="F438" s="63" t="s">
        <v>6</v>
      </c>
      <c r="G438" s="56" t="s">
        <v>2870</v>
      </c>
      <c r="H438" s="56" t="s">
        <v>2870</v>
      </c>
    </row>
    <row r="439" spans="2:8" x14ac:dyDescent="0.3">
      <c r="B439" s="65">
        <v>45889</v>
      </c>
      <c r="C439" s="71">
        <v>45870</v>
      </c>
      <c r="D439" s="56" t="s">
        <v>2811</v>
      </c>
      <c r="E439" s="73" t="s">
        <v>1828</v>
      </c>
      <c r="F439" s="63" t="s">
        <v>6</v>
      </c>
      <c r="G439" s="56" t="s">
        <v>2899</v>
      </c>
      <c r="H439" s="56" t="s">
        <v>2900</v>
      </c>
    </row>
    <row r="440" spans="2:8" x14ac:dyDescent="0.3">
      <c r="B440" s="65">
        <v>45889</v>
      </c>
      <c r="C440" s="71">
        <v>45870</v>
      </c>
      <c r="D440" s="56" t="s">
        <v>2811</v>
      </c>
      <c r="E440" s="73" t="s">
        <v>1828</v>
      </c>
      <c r="F440" s="63" t="s">
        <v>6</v>
      </c>
      <c r="G440" s="56" t="s">
        <v>2814</v>
      </c>
      <c r="H440" s="56" t="s">
        <v>2815</v>
      </c>
    </row>
    <row r="441" spans="2:8" x14ac:dyDescent="0.3">
      <c r="B441" s="65">
        <v>45889</v>
      </c>
      <c r="C441" s="71">
        <v>45870</v>
      </c>
      <c r="D441" s="56" t="s">
        <v>2811</v>
      </c>
      <c r="E441" s="73" t="s">
        <v>1828</v>
      </c>
      <c r="F441" s="63" t="s">
        <v>6</v>
      </c>
      <c r="G441" s="56" t="s">
        <v>2816</v>
      </c>
      <c r="H441" s="56" t="s">
        <v>2817</v>
      </c>
    </row>
    <row r="442" spans="2:8" x14ac:dyDescent="0.3">
      <c r="B442" s="65">
        <v>45889</v>
      </c>
      <c r="C442" s="71">
        <v>45870</v>
      </c>
      <c r="D442" s="56" t="s">
        <v>2811</v>
      </c>
      <c r="E442" s="73" t="s">
        <v>1828</v>
      </c>
      <c r="F442" s="63" t="s">
        <v>6</v>
      </c>
      <c r="G442" s="56" t="s">
        <v>2818</v>
      </c>
      <c r="H442" s="56" t="s">
        <v>2819</v>
      </c>
    </row>
    <row r="443" spans="2:8" x14ac:dyDescent="0.3">
      <c r="B443" s="65">
        <v>45890</v>
      </c>
      <c r="C443" s="71">
        <v>45870</v>
      </c>
      <c r="D443" s="56" t="s">
        <v>2811</v>
      </c>
      <c r="E443" s="73" t="s">
        <v>1828</v>
      </c>
      <c r="F443" s="63" t="s">
        <v>6</v>
      </c>
      <c r="G443" s="56" t="s">
        <v>2870</v>
      </c>
      <c r="H443" s="56" t="s">
        <v>2870</v>
      </c>
    </row>
    <row r="444" spans="2:8" x14ac:dyDescent="0.3">
      <c r="B444" s="65">
        <v>45890</v>
      </c>
      <c r="C444" s="71">
        <v>45870</v>
      </c>
      <c r="D444" s="56" t="s">
        <v>2811</v>
      </c>
      <c r="E444" s="73" t="s">
        <v>1828</v>
      </c>
      <c r="F444" s="63" t="s">
        <v>6</v>
      </c>
      <c r="G444" s="56" t="s">
        <v>2899</v>
      </c>
      <c r="H444" s="56" t="s">
        <v>2900</v>
      </c>
    </row>
    <row r="445" spans="2:8" x14ac:dyDescent="0.3">
      <c r="B445" s="65">
        <v>45890</v>
      </c>
      <c r="C445" s="71">
        <v>45870</v>
      </c>
      <c r="D445" s="56" t="s">
        <v>2811</v>
      </c>
      <c r="E445" s="73" t="s">
        <v>1828</v>
      </c>
      <c r="F445" s="63" t="s">
        <v>6</v>
      </c>
      <c r="G445" s="56" t="s">
        <v>2814</v>
      </c>
      <c r="H445" s="56" t="s">
        <v>2815</v>
      </c>
    </row>
    <row r="446" spans="2:8" x14ac:dyDescent="0.3">
      <c r="B446" s="65">
        <v>45890</v>
      </c>
      <c r="C446" s="71">
        <v>45870</v>
      </c>
      <c r="D446" s="56" t="s">
        <v>2811</v>
      </c>
      <c r="E446" s="73" t="s">
        <v>1828</v>
      </c>
      <c r="F446" s="63" t="s">
        <v>6</v>
      </c>
      <c r="G446" s="56" t="s">
        <v>2816</v>
      </c>
      <c r="H446" s="56" t="s">
        <v>2817</v>
      </c>
    </row>
    <row r="447" spans="2:8" x14ac:dyDescent="0.3">
      <c r="B447" s="65">
        <v>45890</v>
      </c>
      <c r="C447" s="71">
        <v>45870</v>
      </c>
      <c r="D447" s="56" t="s">
        <v>2811</v>
      </c>
      <c r="E447" s="73" t="s">
        <v>1828</v>
      </c>
      <c r="F447" s="63" t="s">
        <v>6</v>
      </c>
      <c r="G447" s="56" t="s">
        <v>2818</v>
      </c>
      <c r="H447" s="56" t="s">
        <v>2819</v>
      </c>
    </row>
    <row r="448" spans="2:8" x14ac:dyDescent="0.3">
      <c r="B448" s="65">
        <v>45891</v>
      </c>
      <c r="C448" s="71">
        <v>45870</v>
      </c>
      <c r="D448" s="56" t="s">
        <v>2811</v>
      </c>
      <c r="E448" s="73" t="s">
        <v>1828</v>
      </c>
      <c r="F448" s="63" t="s">
        <v>6</v>
      </c>
      <c r="G448" s="56" t="s">
        <v>2870</v>
      </c>
      <c r="H448" s="56" t="s">
        <v>2870</v>
      </c>
    </row>
    <row r="449" spans="2:8" x14ac:dyDescent="0.3">
      <c r="B449" s="65">
        <v>45891</v>
      </c>
      <c r="C449" s="71">
        <v>45870</v>
      </c>
      <c r="D449" s="56" t="s">
        <v>2811</v>
      </c>
      <c r="E449" s="73" t="s">
        <v>1828</v>
      </c>
      <c r="F449" s="63" t="s">
        <v>6</v>
      </c>
      <c r="G449" s="56" t="s">
        <v>2899</v>
      </c>
      <c r="H449" s="56" t="s">
        <v>2900</v>
      </c>
    </row>
    <row r="450" spans="2:8" x14ac:dyDescent="0.3">
      <c r="B450" s="65">
        <v>45891</v>
      </c>
      <c r="C450" s="71">
        <v>45870</v>
      </c>
      <c r="D450" s="56" t="s">
        <v>2811</v>
      </c>
      <c r="E450" s="73" t="s">
        <v>1828</v>
      </c>
      <c r="F450" s="63" t="s">
        <v>6</v>
      </c>
      <c r="G450" s="56" t="s">
        <v>2814</v>
      </c>
      <c r="H450" s="56" t="s">
        <v>2815</v>
      </c>
    </row>
    <row r="451" spans="2:8" x14ac:dyDescent="0.3">
      <c r="B451" s="65">
        <v>45891</v>
      </c>
      <c r="C451" s="71">
        <v>45870</v>
      </c>
      <c r="D451" s="56" t="s">
        <v>2811</v>
      </c>
      <c r="E451" s="73" t="s">
        <v>1828</v>
      </c>
      <c r="F451" s="63" t="s">
        <v>6</v>
      </c>
      <c r="G451" s="56" t="s">
        <v>2816</v>
      </c>
      <c r="H451" s="56" t="s">
        <v>2817</v>
      </c>
    </row>
    <row r="452" spans="2:8" x14ac:dyDescent="0.3">
      <c r="B452" s="65">
        <v>45891</v>
      </c>
      <c r="C452" s="71">
        <v>45870</v>
      </c>
      <c r="D452" s="56" t="s">
        <v>2811</v>
      </c>
      <c r="E452" s="73" t="s">
        <v>1828</v>
      </c>
      <c r="F452" s="63" t="s">
        <v>6</v>
      </c>
      <c r="G452" s="56" t="s">
        <v>2818</v>
      </c>
      <c r="H452" s="56" t="s">
        <v>2819</v>
      </c>
    </row>
    <row r="453" spans="2:8" x14ac:dyDescent="0.3">
      <c r="B453" s="65">
        <v>45894</v>
      </c>
      <c r="C453" s="71">
        <v>45870</v>
      </c>
      <c r="D453" s="56" t="s">
        <v>2811</v>
      </c>
      <c r="E453" s="73" t="s">
        <v>1828</v>
      </c>
      <c r="F453" s="63" t="s">
        <v>6</v>
      </c>
      <c r="G453" s="56" t="s">
        <v>2870</v>
      </c>
      <c r="H453" s="56" t="s">
        <v>2870</v>
      </c>
    </row>
    <row r="454" spans="2:8" x14ac:dyDescent="0.3">
      <c r="B454" s="65">
        <v>45894</v>
      </c>
      <c r="C454" s="71">
        <v>45870</v>
      </c>
      <c r="D454" s="56" t="s">
        <v>2811</v>
      </c>
      <c r="E454" s="73" t="s">
        <v>1828</v>
      </c>
      <c r="F454" s="63" t="s">
        <v>6</v>
      </c>
      <c r="G454" s="56" t="s">
        <v>2899</v>
      </c>
      <c r="H454" s="56" t="s">
        <v>2900</v>
      </c>
    </row>
    <row r="455" spans="2:8" x14ac:dyDescent="0.3">
      <c r="B455" s="65">
        <v>45894</v>
      </c>
      <c r="C455" s="71">
        <v>45870</v>
      </c>
      <c r="D455" s="56" t="s">
        <v>2811</v>
      </c>
      <c r="E455" s="73" t="s">
        <v>1828</v>
      </c>
      <c r="F455" s="63" t="s">
        <v>6</v>
      </c>
      <c r="G455" s="56" t="s">
        <v>2814</v>
      </c>
      <c r="H455" s="56" t="s">
        <v>2815</v>
      </c>
    </row>
    <row r="456" spans="2:8" x14ac:dyDescent="0.3">
      <c r="B456" s="65">
        <v>45894</v>
      </c>
      <c r="C456" s="71">
        <v>45870</v>
      </c>
      <c r="D456" s="56" t="s">
        <v>2811</v>
      </c>
      <c r="E456" s="73" t="s">
        <v>1828</v>
      </c>
      <c r="F456" s="63" t="s">
        <v>6</v>
      </c>
      <c r="G456" s="56" t="s">
        <v>2816</v>
      </c>
      <c r="H456" s="56" t="s">
        <v>2817</v>
      </c>
    </row>
    <row r="457" spans="2:8" x14ac:dyDescent="0.3">
      <c r="B457" s="65">
        <v>45894</v>
      </c>
      <c r="C457" s="71">
        <v>45870</v>
      </c>
      <c r="D457" s="56" t="s">
        <v>2811</v>
      </c>
      <c r="E457" s="73" t="s">
        <v>1828</v>
      </c>
      <c r="F457" s="63" t="s">
        <v>6</v>
      </c>
      <c r="G457" s="56" t="s">
        <v>2818</v>
      </c>
      <c r="H457" s="56" t="s">
        <v>2819</v>
      </c>
    </row>
    <row r="458" spans="2:8" x14ac:dyDescent="0.3">
      <c r="B458" s="65">
        <v>45894</v>
      </c>
      <c r="C458" s="71">
        <v>45870</v>
      </c>
      <c r="D458" s="56" t="s">
        <v>2811</v>
      </c>
      <c r="E458" s="73" t="s">
        <v>1828</v>
      </c>
      <c r="F458" s="137" t="s">
        <v>325</v>
      </c>
      <c r="G458" s="56" t="s">
        <v>2904</v>
      </c>
      <c r="H458" s="56" t="s">
        <v>2905</v>
      </c>
    </row>
    <row r="459" spans="2:8" ht="48" x14ac:dyDescent="0.3">
      <c r="B459" s="65">
        <v>45894</v>
      </c>
      <c r="C459" s="71">
        <v>45870</v>
      </c>
      <c r="D459" s="56" t="s">
        <v>2811</v>
      </c>
      <c r="E459" s="73" t="s">
        <v>1828</v>
      </c>
      <c r="F459" s="137" t="s">
        <v>325</v>
      </c>
      <c r="G459" s="18" t="s">
        <v>2906</v>
      </c>
      <c r="H459" s="62" t="s">
        <v>2907</v>
      </c>
    </row>
    <row r="460" spans="2:8" x14ac:dyDescent="0.3">
      <c r="B460" s="65">
        <v>45895</v>
      </c>
      <c r="C460" s="71">
        <v>45870</v>
      </c>
      <c r="D460" s="56" t="s">
        <v>2811</v>
      </c>
      <c r="E460" s="73" t="s">
        <v>1828</v>
      </c>
      <c r="F460" s="63" t="s">
        <v>6</v>
      </c>
      <c r="G460" s="56" t="s">
        <v>2870</v>
      </c>
      <c r="H460" s="56" t="s">
        <v>2870</v>
      </c>
    </row>
    <row r="461" spans="2:8" x14ac:dyDescent="0.3">
      <c r="B461" s="65">
        <v>45895</v>
      </c>
      <c r="C461" s="71">
        <v>45870</v>
      </c>
      <c r="D461" s="56" t="s">
        <v>2811</v>
      </c>
      <c r="E461" s="73" t="s">
        <v>1828</v>
      </c>
      <c r="F461" s="63" t="s">
        <v>6</v>
      </c>
      <c r="G461" s="56" t="s">
        <v>2899</v>
      </c>
      <c r="H461" s="56" t="s">
        <v>2900</v>
      </c>
    </row>
    <row r="462" spans="2:8" x14ac:dyDescent="0.3">
      <c r="B462" s="65">
        <v>45895</v>
      </c>
      <c r="C462" s="71">
        <v>45870</v>
      </c>
      <c r="D462" s="56" t="s">
        <v>2811</v>
      </c>
      <c r="E462" s="73" t="s">
        <v>1828</v>
      </c>
      <c r="F462" s="63" t="s">
        <v>6</v>
      </c>
      <c r="G462" s="56" t="s">
        <v>2814</v>
      </c>
      <c r="H462" s="56" t="s">
        <v>2815</v>
      </c>
    </row>
    <row r="463" spans="2:8" x14ac:dyDescent="0.3">
      <c r="B463" s="65">
        <v>45895</v>
      </c>
      <c r="C463" s="71">
        <v>45870</v>
      </c>
      <c r="D463" s="56" t="s">
        <v>2811</v>
      </c>
      <c r="E463" s="73" t="s">
        <v>1828</v>
      </c>
      <c r="F463" s="63" t="s">
        <v>6</v>
      </c>
      <c r="G463" s="56" t="s">
        <v>2816</v>
      </c>
      <c r="H463" s="56" t="s">
        <v>2817</v>
      </c>
    </row>
    <row r="464" spans="2:8" x14ac:dyDescent="0.3">
      <c r="B464" s="65">
        <v>45895</v>
      </c>
      <c r="C464" s="71">
        <v>45870</v>
      </c>
      <c r="D464" s="56" t="s">
        <v>2811</v>
      </c>
      <c r="E464" s="73" t="s">
        <v>1828</v>
      </c>
      <c r="F464" s="63" t="s">
        <v>6</v>
      </c>
      <c r="G464" s="56" t="s">
        <v>2818</v>
      </c>
      <c r="H464" s="56" t="s">
        <v>2819</v>
      </c>
    </row>
    <row r="465" spans="2:8" x14ac:dyDescent="0.3">
      <c r="B465" s="65">
        <v>45896</v>
      </c>
      <c r="C465" s="71">
        <v>45870</v>
      </c>
      <c r="D465" s="56" t="s">
        <v>2811</v>
      </c>
      <c r="E465" s="73" t="s">
        <v>1828</v>
      </c>
      <c r="F465" s="63" t="s">
        <v>6</v>
      </c>
      <c r="G465" s="56" t="s">
        <v>2870</v>
      </c>
      <c r="H465" s="56" t="s">
        <v>2870</v>
      </c>
    </row>
    <row r="466" spans="2:8" x14ac:dyDescent="0.3">
      <c r="B466" s="65">
        <v>45896</v>
      </c>
      <c r="C466" s="71">
        <v>45870</v>
      </c>
      <c r="D466" s="56" t="s">
        <v>2811</v>
      </c>
      <c r="E466" s="73" t="s">
        <v>1828</v>
      </c>
      <c r="F466" s="63" t="s">
        <v>6</v>
      </c>
      <c r="G466" s="56" t="s">
        <v>2899</v>
      </c>
      <c r="H466" s="56" t="s">
        <v>2900</v>
      </c>
    </row>
    <row r="467" spans="2:8" x14ac:dyDescent="0.3">
      <c r="B467" s="65">
        <v>45896</v>
      </c>
      <c r="C467" s="71">
        <v>45870</v>
      </c>
      <c r="D467" s="56" t="s">
        <v>2811</v>
      </c>
      <c r="E467" s="73" t="s">
        <v>1828</v>
      </c>
      <c r="F467" s="63" t="s">
        <v>6</v>
      </c>
      <c r="G467" s="56" t="s">
        <v>2814</v>
      </c>
      <c r="H467" s="56" t="s">
        <v>2815</v>
      </c>
    </row>
    <row r="468" spans="2:8" x14ac:dyDescent="0.3">
      <c r="B468" s="65">
        <v>45896</v>
      </c>
      <c r="C468" s="71">
        <v>45870</v>
      </c>
      <c r="D468" s="56" t="s">
        <v>2811</v>
      </c>
      <c r="E468" s="73" t="s">
        <v>1828</v>
      </c>
      <c r="F468" s="63" t="s">
        <v>6</v>
      </c>
      <c r="G468" s="56" t="s">
        <v>2816</v>
      </c>
      <c r="H468" s="56" t="s">
        <v>2817</v>
      </c>
    </row>
    <row r="469" spans="2:8" x14ac:dyDescent="0.3">
      <c r="B469" s="65">
        <v>45896</v>
      </c>
      <c r="C469" s="71">
        <v>45870</v>
      </c>
      <c r="D469" s="56" t="s">
        <v>2811</v>
      </c>
      <c r="E469" s="73" t="s">
        <v>1828</v>
      </c>
      <c r="F469" s="63" t="s">
        <v>6</v>
      </c>
      <c r="G469" s="56" t="s">
        <v>2818</v>
      </c>
      <c r="H469" s="56" t="s">
        <v>2819</v>
      </c>
    </row>
    <row r="470" spans="2:8" x14ac:dyDescent="0.3">
      <c r="B470" s="65">
        <v>45897</v>
      </c>
      <c r="C470" s="71">
        <v>45870</v>
      </c>
      <c r="D470" s="56" t="s">
        <v>2811</v>
      </c>
      <c r="E470" s="73" t="s">
        <v>1828</v>
      </c>
      <c r="F470" s="63" t="s">
        <v>6</v>
      </c>
      <c r="G470" s="56" t="s">
        <v>2870</v>
      </c>
      <c r="H470" s="56" t="s">
        <v>2870</v>
      </c>
    </row>
    <row r="471" spans="2:8" x14ac:dyDescent="0.3">
      <c r="B471" s="65">
        <v>45897</v>
      </c>
      <c r="C471" s="71">
        <v>45870</v>
      </c>
      <c r="D471" s="56" t="s">
        <v>2811</v>
      </c>
      <c r="E471" s="73" t="s">
        <v>1828</v>
      </c>
      <c r="F471" s="63" t="s">
        <v>6</v>
      </c>
      <c r="G471" s="56" t="s">
        <v>2899</v>
      </c>
      <c r="H471" s="56" t="s">
        <v>2900</v>
      </c>
    </row>
    <row r="472" spans="2:8" x14ac:dyDescent="0.3">
      <c r="B472" s="65">
        <v>45897</v>
      </c>
      <c r="C472" s="71">
        <v>45870</v>
      </c>
      <c r="D472" s="56" t="s">
        <v>2811</v>
      </c>
      <c r="E472" s="73" t="s">
        <v>1828</v>
      </c>
      <c r="F472" s="63" t="s">
        <v>6</v>
      </c>
      <c r="G472" s="56" t="s">
        <v>2814</v>
      </c>
      <c r="H472" s="56" t="s">
        <v>2815</v>
      </c>
    </row>
    <row r="473" spans="2:8" x14ac:dyDescent="0.3">
      <c r="B473" s="65">
        <v>45897</v>
      </c>
      <c r="C473" s="71">
        <v>45870</v>
      </c>
      <c r="D473" s="56" t="s">
        <v>2811</v>
      </c>
      <c r="E473" s="73" t="s">
        <v>1828</v>
      </c>
      <c r="F473" s="63" t="s">
        <v>6</v>
      </c>
      <c r="G473" s="56" t="s">
        <v>2816</v>
      </c>
      <c r="H473" s="56" t="s">
        <v>2817</v>
      </c>
    </row>
    <row r="474" spans="2:8" x14ac:dyDescent="0.3">
      <c r="B474" s="65">
        <v>45897</v>
      </c>
      <c r="C474" s="71">
        <v>45870</v>
      </c>
      <c r="D474" s="56" t="s">
        <v>2811</v>
      </c>
      <c r="E474" s="73" t="s">
        <v>1828</v>
      </c>
      <c r="F474" s="63" t="s">
        <v>6</v>
      </c>
      <c r="G474" s="56" t="s">
        <v>2818</v>
      </c>
      <c r="H474" s="56" t="s">
        <v>2819</v>
      </c>
    </row>
    <row r="475" spans="2:8" x14ac:dyDescent="0.3">
      <c r="B475" s="65">
        <v>45898</v>
      </c>
      <c r="C475" s="71">
        <v>45870</v>
      </c>
      <c r="D475" s="56" t="s">
        <v>2811</v>
      </c>
      <c r="E475" s="73" t="s">
        <v>1828</v>
      </c>
      <c r="F475" s="63" t="s">
        <v>6</v>
      </c>
      <c r="G475" s="56" t="s">
        <v>2870</v>
      </c>
      <c r="H475" s="56" t="s">
        <v>2870</v>
      </c>
    </row>
    <row r="476" spans="2:8" x14ac:dyDescent="0.3">
      <c r="B476" s="65">
        <v>45898</v>
      </c>
      <c r="C476" s="71">
        <v>45870</v>
      </c>
      <c r="D476" s="56" t="s">
        <v>2811</v>
      </c>
      <c r="E476" s="73" t="s">
        <v>1828</v>
      </c>
      <c r="F476" s="63" t="s">
        <v>6</v>
      </c>
      <c r="G476" s="56" t="s">
        <v>2899</v>
      </c>
      <c r="H476" s="56" t="s">
        <v>2900</v>
      </c>
    </row>
    <row r="477" spans="2:8" x14ac:dyDescent="0.3">
      <c r="B477" s="65">
        <v>45898</v>
      </c>
      <c r="C477" s="71">
        <v>45870</v>
      </c>
      <c r="D477" s="56" t="s">
        <v>2811</v>
      </c>
      <c r="E477" s="73" t="s">
        <v>1828</v>
      </c>
      <c r="F477" s="63" t="s">
        <v>6</v>
      </c>
      <c r="G477" s="56" t="s">
        <v>2814</v>
      </c>
      <c r="H477" s="56" t="s">
        <v>2815</v>
      </c>
    </row>
    <row r="478" spans="2:8" x14ac:dyDescent="0.3">
      <c r="B478" s="65">
        <v>45898</v>
      </c>
      <c r="C478" s="71">
        <v>45870</v>
      </c>
      <c r="D478" s="56" t="s">
        <v>2811</v>
      </c>
      <c r="E478" s="73" t="s">
        <v>1828</v>
      </c>
      <c r="F478" s="63" t="s">
        <v>6</v>
      </c>
      <c r="G478" s="56" t="s">
        <v>2816</v>
      </c>
      <c r="H478" s="56" t="s">
        <v>2817</v>
      </c>
    </row>
    <row r="479" spans="2:8" x14ac:dyDescent="0.3">
      <c r="B479" s="65">
        <v>45898</v>
      </c>
      <c r="C479" s="71">
        <v>45870</v>
      </c>
      <c r="D479" s="56" t="s">
        <v>2811</v>
      </c>
      <c r="E479" s="73" t="s">
        <v>1828</v>
      </c>
      <c r="F479" s="63" t="s">
        <v>6</v>
      </c>
      <c r="G479" s="56" t="s">
        <v>2818</v>
      </c>
      <c r="H479" s="56" t="s">
        <v>2819</v>
      </c>
    </row>
    <row r="480" spans="2:8" x14ac:dyDescent="0.3">
      <c r="B480" s="65">
        <v>45901</v>
      </c>
      <c r="C480" s="71">
        <v>45901</v>
      </c>
      <c r="D480" s="56" t="s">
        <v>2811</v>
      </c>
      <c r="E480" s="73" t="s">
        <v>1828</v>
      </c>
      <c r="F480" s="63" t="s">
        <v>6</v>
      </c>
      <c r="G480" s="56" t="s">
        <v>2870</v>
      </c>
      <c r="H480" s="56" t="s">
        <v>2870</v>
      </c>
    </row>
    <row r="481" spans="2:8" x14ac:dyDescent="0.3">
      <c r="B481" s="65">
        <v>45901</v>
      </c>
      <c r="C481" s="71">
        <v>45901</v>
      </c>
      <c r="D481" s="56" t="s">
        <v>2811</v>
      </c>
      <c r="E481" s="73" t="s">
        <v>1828</v>
      </c>
      <c r="F481" s="63" t="s">
        <v>6</v>
      </c>
      <c r="G481" s="56" t="s">
        <v>2899</v>
      </c>
      <c r="H481" s="56" t="s">
        <v>2900</v>
      </c>
    </row>
    <row r="482" spans="2:8" x14ac:dyDescent="0.3">
      <c r="B482" s="65">
        <v>45901</v>
      </c>
      <c r="C482" s="71">
        <v>45901</v>
      </c>
      <c r="D482" s="56" t="s">
        <v>2811</v>
      </c>
      <c r="E482" s="73" t="s">
        <v>1828</v>
      </c>
      <c r="F482" s="63" t="s">
        <v>6</v>
      </c>
      <c r="G482" s="56" t="s">
        <v>2814</v>
      </c>
      <c r="H482" s="56" t="s">
        <v>2815</v>
      </c>
    </row>
    <row r="483" spans="2:8" x14ac:dyDescent="0.3">
      <c r="B483" s="65">
        <v>45901</v>
      </c>
      <c r="C483" s="71">
        <v>45901</v>
      </c>
      <c r="D483" s="56" t="s">
        <v>2811</v>
      </c>
      <c r="E483" s="73" t="s">
        <v>1828</v>
      </c>
      <c r="F483" s="63" t="s">
        <v>6</v>
      </c>
      <c r="G483" s="56" t="s">
        <v>2816</v>
      </c>
      <c r="H483" s="56" t="s">
        <v>2817</v>
      </c>
    </row>
    <row r="484" spans="2:8" x14ac:dyDescent="0.3">
      <c r="B484" s="65">
        <v>45901</v>
      </c>
      <c r="C484" s="71">
        <v>45901</v>
      </c>
      <c r="D484" s="56" t="s">
        <v>2811</v>
      </c>
      <c r="E484" s="73" t="s">
        <v>1828</v>
      </c>
      <c r="F484" s="63" t="s">
        <v>6</v>
      </c>
      <c r="G484" s="56" t="s">
        <v>2818</v>
      </c>
      <c r="H484" s="56" t="s">
        <v>2819</v>
      </c>
    </row>
    <row r="485" spans="2:8" ht="48" x14ac:dyDescent="0.3">
      <c r="B485" s="65">
        <v>45901</v>
      </c>
      <c r="C485" s="71">
        <v>45901</v>
      </c>
      <c r="D485" s="56" t="s">
        <v>2811</v>
      </c>
      <c r="E485" s="73" t="s">
        <v>1828</v>
      </c>
      <c r="F485" s="137" t="s">
        <v>325</v>
      </c>
      <c r="G485" s="62" t="s">
        <v>2908</v>
      </c>
      <c r="H485" s="20" t="s">
        <v>2909</v>
      </c>
    </row>
    <row r="486" spans="2:8" x14ac:dyDescent="0.3">
      <c r="B486" s="65">
        <v>45902</v>
      </c>
      <c r="C486" s="71">
        <v>45901</v>
      </c>
      <c r="D486" s="56" t="s">
        <v>2811</v>
      </c>
      <c r="E486" s="73" t="s">
        <v>1828</v>
      </c>
      <c r="F486" s="63" t="s">
        <v>6</v>
      </c>
      <c r="G486" s="56" t="s">
        <v>2870</v>
      </c>
      <c r="H486" s="56" t="s">
        <v>2870</v>
      </c>
    </row>
    <row r="487" spans="2:8" x14ac:dyDescent="0.3">
      <c r="B487" s="65">
        <v>45902</v>
      </c>
      <c r="C487" s="71">
        <v>45901</v>
      </c>
      <c r="D487" s="56" t="s">
        <v>2811</v>
      </c>
      <c r="E487" s="73" t="s">
        <v>1828</v>
      </c>
      <c r="F487" s="63" t="s">
        <v>6</v>
      </c>
      <c r="G487" s="56" t="s">
        <v>2899</v>
      </c>
      <c r="H487" s="56" t="s">
        <v>2900</v>
      </c>
    </row>
    <row r="488" spans="2:8" x14ac:dyDescent="0.3">
      <c r="B488" s="65">
        <v>45902</v>
      </c>
      <c r="C488" s="71">
        <v>45901</v>
      </c>
      <c r="D488" s="56" t="s">
        <v>2811</v>
      </c>
      <c r="E488" s="73" t="s">
        <v>1828</v>
      </c>
      <c r="F488" s="63" t="s">
        <v>6</v>
      </c>
      <c r="G488" s="56" t="s">
        <v>2814</v>
      </c>
      <c r="H488" s="56" t="s">
        <v>2815</v>
      </c>
    </row>
    <row r="489" spans="2:8" x14ac:dyDescent="0.3">
      <c r="B489" s="65">
        <v>45902</v>
      </c>
      <c r="C489" s="71">
        <v>45901</v>
      </c>
      <c r="D489" s="56" t="s">
        <v>2811</v>
      </c>
      <c r="E489" s="73" t="s">
        <v>1828</v>
      </c>
      <c r="F489" s="63" t="s">
        <v>6</v>
      </c>
      <c r="G489" s="56" t="s">
        <v>2816</v>
      </c>
      <c r="H489" s="56" t="s">
        <v>2817</v>
      </c>
    </row>
    <row r="490" spans="2:8" x14ac:dyDescent="0.3">
      <c r="B490" s="65">
        <v>45902</v>
      </c>
      <c r="C490" s="71">
        <v>45901</v>
      </c>
      <c r="D490" s="56" t="s">
        <v>2811</v>
      </c>
      <c r="E490" s="73" t="s">
        <v>1828</v>
      </c>
      <c r="F490" s="63" t="s">
        <v>6</v>
      </c>
      <c r="G490" s="56" t="s">
        <v>2818</v>
      </c>
      <c r="H490" s="56" t="s">
        <v>2819</v>
      </c>
    </row>
    <row r="491" spans="2:8" x14ac:dyDescent="0.3">
      <c r="B491" s="65">
        <v>45902</v>
      </c>
      <c r="C491" s="71">
        <v>45901</v>
      </c>
      <c r="D491" s="56" t="s">
        <v>2811</v>
      </c>
      <c r="E491" s="73" t="s">
        <v>1828</v>
      </c>
      <c r="F491" s="137" t="s">
        <v>325</v>
      </c>
      <c r="G491" s="56" t="s">
        <v>2910</v>
      </c>
      <c r="H491" s="56" t="s">
        <v>2911</v>
      </c>
    </row>
    <row r="492" spans="2:8" x14ac:dyDescent="0.3">
      <c r="B492" s="65">
        <v>45903</v>
      </c>
      <c r="C492" s="71">
        <v>45901</v>
      </c>
      <c r="D492" s="56" t="s">
        <v>2811</v>
      </c>
      <c r="E492" s="73" t="s">
        <v>1828</v>
      </c>
      <c r="F492" s="63" t="s">
        <v>6</v>
      </c>
      <c r="G492" s="56" t="s">
        <v>2870</v>
      </c>
      <c r="H492" s="56" t="s">
        <v>2870</v>
      </c>
    </row>
    <row r="493" spans="2:8" x14ac:dyDescent="0.3">
      <c r="B493" s="65">
        <v>45903</v>
      </c>
      <c r="C493" s="71">
        <v>45901</v>
      </c>
      <c r="D493" s="56" t="s">
        <v>2811</v>
      </c>
      <c r="E493" s="73" t="s">
        <v>1828</v>
      </c>
      <c r="F493" s="63" t="s">
        <v>6</v>
      </c>
      <c r="G493" s="56" t="s">
        <v>2899</v>
      </c>
      <c r="H493" s="56" t="s">
        <v>2900</v>
      </c>
    </row>
    <row r="494" spans="2:8" x14ac:dyDescent="0.3">
      <c r="B494" s="65">
        <v>45903</v>
      </c>
      <c r="C494" s="71">
        <v>45901</v>
      </c>
      <c r="D494" s="56" t="s">
        <v>2811</v>
      </c>
      <c r="E494" s="73" t="s">
        <v>1828</v>
      </c>
      <c r="F494" s="63" t="s">
        <v>6</v>
      </c>
      <c r="G494" s="56" t="s">
        <v>2814</v>
      </c>
      <c r="H494" s="56" t="s">
        <v>2815</v>
      </c>
    </row>
    <row r="495" spans="2:8" x14ac:dyDescent="0.3">
      <c r="B495" s="65">
        <v>45903</v>
      </c>
      <c r="C495" s="71">
        <v>45901</v>
      </c>
      <c r="D495" s="56" t="s">
        <v>2811</v>
      </c>
      <c r="E495" s="73" t="s">
        <v>1828</v>
      </c>
      <c r="F495" s="63" t="s">
        <v>6</v>
      </c>
      <c r="G495" s="56" t="s">
        <v>2816</v>
      </c>
      <c r="H495" s="56" t="s">
        <v>2817</v>
      </c>
    </row>
    <row r="496" spans="2:8" x14ac:dyDescent="0.3">
      <c r="B496" s="65">
        <v>45903</v>
      </c>
      <c r="C496" s="71">
        <v>45901</v>
      </c>
      <c r="D496" s="56" t="s">
        <v>2811</v>
      </c>
      <c r="E496" s="73" t="s">
        <v>1828</v>
      </c>
      <c r="F496" s="63" t="s">
        <v>6</v>
      </c>
      <c r="G496" s="56" t="s">
        <v>2818</v>
      </c>
      <c r="H496" s="56" t="s">
        <v>2819</v>
      </c>
    </row>
    <row r="497" spans="2:8" x14ac:dyDescent="0.3">
      <c r="B497" s="65">
        <v>45904</v>
      </c>
      <c r="C497" s="71">
        <v>45901</v>
      </c>
      <c r="D497" s="56" t="s">
        <v>2811</v>
      </c>
      <c r="E497" s="73" t="s">
        <v>1828</v>
      </c>
      <c r="F497" s="63" t="s">
        <v>6</v>
      </c>
      <c r="G497" s="56" t="s">
        <v>2870</v>
      </c>
      <c r="H497" s="56" t="s">
        <v>2870</v>
      </c>
    </row>
    <row r="498" spans="2:8" x14ac:dyDescent="0.3">
      <c r="B498" s="65">
        <v>45904</v>
      </c>
      <c r="C498" s="71">
        <v>45901</v>
      </c>
      <c r="D498" s="56" t="s">
        <v>2811</v>
      </c>
      <c r="E498" s="73" t="s">
        <v>1828</v>
      </c>
      <c r="F498" s="63" t="s">
        <v>6</v>
      </c>
      <c r="G498" s="56" t="s">
        <v>2899</v>
      </c>
      <c r="H498" s="56" t="s">
        <v>2900</v>
      </c>
    </row>
    <row r="499" spans="2:8" x14ac:dyDescent="0.3">
      <c r="B499" s="65">
        <v>45904</v>
      </c>
      <c r="C499" s="71">
        <v>45901</v>
      </c>
      <c r="D499" s="56" t="s">
        <v>2811</v>
      </c>
      <c r="E499" s="73" t="s">
        <v>1828</v>
      </c>
      <c r="F499" s="63" t="s">
        <v>6</v>
      </c>
      <c r="G499" s="56" t="s">
        <v>2814</v>
      </c>
      <c r="H499" s="56" t="s">
        <v>2815</v>
      </c>
    </row>
    <row r="500" spans="2:8" x14ac:dyDescent="0.3">
      <c r="B500" s="65">
        <v>45904</v>
      </c>
      <c r="C500" s="71">
        <v>45901</v>
      </c>
      <c r="D500" s="56" t="s">
        <v>2811</v>
      </c>
      <c r="E500" s="73" t="s">
        <v>1828</v>
      </c>
      <c r="F500" s="63" t="s">
        <v>6</v>
      </c>
      <c r="G500" s="56" t="s">
        <v>2816</v>
      </c>
      <c r="H500" s="56" t="s">
        <v>2817</v>
      </c>
    </row>
    <row r="501" spans="2:8" x14ac:dyDescent="0.3">
      <c r="B501" s="65">
        <v>45904</v>
      </c>
      <c r="C501" s="71">
        <v>45901</v>
      </c>
      <c r="D501" s="56" t="s">
        <v>2811</v>
      </c>
      <c r="E501" s="73" t="s">
        <v>1828</v>
      </c>
      <c r="F501" s="63" t="s">
        <v>6</v>
      </c>
      <c r="G501" s="56" t="s">
        <v>2818</v>
      </c>
      <c r="H501" s="56" t="s">
        <v>2819</v>
      </c>
    </row>
    <row r="502" spans="2:8" x14ac:dyDescent="0.3">
      <c r="B502" s="65">
        <v>45905</v>
      </c>
      <c r="C502" s="71">
        <v>45901</v>
      </c>
      <c r="D502" s="56" t="s">
        <v>2811</v>
      </c>
      <c r="E502" s="73" t="s">
        <v>1828</v>
      </c>
      <c r="F502" s="63" t="s">
        <v>6</v>
      </c>
      <c r="G502" s="56" t="s">
        <v>2870</v>
      </c>
      <c r="H502" s="56" t="s">
        <v>2870</v>
      </c>
    </row>
    <row r="503" spans="2:8" x14ac:dyDescent="0.3">
      <c r="B503" s="65">
        <v>45905</v>
      </c>
      <c r="C503" s="71">
        <v>45901</v>
      </c>
      <c r="D503" s="56" t="s">
        <v>2811</v>
      </c>
      <c r="E503" s="73" t="s">
        <v>1828</v>
      </c>
      <c r="F503" s="63" t="s">
        <v>6</v>
      </c>
      <c r="G503" s="56" t="s">
        <v>2899</v>
      </c>
      <c r="H503" s="56" t="s">
        <v>2900</v>
      </c>
    </row>
    <row r="504" spans="2:8" x14ac:dyDescent="0.3">
      <c r="B504" s="65">
        <v>45905</v>
      </c>
      <c r="C504" s="71">
        <v>45901</v>
      </c>
      <c r="D504" s="56" t="s">
        <v>2811</v>
      </c>
      <c r="E504" s="73" t="s">
        <v>1828</v>
      </c>
      <c r="F504" s="63" t="s">
        <v>6</v>
      </c>
      <c r="G504" s="56" t="s">
        <v>2814</v>
      </c>
      <c r="H504" s="56" t="s">
        <v>2815</v>
      </c>
    </row>
    <row r="505" spans="2:8" x14ac:dyDescent="0.3">
      <c r="B505" s="65">
        <v>45905</v>
      </c>
      <c r="C505" s="71">
        <v>45901</v>
      </c>
      <c r="D505" s="56" t="s">
        <v>2811</v>
      </c>
      <c r="E505" s="73" t="s">
        <v>1828</v>
      </c>
      <c r="F505" s="63" t="s">
        <v>6</v>
      </c>
      <c r="G505" s="56" t="s">
        <v>2816</v>
      </c>
      <c r="H505" s="56" t="s">
        <v>2817</v>
      </c>
    </row>
    <row r="506" spans="2:8" x14ac:dyDescent="0.3">
      <c r="B506" s="65">
        <v>45905</v>
      </c>
      <c r="C506" s="71">
        <v>45901</v>
      </c>
      <c r="D506" s="56" t="s">
        <v>2811</v>
      </c>
      <c r="E506" s="73" t="s">
        <v>1828</v>
      </c>
      <c r="F506" s="63" t="s">
        <v>6</v>
      </c>
      <c r="G506" s="56" t="s">
        <v>2818</v>
      </c>
      <c r="H506" s="56" t="s">
        <v>2819</v>
      </c>
    </row>
    <row r="507" spans="2:8" x14ac:dyDescent="0.3">
      <c r="B507" s="65">
        <v>45908</v>
      </c>
      <c r="C507" s="71">
        <v>45901</v>
      </c>
      <c r="D507" s="56" t="s">
        <v>2811</v>
      </c>
      <c r="E507" s="73" t="s">
        <v>1828</v>
      </c>
      <c r="F507" s="63" t="s">
        <v>6</v>
      </c>
      <c r="G507" s="56" t="s">
        <v>2870</v>
      </c>
      <c r="H507" s="56" t="s">
        <v>2870</v>
      </c>
    </row>
    <row r="508" spans="2:8" x14ac:dyDescent="0.3">
      <c r="B508" s="65">
        <v>45908</v>
      </c>
      <c r="C508" s="71">
        <v>45901</v>
      </c>
      <c r="D508" s="56" t="s">
        <v>2811</v>
      </c>
      <c r="E508" s="73" t="s">
        <v>1828</v>
      </c>
      <c r="F508" s="63" t="s">
        <v>6</v>
      </c>
      <c r="G508" s="56" t="s">
        <v>2899</v>
      </c>
      <c r="H508" s="56" t="s">
        <v>2900</v>
      </c>
    </row>
    <row r="509" spans="2:8" x14ac:dyDescent="0.3">
      <c r="B509" s="65">
        <v>45908</v>
      </c>
      <c r="C509" s="71">
        <v>45901</v>
      </c>
      <c r="D509" s="56" t="s">
        <v>2811</v>
      </c>
      <c r="E509" s="73" t="s">
        <v>1828</v>
      </c>
      <c r="F509" s="63" t="s">
        <v>6</v>
      </c>
      <c r="G509" s="56" t="s">
        <v>2814</v>
      </c>
      <c r="H509" s="56" t="s">
        <v>2815</v>
      </c>
    </row>
    <row r="510" spans="2:8" x14ac:dyDescent="0.3">
      <c r="B510" s="65">
        <v>45908</v>
      </c>
      <c r="C510" s="71">
        <v>45901</v>
      </c>
      <c r="D510" s="56" t="s">
        <v>2811</v>
      </c>
      <c r="E510" s="73" t="s">
        <v>1828</v>
      </c>
      <c r="F510" s="63" t="s">
        <v>6</v>
      </c>
      <c r="G510" s="56" t="s">
        <v>2816</v>
      </c>
      <c r="H510" s="56" t="s">
        <v>2817</v>
      </c>
    </row>
    <row r="511" spans="2:8" x14ac:dyDescent="0.3">
      <c r="B511" s="65">
        <v>45908</v>
      </c>
      <c r="C511" s="71">
        <v>45901</v>
      </c>
      <c r="D511" s="56" t="s">
        <v>2811</v>
      </c>
      <c r="E511" s="73" t="s">
        <v>1828</v>
      </c>
      <c r="F511" s="63" t="s">
        <v>6</v>
      </c>
      <c r="G511" s="56" t="s">
        <v>2818</v>
      </c>
      <c r="H511" s="56" t="s">
        <v>2819</v>
      </c>
    </row>
    <row r="512" spans="2:8" x14ac:dyDescent="0.3">
      <c r="B512" s="65">
        <v>45908</v>
      </c>
      <c r="C512" s="71">
        <v>45901</v>
      </c>
      <c r="D512" s="56" t="s">
        <v>2811</v>
      </c>
      <c r="E512" s="73" t="s">
        <v>1828</v>
      </c>
      <c r="F512" s="137" t="s">
        <v>325</v>
      </c>
      <c r="G512" s="56" t="s">
        <v>2912</v>
      </c>
      <c r="H512" s="56" t="s">
        <v>2913</v>
      </c>
    </row>
    <row r="513" spans="2:8" x14ac:dyDescent="0.3">
      <c r="B513" s="65">
        <v>45908</v>
      </c>
      <c r="C513" s="71">
        <v>45901</v>
      </c>
      <c r="D513" s="56" t="s">
        <v>2811</v>
      </c>
      <c r="E513" s="73" t="s">
        <v>1828</v>
      </c>
      <c r="F513" s="137" t="s">
        <v>325</v>
      </c>
      <c r="G513" s="56" t="s">
        <v>2914</v>
      </c>
      <c r="H513" s="56" t="s">
        <v>2915</v>
      </c>
    </row>
    <row r="514" spans="2:8" x14ac:dyDescent="0.3">
      <c r="B514" s="65">
        <v>45909</v>
      </c>
      <c r="C514" s="71">
        <v>45901</v>
      </c>
      <c r="D514" s="56" t="s">
        <v>2811</v>
      </c>
      <c r="E514" s="73" t="s">
        <v>1828</v>
      </c>
      <c r="F514" s="63" t="s">
        <v>6</v>
      </c>
      <c r="G514" s="56" t="s">
        <v>2870</v>
      </c>
      <c r="H514" s="56" t="s">
        <v>2870</v>
      </c>
    </row>
    <row r="515" spans="2:8" x14ac:dyDescent="0.3">
      <c r="B515" s="65">
        <v>45909</v>
      </c>
      <c r="C515" s="71">
        <v>45901</v>
      </c>
      <c r="D515" s="56" t="s">
        <v>2811</v>
      </c>
      <c r="E515" s="73" t="s">
        <v>1828</v>
      </c>
      <c r="F515" s="63" t="s">
        <v>6</v>
      </c>
      <c r="G515" s="56" t="s">
        <v>2899</v>
      </c>
      <c r="H515" s="56" t="s">
        <v>2900</v>
      </c>
    </row>
    <row r="516" spans="2:8" x14ac:dyDescent="0.3">
      <c r="B516" s="65">
        <v>45909</v>
      </c>
      <c r="C516" s="71">
        <v>45901</v>
      </c>
      <c r="D516" s="56" t="s">
        <v>2811</v>
      </c>
      <c r="E516" s="73" t="s">
        <v>1828</v>
      </c>
      <c r="F516" s="63" t="s">
        <v>6</v>
      </c>
      <c r="G516" s="56" t="s">
        <v>2814</v>
      </c>
      <c r="H516" s="56" t="s">
        <v>2815</v>
      </c>
    </row>
    <row r="517" spans="2:8" x14ac:dyDescent="0.3">
      <c r="B517" s="65">
        <v>45909</v>
      </c>
      <c r="C517" s="71">
        <v>45901</v>
      </c>
      <c r="D517" s="56" t="s">
        <v>2811</v>
      </c>
      <c r="E517" s="73" t="s">
        <v>1828</v>
      </c>
      <c r="F517" s="63" t="s">
        <v>6</v>
      </c>
      <c r="G517" s="56" t="s">
        <v>2816</v>
      </c>
      <c r="H517" s="56" t="s">
        <v>2817</v>
      </c>
    </row>
    <row r="518" spans="2:8" x14ac:dyDescent="0.3">
      <c r="B518" s="65">
        <v>45909</v>
      </c>
      <c r="C518" s="71">
        <v>45901</v>
      </c>
      <c r="D518" s="56" t="s">
        <v>2811</v>
      </c>
      <c r="E518" s="73" t="s">
        <v>1828</v>
      </c>
      <c r="F518" s="63" t="s">
        <v>6</v>
      </c>
      <c r="G518" s="56" t="s">
        <v>2818</v>
      </c>
      <c r="H518" s="56" t="s">
        <v>2819</v>
      </c>
    </row>
    <row r="519" spans="2:8" x14ac:dyDescent="0.3">
      <c r="B519" s="65">
        <v>45909</v>
      </c>
      <c r="C519" s="71">
        <v>45901</v>
      </c>
      <c r="D519" s="56" t="s">
        <v>2811</v>
      </c>
      <c r="E519" s="73" t="s">
        <v>1828</v>
      </c>
      <c r="F519" s="137" t="s">
        <v>325</v>
      </c>
      <c r="G519" s="56" t="s">
        <v>2916</v>
      </c>
      <c r="H519" s="56" t="s">
        <v>2917</v>
      </c>
    </row>
    <row r="520" spans="2:8" x14ac:dyDescent="0.3">
      <c r="B520" s="65">
        <v>45910</v>
      </c>
      <c r="C520" s="71">
        <v>45901</v>
      </c>
      <c r="D520" s="56" t="s">
        <v>2811</v>
      </c>
      <c r="E520" s="73" t="s">
        <v>1828</v>
      </c>
      <c r="F520" s="63" t="s">
        <v>6</v>
      </c>
      <c r="G520" s="56" t="s">
        <v>2870</v>
      </c>
      <c r="H520" s="56" t="s">
        <v>2870</v>
      </c>
    </row>
    <row r="521" spans="2:8" x14ac:dyDescent="0.3">
      <c r="B521" s="65">
        <v>45910</v>
      </c>
      <c r="C521" s="71">
        <v>45901</v>
      </c>
      <c r="D521" s="56" t="s">
        <v>2811</v>
      </c>
      <c r="E521" s="73" t="s">
        <v>1828</v>
      </c>
      <c r="F521" s="63" t="s">
        <v>6</v>
      </c>
      <c r="G521" s="56" t="s">
        <v>2814</v>
      </c>
      <c r="H521" s="56" t="s">
        <v>2815</v>
      </c>
    </row>
    <row r="522" spans="2:8" x14ac:dyDescent="0.3">
      <c r="B522" s="65">
        <v>45910</v>
      </c>
      <c r="C522" s="71">
        <v>45901</v>
      </c>
      <c r="D522" s="56" t="s">
        <v>2811</v>
      </c>
      <c r="E522" s="73" t="s">
        <v>1828</v>
      </c>
      <c r="F522" s="63" t="s">
        <v>6</v>
      </c>
      <c r="G522" s="56" t="s">
        <v>2816</v>
      </c>
      <c r="H522" s="56" t="s">
        <v>2817</v>
      </c>
    </row>
    <row r="523" spans="2:8" x14ac:dyDescent="0.3">
      <c r="B523" s="65">
        <v>45910</v>
      </c>
      <c r="C523" s="71">
        <v>45901</v>
      </c>
      <c r="D523" s="56" t="s">
        <v>2811</v>
      </c>
      <c r="E523" s="73" t="s">
        <v>1828</v>
      </c>
      <c r="F523" s="63" t="s">
        <v>6</v>
      </c>
      <c r="G523" s="56" t="s">
        <v>2818</v>
      </c>
      <c r="H523" s="56" t="s">
        <v>2819</v>
      </c>
    </row>
    <row r="524" spans="2:8" x14ac:dyDescent="0.3">
      <c r="B524" s="65">
        <v>45911</v>
      </c>
      <c r="C524" s="71">
        <v>45901</v>
      </c>
      <c r="D524" s="56" t="s">
        <v>2811</v>
      </c>
      <c r="E524" s="73" t="s">
        <v>1828</v>
      </c>
      <c r="F524" s="63" t="s">
        <v>6</v>
      </c>
      <c r="G524" s="56" t="s">
        <v>2870</v>
      </c>
      <c r="H524" s="56" t="s">
        <v>2870</v>
      </c>
    </row>
    <row r="525" spans="2:8" x14ac:dyDescent="0.3">
      <c r="B525" s="65">
        <v>45911</v>
      </c>
      <c r="C525" s="71">
        <v>45901</v>
      </c>
      <c r="D525" s="56" t="s">
        <v>2811</v>
      </c>
      <c r="E525" s="73" t="s">
        <v>1828</v>
      </c>
      <c r="F525" s="63" t="s">
        <v>6</v>
      </c>
      <c r="G525" s="56" t="s">
        <v>2814</v>
      </c>
      <c r="H525" s="56" t="s">
        <v>2815</v>
      </c>
    </row>
    <row r="526" spans="2:8" x14ac:dyDescent="0.3">
      <c r="B526" s="65">
        <v>45911</v>
      </c>
      <c r="C526" s="71">
        <v>45901</v>
      </c>
      <c r="D526" s="56" t="s">
        <v>2811</v>
      </c>
      <c r="E526" s="73" t="s">
        <v>1828</v>
      </c>
      <c r="F526" s="63" t="s">
        <v>6</v>
      </c>
      <c r="G526" s="56" t="s">
        <v>2816</v>
      </c>
      <c r="H526" s="56" t="s">
        <v>2817</v>
      </c>
    </row>
    <row r="527" spans="2:8" x14ac:dyDescent="0.3">
      <c r="B527" s="65">
        <v>45911</v>
      </c>
      <c r="C527" s="71">
        <v>45901</v>
      </c>
      <c r="D527" s="56" t="s">
        <v>2811</v>
      </c>
      <c r="E527" s="73" t="s">
        <v>1828</v>
      </c>
      <c r="F527" s="63" t="s">
        <v>6</v>
      </c>
      <c r="G527" s="56" t="s">
        <v>2818</v>
      </c>
      <c r="H527" s="56" t="s">
        <v>2819</v>
      </c>
    </row>
    <row r="528" spans="2:8" x14ac:dyDescent="0.3">
      <c r="B528" s="65">
        <v>45912</v>
      </c>
      <c r="C528" s="71">
        <v>45901</v>
      </c>
      <c r="D528" s="56" t="s">
        <v>2811</v>
      </c>
      <c r="E528" s="73" t="s">
        <v>1828</v>
      </c>
      <c r="F528" s="63" t="s">
        <v>6</v>
      </c>
      <c r="G528" s="56" t="s">
        <v>2870</v>
      </c>
      <c r="H528" s="56" t="s">
        <v>2870</v>
      </c>
    </row>
    <row r="529" spans="2:8" x14ac:dyDescent="0.3">
      <c r="B529" s="65">
        <v>45912</v>
      </c>
      <c r="C529" s="71">
        <v>45901</v>
      </c>
      <c r="D529" s="56" t="s">
        <v>2811</v>
      </c>
      <c r="E529" s="73" t="s">
        <v>1828</v>
      </c>
      <c r="F529" s="63" t="s">
        <v>6</v>
      </c>
      <c r="G529" s="56" t="s">
        <v>2814</v>
      </c>
      <c r="H529" s="56" t="s">
        <v>2815</v>
      </c>
    </row>
    <row r="530" spans="2:8" x14ac:dyDescent="0.3">
      <c r="B530" s="65">
        <v>45912</v>
      </c>
      <c r="C530" s="71">
        <v>45901</v>
      </c>
      <c r="D530" s="56" t="s">
        <v>2811</v>
      </c>
      <c r="E530" s="73" t="s">
        <v>1828</v>
      </c>
      <c r="F530" s="63" t="s">
        <v>6</v>
      </c>
      <c r="G530" s="56" t="s">
        <v>2816</v>
      </c>
      <c r="H530" s="56" t="s">
        <v>2817</v>
      </c>
    </row>
    <row r="531" spans="2:8" x14ac:dyDescent="0.3">
      <c r="B531" s="65">
        <v>45912</v>
      </c>
      <c r="C531" s="71">
        <v>45901</v>
      </c>
      <c r="D531" s="56" t="s">
        <v>2811</v>
      </c>
      <c r="E531" s="73" t="s">
        <v>1828</v>
      </c>
      <c r="F531" s="63" t="s">
        <v>6</v>
      </c>
      <c r="G531" s="56" t="s">
        <v>2818</v>
      </c>
      <c r="H531" s="56" t="s">
        <v>2819</v>
      </c>
    </row>
    <row r="532" spans="2:8" x14ac:dyDescent="0.3">
      <c r="B532" s="65">
        <v>45915</v>
      </c>
      <c r="C532" s="71">
        <v>45901</v>
      </c>
      <c r="D532" s="56" t="s">
        <v>2811</v>
      </c>
      <c r="E532" s="73" t="s">
        <v>1828</v>
      </c>
      <c r="F532" s="63" t="s">
        <v>6</v>
      </c>
      <c r="G532" s="56" t="s">
        <v>2870</v>
      </c>
      <c r="H532" s="56" t="s">
        <v>2870</v>
      </c>
    </row>
    <row r="533" spans="2:8" x14ac:dyDescent="0.3">
      <c r="B533" s="65">
        <v>45915</v>
      </c>
      <c r="C533" s="71">
        <v>45901</v>
      </c>
      <c r="D533" s="56" t="s">
        <v>2811</v>
      </c>
      <c r="E533" s="73" t="s">
        <v>1828</v>
      </c>
      <c r="F533" s="63" t="s">
        <v>6</v>
      </c>
      <c r="G533" s="56" t="s">
        <v>2814</v>
      </c>
      <c r="H533" s="56" t="s">
        <v>2815</v>
      </c>
    </row>
    <row r="534" spans="2:8" x14ac:dyDescent="0.3">
      <c r="B534" s="65">
        <v>45915</v>
      </c>
      <c r="C534" s="71">
        <v>45901</v>
      </c>
      <c r="D534" s="56" t="s">
        <v>2811</v>
      </c>
      <c r="E534" s="73" t="s">
        <v>1828</v>
      </c>
      <c r="F534" s="63" t="s">
        <v>6</v>
      </c>
      <c r="G534" s="56" t="s">
        <v>2816</v>
      </c>
      <c r="H534" s="56" t="s">
        <v>2817</v>
      </c>
    </row>
    <row r="535" spans="2:8" x14ac:dyDescent="0.3">
      <c r="B535" s="65">
        <v>45915</v>
      </c>
      <c r="C535" s="71">
        <v>45901</v>
      </c>
      <c r="D535" s="56" t="s">
        <v>2811</v>
      </c>
      <c r="E535" s="73" t="s">
        <v>1828</v>
      </c>
      <c r="F535" s="63" t="s">
        <v>6</v>
      </c>
      <c r="G535" s="56" t="s">
        <v>2818</v>
      </c>
      <c r="H535" s="56" t="s">
        <v>2819</v>
      </c>
    </row>
    <row r="536" spans="2:8" x14ac:dyDescent="0.3">
      <c r="B536" s="65">
        <v>45916</v>
      </c>
      <c r="C536" s="71">
        <v>45901</v>
      </c>
      <c r="D536" s="56" t="s">
        <v>2811</v>
      </c>
      <c r="E536" s="73" t="s">
        <v>1828</v>
      </c>
      <c r="F536" s="63" t="s">
        <v>6</v>
      </c>
      <c r="G536" s="56" t="s">
        <v>2870</v>
      </c>
      <c r="H536" s="56" t="s">
        <v>2870</v>
      </c>
    </row>
    <row r="537" spans="2:8" x14ac:dyDescent="0.3">
      <c r="B537" s="65">
        <v>45916</v>
      </c>
      <c r="C537" s="71">
        <v>45901</v>
      </c>
      <c r="D537" s="56" t="s">
        <v>2811</v>
      </c>
      <c r="E537" s="73" t="s">
        <v>1828</v>
      </c>
      <c r="F537" s="63" t="s">
        <v>6</v>
      </c>
      <c r="G537" s="56" t="s">
        <v>2814</v>
      </c>
      <c r="H537" s="56" t="s">
        <v>2815</v>
      </c>
    </row>
    <row r="538" spans="2:8" x14ac:dyDescent="0.3">
      <c r="B538" s="65">
        <v>45916</v>
      </c>
      <c r="C538" s="71">
        <v>45901</v>
      </c>
      <c r="D538" s="56" t="s">
        <v>2811</v>
      </c>
      <c r="E538" s="73" t="s">
        <v>1828</v>
      </c>
      <c r="F538" s="63" t="s">
        <v>6</v>
      </c>
      <c r="G538" s="56" t="s">
        <v>2816</v>
      </c>
      <c r="H538" s="56" t="s">
        <v>2817</v>
      </c>
    </row>
    <row r="539" spans="2:8" x14ac:dyDescent="0.3">
      <c r="B539" s="65">
        <v>45916</v>
      </c>
      <c r="C539" s="71">
        <v>45901</v>
      </c>
      <c r="D539" s="56" t="s">
        <v>2811</v>
      </c>
      <c r="E539" s="73" t="s">
        <v>1828</v>
      </c>
      <c r="F539" s="63" t="s">
        <v>6</v>
      </c>
      <c r="G539" s="56" t="s">
        <v>2818</v>
      </c>
      <c r="H539" s="56" t="s">
        <v>2819</v>
      </c>
    </row>
    <row r="540" spans="2:8" x14ac:dyDescent="0.3">
      <c r="B540" s="65">
        <v>45917</v>
      </c>
      <c r="C540" s="71">
        <v>45901</v>
      </c>
      <c r="D540" s="56" t="s">
        <v>2811</v>
      </c>
      <c r="E540" s="73" t="s">
        <v>1828</v>
      </c>
      <c r="F540" s="63" t="s">
        <v>6</v>
      </c>
      <c r="G540" s="56" t="s">
        <v>2870</v>
      </c>
      <c r="H540" s="56" t="s">
        <v>2870</v>
      </c>
    </row>
    <row r="541" spans="2:8" x14ac:dyDescent="0.3">
      <c r="B541" s="65">
        <v>45917</v>
      </c>
      <c r="C541" s="71">
        <v>45901</v>
      </c>
      <c r="D541" s="56" t="s">
        <v>2811</v>
      </c>
      <c r="E541" s="73" t="s">
        <v>1828</v>
      </c>
      <c r="F541" s="63" t="s">
        <v>6</v>
      </c>
      <c r="G541" s="56" t="s">
        <v>2814</v>
      </c>
      <c r="H541" s="56" t="s">
        <v>2815</v>
      </c>
    </row>
    <row r="542" spans="2:8" x14ac:dyDescent="0.3">
      <c r="B542" s="65">
        <v>45917</v>
      </c>
      <c r="C542" s="71">
        <v>45901</v>
      </c>
      <c r="D542" s="56" t="s">
        <v>2811</v>
      </c>
      <c r="E542" s="73" t="s">
        <v>1828</v>
      </c>
      <c r="F542" s="63" t="s">
        <v>6</v>
      </c>
      <c r="G542" s="56" t="s">
        <v>2816</v>
      </c>
      <c r="H542" s="56" t="s">
        <v>2817</v>
      </c>
    </row>
    <row r="543" spans="2:8" x14ac:dyDescent="0.3">
      <c r="B543" s="65">
        <v>45917</v>
      </c>
      <c r="C543" s="71">
        <v>45901</v>
      </c>
      <c r="D543" s="56" t="s">
        <v>2811</v>
      </c>
      <c r="E543" s="73" t="s">
        <v>1828</v>
      </c>
      <c r="F543" s="63" t="s">
        <v>6</v>
      </c>
      <c r="G543" s="56" t="s">
        <v>2818</v>
      </c>
      <c r="H543" s="56" t="s">
        <v>2819</v>
      </c>
    </row>
    <row r="544" spans="2:8" x14ac:dyDescent="0.3">
      <c r="B544" s="65">
        <v>45922</v>
      </c>
      <c r="C544" s="71">
        <v>45901</v>
      </c>
      <c r="D544" s="56" t="s">
        <v>2811</v>
      </c>
      <c r="E544" s="73" t="s">
        <v>1828</v>
      </c>
      <c r="F544" s="63" t="s">
        <v>6</v>
      </c>
      <c r="G544" s="56" t="s">
        <v>2870</v>
      </c>
      <c r="H544" s="56" t="s">
        <v>2870</v>
      </c>
    </row>
    <row r="545" spans="2:8" x14ac:dyDescent="0.3">
      <c r="B545" s="65">
        <v>45922</v>
      </c>
      <c r="C545" s="71">
        <v>45901</v>
      </c>
      <c r="D545" s="56" t="s">
        <v>2811</v>
      </c>
      <c r="E545" s="73" t="s">
        <v>1828</v>
      </c>
      <c r="F545" s="63" t="s">
        <v>6</v>
      </c>
      <c r="G545" s="56" t="s">
        <v>2899</v>
      </c>
      <c r="H545" s="56" t="s">
        <v>2900</v>
      </c>
    </row>
    <row r="546" spans="2:8" x14ac:dyDescent="0.3">
      <c r="B546" s="65">
        <v>45922</v>
      </c>
      <c r="C546" s="71">
        <v>45901</v>
      </c>
      <c r="D546" s="56" t="s">
        <v>2811</v>
      </c>
      <c r="E546" s="73" t="s">
        <v>1828</v>
      </c>
      <c r="F546" s="63" t="s">
        <v>6</v>
      </c>
      <c r="G546" s="56" t="s">
        <v>2814</v>
      </c>
      <c r="H546" s="56" t="s">
        <v>2815</v>
      </c>
    </row>
    <row r="547" spans="2:8" x14ac:dyDescent="0.3">
      <c r="B547" s="65">
        <v>45922</v>
      </c>
      <c r="C547" s="71">
        <v>45901</v>
      </c>
      <c r="D547" s="56" t="s">
        <v>2811</v>
      </c>
      <c r="E547" s="73" t="s">
        <v>1828</v>
      </c>
      <c r="F547" s="63" t="s">
        <v>6</v>
      </c>
      <c r="G547" s="56" t="s">
        <v>2816</v>
      </c>
      <c r="H547" s="56" t="s">
        <v>2817</v>
      </c>
    </row>
    <row r="548" spans="2:8" x14ac:dyDescent="0.3">
      <c r="B548" s="65">
        <v>45922</v>
      </c>
      <c r="C548" s="71">
        <v>45901</v>
      </c>
      <c r="D548" s="56" t="s">
        <v>2811</v>
      </c>
      <c r="E548" s="73" t="s">
        <v>1828</v>
      </c>
      <c r="F548" s="63" t="s">
        <v>6</v>
      </c>
      <c r="G548" s="56" t="s">
        <v>2818</v>
      </c>
      <c r="H548" s="56" t="s">
        <v>2819</v>
      </c>
    </row>
    <row r="549" spans="2:8" x14ac:dyDescent="0.3">
      <c r="B549" s="65">
        <v>45923</v>
      </c>
      <c r="C549" s="71">
        <v>45901</v>
      </c>
      <c r="D549" s="56" t="s">
        <v>2811</v>
      </c>
      <c r="E549" s="73" t="s">
        <v>1828</v>
      </c>
      <c r="F549" s="63" t="s">
        <v>6</v>
      </c>
      <c r="G549" s="56" t="s">
        <v>2870</v>
      </c>
      <c r="H549" s="56" t="s">
        <v>2870</v>
      </c>
    </row>
    <row r="550" spans="2:8" x14ac:dyDescent="0.3">
      <c r="B550" s="65">
        <v>45923</v>
      </c>
      <c r="C550" s="71">
        <v>45901</v>
      </c>
      <c r="D550" s="56" t="s">
        <v>2811</v>
      </c>
      <c r="E550" s="73" t="s">
        <v>1828</v>
      </c>
      <c r="F550" s="63" t="s">
        <v>6</v>
      </c>
      <c r="G550" s="56" t="s">
        <v>2814</v>
      </c>
      <c r="H550" s="56" t="s">
        <v>2815</v>
      </c>
    </row>
    <row r="551" spans="2:8" x14ac:dyDescent="0.3">
      <c r="B551" s="65">
        <v>45923</v>
      </c>
      <c r="C551" s="71">
        <v>45901</v>
      </c>
      <c r="D551" s="56" t="s">
        <v>2811</v>
      </c>
      <c r="E551" s="73" t="s">
        <v>1828</v>
      </c>
      <c r="F551" s="63" t="s">
        <v>6</v>
      </c>
      <c r="G551" s="56" t="s">
        <v>2816</v>
      </c>
      <c r="H551" s="56" t="s">
        <v>2817</v>
      </c>
    </row>
    <row r="552" spans="2:8" x14ac:dyDescent="0.3">
      <c r="B552" s="65">
        <v>45923</v>
      </c>
      <c r="C552" s="71">
        <v>45901</v>
      </c>
      <c r="D552" s="56" t="s">
        <v>2811</v>
      </c>
      <c r="E552" s="73" t="s">
        <v>1828</v>
      </c>
      <c r="F552" s="63" t="s">
        <v>6</v>
      </c>
      <c r="G552" s="56" t="s">
        <v>2818</v>
      </c>
      <c r="H552" s="56" t="s">
        <v>2819</v>
      </c>
    </row>
    <row r="553" spans="2:8" x14ac:dyDescent="0.3">
      <c r="B553" s="65">
        <v>45924</v>
      </c>
      <c r="C553" s="71">
        <v>45901</v>
      </c>
      <c r="D553" s="56" t="s">
        <v>2811</v>
      </c>
      <c r="E553" s="73" t="s">
        <v>1828</v>
      </c>
      <c r="F553" s="63" t="s">
        <v>6</v>
      </c>
      <c r="G553" s="56" t="s">
        <v>2870</v>
      </c>
      <c r="H553" s="56" t="s">
        <v>2870</v>
      </c>
    </row>
    <row r="554" spans="2:8" x14ac:dyDescent="0.3">
      <c r="B554" s="65">
        <v>45924</v>
      </c>
      <c r="C554" s="71">
        <v>45901</v>
      </c>
      <c r="D554" s="56" t="s">
        <v>2811</v>
      </c>
      <c r="E554" s="73" t="s">
        <v>1828</v>
      </c>
      <c r="F554" s="63" t="s">
        <v>6</v>
      </c>
      <c r="G554" s="56" t="s">
        <v>2814</v>
      </c>
      <c r="H554" s="56" t="s">
        <v>2815</v>
      </c>
    </row>
    <row r="555" spans="2:8" x14ac:dyDescent="0.3">
      <c r="B555" s="65">
        <v>45924</v>
      </c>
      <c r="C555" s="71">
        <v>45901</v>
      </c>
      <c r="D555" s="56" t="s">
        <v>2811</v>
      </c>
      <c r="E555" s="73" t="s">
        <v>1828</v>
      </c>
      <c r="F555" s="63" t="s">
        <v>6</v>
      </c>
      <c r="G555" s="56" t="s">
        <v>2816</v>
      </c>
      <c r="H555" s="56" t="s">
        <v>2817</v>
      </c>
    </row>
    <row r="556" spans="2:8" x14ac:dyDescent="0.3">
      <c r="B556" s="65">
        <v>45924</v>
      </c>
      <c r="C556" s="71">
        <v>45901</v>
      </c>
      <c r="D556" s="56" t="s">
        <v>2811</v>
      </c>
      <c r="E556" s="73" t="s">
        <v>1828</v>
      </c>
      <c r="F556" s="63" t="s">
        <v>6</v>
      </c>
      <c r="G556" s="56" t="s">
        <v>2818</v>
      </c>
      <c r="H556" s="56" t="s">
        <v>2819</v>
      </c>
    </row>
    <row r="557" spans="2:8" x14ac:dyDescent="0.3">
      <c r="B557" s="65">
        <v>45925</v>
      </c>
      <c r="C557" s="71">
        <v>45901</v>
      </c>
      <c r="D557" s="56" t="s">
        <v>2811</v>
      </c>
      <c r="E557" s="73" t="s">
        <v>1828</v>
      </c>
      <c r="F557" s="63" t="s">
        <v>6</v>
      </c>
      <c r="G557" s="56" t="s">
        <v>2870</v>
      </c>
      <c r="H557" s="56" t="s">
        <v>2870</v>
      </c>
    </row>
    <row r="558" spans="2:8" x14ac:dyDescent="0.3">
      <c r="B558" s="65">
        <v>45925</v>
      </c>
      <c r="C558" s="71">
        <v>45901</v>
      </c>
      <c r="D558" s="56" t="s">
        <v>2811</v>
      </c>
      <c r="E558" s="73" t="s">
        <v>1828</v>
      </c>
      <c r="F558" s="63" t="s">
        <v>6</v>
      </c>
      <c r="G558" s="56" t="s">
        <v>2899</v>
      </c>
      <c r="H558" s="56" t="s">
        <v>2900</v>
      </c>
    </row>
    <row r="559" spans="2:8" x14ac:dyDescent="0.3">
      <c r="B559" s="65">
        <v>45925</v>
      </c>
      <c r="C559" s="71">
        <v>45901</v>
      </c>
      <c r="D559" s="56" t="s">
        <v>2811</v>
      </c>
      <c r="E559" s="73" t="s">
        <v>1828</v>
      </c>
      <c r="F559" s="63" t="s">
        <v>6</v>
      </c>
      <c r="G559" s="56" t="s">
        <v>2814</v>
      </c>
      <c r="H559" s="56" t="s">
        <v>2815</v>
      </c>
    </row>
    <row r="560" spans="2:8" x14ac:dyDescent="0.3">
      <c r="B560" s="65">
        <v>45925</v>
      </c>
      <c r="C560" s="71">
        <v>45901</v>
      </c>
      <c r="D560" s="56" t="s">
        <v>2811</v>
      </c>
      <c r="E560" s="73" t="s">
        <v>1828</v>
      </c>
      <c r="F560" s="63" t="s">
        <v>6</v>
      </c>
      <c r="G560" s="56" t="s">
        <v>2816</v>
      </c>
      <c r="H560" s="56" t="s">
        <v>2817</v>
      </c>
    </row>
    <row r="561" spans="2:8" x14ac:dyDescent="0.3">
      <c r="B561" s="65">
        <v>45925</v>
      </c>
      <c r="C561" s="71">
        <v>45901</v>
      </c>
      <c r="D561" s="56" t="s">
        <v>2811</v>
      </c>
      <c r="E561" s="73" t="s">
        <v>1828</v>
      </c>
      <c r="F561" s="63" t="s">
        <v>6</v>
      </c>
      <c r="G561" s="56" t="s">
        <v>2818</v>
      </c>
      <c r="H561" s="56" t="s">
        <v>2819</v>
      </c>
    </row>
    <row r="562" spans="2:8" x14ac:dyDescent="0.3">
      <c r="B562" s="65">
        <v>45926</v>
      </c>
      <c r="C562" s="71">
        <v>45901</v>
      </c>
      <c r="D562" s="56" t="s">
        <v>2811</v>
      </c>
      <c r="E562" s="73" t="s">
        <v>1828</v>
      </c>
      <c r="F562" s="63" t="s">
        <v>6</v>
      </c>
      <c r="G562" s="56" t="s">
        <v>2870</v>
      </c>
      <c r="H562" s="56" t="s">
        <v>2870</v>
      </c>
    </row>
    <row r="563" spans="2:8" x14ac:dyDescent="0.3">
      <c r="B563" s="65">
        <v>45926</v>
      </c>
      <c r="C563" s="71">
        <v>45901</v>
      </c>
      <c r="D563" s="56" t="s">
        <v>2811</v>
      </c>
      <c r="E563" s="73" t="s">
        <v>1828</v>
      </c>
      <c r="F563" s="63" t="s">
        <v>6</v>
      </c>
      <c r="G563" s="56" t="s">
        <v>2814</v>
      </c>
      <c r="H563" s="56" t="s">
        <v>2815</v>
      </c>
    </row>
    <row r="564" spans="2:8" x14ac:dyDescent="0.3">
      <c r="B564" s="65">
        <v>45926</v>
      </c>
      <c r="C564" s="71">
        <v>45901</v>
      </c>
      <c r="D564" s="56" t="s">
        <v>2811</v>
      </c>
      <c r="E564" s="73" t="s">
        <v>1828</v>
      </c>
      <c r="F564" s="63" t="s">
        <v>6</v>
      </c>
      <c r="G564" s="56" t="s">
        <v>2816</v>
      </c>
      <c r="H564" s="56" t="s">
        <v>2817</v>
      </c>
    </row>
    <row r="565" spans="2:8" x14ac:dyDescent="0.3">
      <c r="B565" s="65">
        <v>45926</v>
      </c>
      <c r="C565" s="71">
        <v>45901</v>
      </c>
      <c r="D565" s="56" t="s">
        <v>2811</v>
      </c>
      <c r="E565" s="73" t="s">
        <v>1828</v>
      </c>
      <c r="F565" s="63" t="s">
        <v>6</v>
      </c>
      <c r="G565" s="56" t="s">
        <v>2818</v>
      </c>
      <c r="H565" s="56" t="s">
        <v>2819</v>
      </c>
    </row>
    <row r="566" spans="2:8" x14ac:dyDescent="0.3">
      <c r="B566" s="65">
        <v>45929</v>
      </c>
      <c r="C566" s="71">
        <v>45901</v>
      </c>
      <c r="D566" s="56" t="s">
        <v>2811</v>
      </c>
      <c r="E566" s="73" t="s">
        <v>1828</v>
      </c>
      <c r="F566" s="63" t="s">
        <v>6</v>
      </c>
      <c r="G566" s="56" t="s">
        <v>2870</v>
      </c>
      <c r="H566" s="56" t="s">
        <v>2870</v>
      </c>
    </row>
    <row r="567" spans="2:8" x14ac:dyDescent="0.3">
      <c r="B567" s="65">
        <v>45929</v>
      </c>
      <c r="C567" s="71">
        <v>45901</v>
      </c>
      <c r="D567" s="56" t="s">
        <v>2811</v>
      </c>
      <c r="E567" s="73" t="s">
        <v>1828</v>
      </c>
      <c r="F567" s="63" t="s">
        <v>6</v>
      </c>
      <c r="G567" s="56" t="s">
        <v>2814</v>
      </c>
      <c r="H567" s="56" t="s">
        <v>2815</v>
      </c>
    </row>
    <row r="568" spans="2:8" x14ac:dyDescent="0.3">
      <c r="B568" s="65">
        <v>45929</v>
      </c>
      <c r="C568" s="71">
        <v>45901</v>
      </c>
      <c r="D568" s="56" t="s">
        <v>2811</v>
      </c>
      <c r="E568" s="73" t="s">
        <v>1828</v>
      </c>
      <c r="F568" s="63" t="s">
        <v>6</v>
      </c>
      <c r="G568" s="56" t="s">
        <v>2816</v>
      </c>
      <c r="H568" s="56" t="s">
        <v>2817</v>
      </c>
    </row>
    <row r="569" spans="2:8" x14ac:dyDescent="0.3">
      <c r="B569" s="65">
        <v>45929</v>
      </c>
      <c r="C569" s="71">
        <v>45901</v>
      </c>
      <c r="D569" s="56" t="s">
        <v>2811</v>
      </c>
      <c r="E569" s="73" t="s">
        <v>1828</v>
      </c>
      <c r="F569" s="63" t="s">
        <v>6</v>
      </c>
      <c r="G569" s="56" t="s">
        <v>2818</v>
      </c>
      <c r="H569" s="56" t="s">
        <v>2819</v>
      </c>
    </row>
    <row r="570" spans="2:8" x14ac:dyDescent="0.3">
      <c r="B570" s="65">
        <v>45930</v>
      </c>
      <c r="C570" s="71">
        <v>45901</v>
      </c>
      <c r="D570" s="56" t="s">
        <v>2811</v>
      </c>
      <c r="E570" s="73" t="s">
        <v>1828</v>
      </c>
      <c r="F570" s="63" t="s">
        <v>6</v>
      </c>
      <c r="G570" s="56" t="s">
        <v>2870</v>
      </c>
      <c r="H570" s="56" t="s">
        <v>2870</v>
      </c>
    </row>
    <row r="571" spans="2:8" x14ac:dyDescent="0.3">
      <c r="B571" s="65">
        <v>45930</v>
      </c>
      <c r="C571" s="71">
        <v>45901</v>
      </c>
      <c r="D571" s="56" t="s">
        <v>2811</v>
      </c>
      <c r="E571" s="73" t="s">
        <v>1828</v>
      </c>
      <c r="F571" s="63" t="s">
        <v>6</v>
      </c>
      <c r="G571" s="56" t="s">
        <v>2814</v>
      </c>
      <c r="H571" s="56" t="s">
        <v>2815</v>
      </c>
    </row>
    <row r="572" spans="2:8" x14ac:dyDescent="0.3">
      <c r="B572" s="65">
        <v>45930</v>
      </c>
      <c r="C572" s="71">
        <v>45901</v>
      </c>
      <c r="D572" s="56" t="s">
        <v>2811</v>
      </c>
      <c r="E572" s="73" t="s">
        <v>1828</v>
      </c>
      <c r="F572" s="63" t="s">
        <v>6</v>
      </c>
      <c r="G572" s="56" t="s">
        <v>2816</v>
      </c>
      <c r="H572" s="56" t="s">
        <v>2817</v>
      </c>
    </row>
    <row r="573" spans="2:8" x14ac:dyDescent="0.3">
      <c r="B573" s="65">
        <v>45930</v>
      </c>
      <c r="C573" s="71">
        <v>45901</v>
      </c>
      <c r="D573" s="56" t="s">
        <v>2811</v>
      </c>
      <c r="E573" s="73" t="s">
        <v>1828</v>
      </c>
      <c r="F573" s="63" t="s">
        <v>6</v>
      </c>
      <c r="G573" s="56" t="s">
        <v>2818</v>
      </c>
      <c r="H573" s="56" t="s">
        <v>2819</v>
      </c>
    </row>
    <row r="574" spans="2:8" x14ac:dyDescent="0.3">
      <c r="B574" s="65">
        <v>45931</v>
      </c>
      <c r="C574" s="71">
        <v>45931</v>
      </c>
      <c r="D574" s="56" t="s">
        <v>2811</v>
      </c>
      <c r="E574" s="73" t="s">
        <v>1828</v>
      </c>
      <c r="F574" s="63" t="s">
        <v>6</v>
      </c>
      <c r="G574" s="56" t="s">
        <v>2870</v>
      </c>
      <c r="H574" s="56" t="s">
        <v>2870</v>
      </c>
    </row>
    <row r="575" spans="2:8" x14ac:dyDescent="0.3">
      <c r="B575" s="65">
        <v>45931</v>
      </c>
      <c r="C575" s="71">
        <v>45931</v>
      </c>
      <c r="D575" s="56" t="s">
        <v>2811</v>
      </c>
      <c r="E575" s="73" t="s">
        <v>1828</v>
      </c>
      <c r="F575" s="63" t="s">
        <v>6</v>
      </c>
      <c r="G575" s="56" t="s">
        <v>2814</v>
      </c>
      <c r="H575" s="56" t="s">
        <v>2815</v>
      </c>
    </row>
    <row r="576" spans="2:8" x14ac:dyDescent="0.3">
      <c r="B576" s="65">
        <v>45931</v>
      </c>
      <c r="C576" s="71">
        <v>45931</v>
      </c>
      <c r="D576" s="56" t="s">
        <v>2811</v>
      </c>
      <c r="E576" s="73" t="s">
        <v>1828</v>
      </c>
      <c r="F576" s="63" t="s">
        <v>6</v>
      </c>
      <c r="G576" s="56" t="s">
        <v>2816</v>
      </c>
      <c r="H576" s="56" t="s">
        <v>2817</v>
      </c>
    </row>
    <row r="577" spans="2:8" x14ac:dyDescent="0.3">
      <c r="B577" s="65">
        <v>45931</v>
      </c>
      <c r="C577" s="71">
        <v>45931</v>
      </c>
      <c r="D577" s="56" t="s">
        <v>2811</v>
      </c>
      <c r="E577" s="73" t="s">
        <v>1828</v>
      </c>
      <c r="F577" s="63" t="s">
        <v>6</v>
      </c>
      <c r="G577" s="56" t="s">
        <v>2818</v>
      </c>
      <c r="H577" s="56" t="s">
        <v>2819</v>
      </c>
    </row>
    <row r="578" spans="2:8" x14ac:dyDescent="0.3">
      <c r="B578" s="65">
        <v>45932</v>
      </c>
      <c r="C578" s="71">
        <v>45931</v>
      </c>
      <c r="D578" s="56" t="s">
        <v>2811</v>
      </c>
      <c r="E578" s="73" t="s">
        <v>1828</v>
      </c>
      <c r="F578" s="63" t="s">
        <v>6</v>
      </c>
      <c r="G578" s="56" t="s">
        <v>2870</v>
      </c>
      <c r="H578" s="56" t="s">
        <v>2870</v>
      </c>
    </row>
    <row r="579" spans="2:8" x14ac:dyDescent="0.3">
      <c r="B579" s="65">
        <v>45932</v>
      </c>
      <c r="C579" s="71">
        <v>45931</v>
      </c>
      <c r="D579" s="56" t="s">
        <v>2811</v>
      </c>
      <c r="E579" s="73" t="s">
        <v>1828</v>
      </c>
      <c r="F579" s="63" t="s">
        <v>6</v>
      </c>
      <c r="G579" s="56" t="s">
        <v>2814</v>
      </c>
      <c r="H579" s="56" t="s">
        <v>2815</v>
      </c>
    </row>
    <row r="580" spans="2:8" x14ac:dyDescent="0.3">
      <c r="B580" s="65">
        <v>45932</v>
      </c>
      <c r="C580" s="71">
        <v>45931</v>
      </c>
      <c r="D580" s="56" t="s">
        <v>2811</v>
      </c>
      <c r="E580" s="73" t="s">
        <v>1828</v>
      </c>
      <c r="F580" s="63" t="s">
        <v>6</v>
      </c>
      <c r="G580" s="56" t="s">
        <v>2816</v>
      </c>
      <c r="H580" s="56" t="s">
        <v>2817</v>
      </c>
    </row>
    <row r="581" spans="2:8" x14ac:dyDescent="0.3">
      <c r="B581" s="65">
        <v>45932</v>
      </c>
      <c r="C581" s="71">
        <v>45931</v>
      </c>
      <c r="D581" s="56" t="s">
        <v>2811</v>
      </c>
      <c r="E581" s="73" t="s">
        <v>1828</v>
      </c>
      <c r="F581" s="63" t="s">
        <v>6</v>
      </c>
      <c r="G581" s="56" t="s">
        <v>2818</v>
      </c>
      <c r="H581" s="56" t="s">
        <v>2819</v>
      </c>
    </row>
    <row r="582" spans="2:8" x14ac:dyDescent="0.3">
      <c r="B582" s="65">
        <v>45933</v>
      </c>
      <c r="C582" s="71">
        <v>45931</v>
      </c>
      <c r="D582" s="56" t="s">
        <v>2811</v>
      </c>
      <c r="E582" s="73" t="s">
        <v>1828</v>
      </c>
      <c r="F582" s="63" t="s">
        <v>6</v>
      </c>
      <c r="G582" s="56" t="s">
        <v>2870</v>
      </c>
      <c r="H582" s="56" t="s">
        <v>2870</v>
      </c>
    </row>
    <row r="583" spans="2:8" x14ac:dyDescent="0.3">
      <c r="B583" s="65">
        <v>45933</v>
      </c>
      <c r="C583" s="71">
        <v>45931</v>
      </c>
      <c r="D583" s="56" t="s">
        <v>2811</v>
      </c>
      <c r="E583" s="73" t="s">
        <v>1828</v>
      </c>
      <c r="F583" s="63" t="s">
        <v>6</v>
      </c>
      <c r="G583" s="56" t="s">
        <v>2814</v>
      </c>
      <c r="H583" s="56" t="s">
        <v>2815</v>
      </c>
    </row>
    <row r="584" spans="2:8" x14ac:dyDescent="0.3">
      <c r="B584" s="65">
        <v>45933</v>
      </c>
      <c r="C584" s="71">
        <v>45931</v>
      </c>
      <c r="D584" s="56" t="s">
        <v>2811</v>
      </c>
      <c r="E584" s="73" t="s">
        <v>1828</v>
      </c>
      <c r="F584" s="63" t="s">
        <v>6</v>
      </c>
      <c r="G584" s="56" t="s">
        <v>2816</v>
      </c>
      <c r="H584" s="56" t="s">
        <v>2817</v>
      </c>
    </row>
    <row r="585" spans="2:8" x14ac:dyDescent="0.3">
      <c r="B585" s="65">
        <v>45933</v>
      </c>
      <c r="C585" s="71">
        <v>45931</v>
      </c>
      <c r="D585" s="56" t="s">
        <v>2811</v>
      </c>
      <c r="E585" s="73" t="s">
        <v>1828</v>
      </c>
      <c r="F585" s="63" t="s">
        <v>6</v>
      </c>
      <c r="G585" s="56" t="s">
        <v>2818</v>
      </c>
      <c r="H585" s="56" t="s">
        <v>2819</v>
      </c>
    </row>
    <row r="586" spans="2:8" x14ac:dyDescent="0.3">
      <c r="B586" s="65">
        <v>45936</v>
      </c>
      <c r="C586" s="71">
        <v>45931</v>
      </c>
      <c r="D586" s="56" t="s">
        <v>2811</v>
      </c>
      <c r="E586" s="73" t="s">
        <v>1828</v>
      </c>
      <c r="F586" s="63" t="s">
        <v>6</v>
      </c>
      <c r="G586" s="56" t="s">
        <v>2870</v>
      </c>
      <c r="H586" s="56" t="s">
        <v>2870</v>
      </c>
    </row>
    <row r="587" spans="2:8" x14ac:dyDescent="0.3">
      <c r="B587" s="65">
        <v>45936</v>
      </c>
      <c r="C587" s="71">
        <v>45931</v>
      </c>
      <c r="D587" s="56" t="s">
        <v>2811</v>
      </c>
      <c r="E587" s="73" t="s">
        <v>1828</v>
      </c>
      <c r="F587" s="63" t="s">
        <v>6</v>
      </c>
      <c r="G587" s="56" t="s">
        <v>2814</v>
      </c>
      <c r="H587" s="56" t="s">
        <v>2815</v>
      </c>
    </row>
    <row r="588" spans="2:8" x14ac:dyDescent="0.3">
      <c r="B588" s="65">
        <v>45936</v>
      </c>
      <c r="C588" s="71">
        <v>45931</v>
      </c>
      <c r="D588" s="56" t="s">
        <v>2811</v>
      </c>
      <c r="E588" s="73" t="s">
        <v>1828</v>
      </c>
      <c r="F588" s="63" t="s">
        <v>6</v>
      </c>
      <c r="G588" s="56" t="s">
        <v>2816</v>
      </c>
      <c r="H588" s="56" t="s">
        <v>2817</v>
      </c>
    </row>
    <row r="589" spans="2:8" x14ac:dyDescent="0.3">
      <c r="B589" s="65">
        <v>45936</v>
      </c>
      <c r="C589" s="71">
        <v>45931</v>
      </c>
      <c r="D589" s="56" t="s">
        <v>2811</v>
      </c>
      <c r="E589" s="73" t="s">
        <v>1828</v>
      </c>
      <c r="F589" s="63" t="s">
        <v>6</v>
      </c>
      <c r="G589" s="56" t="s">
        <v>2818</v>
      </c>
      <c r="H589" s="56" t="s">
        <v>2819</v>
      </c>
    </row>
    <row r="590" spans="2:8" x14ac:dyDescent="0.3">
      <c r="B590" s="65">
        <v>45937</v>
      </c>
      <c r="C590" s="71">
        <v>45931</v>
      </c>
      <c r="D590" s="56" t="s">
        <v>2811</v>
      </c>
      <c r="E590" s="73" t="s">
        <v>1828</v>
      </c>
      <c r="F590" s="63" t="s">
        <v>6</v>
      </c>
      <c r="G590" s="56" t="s">
        <v>2870</v>
      </c>
      <c r="H590" s="56" t="s">
        <v>2870</v>
      </c>
    </row>
    <row r="591" spans="2:8" x14ac:dyDescent="0.3">
      <c r="B591" s="65">
        <v>45937</v>
      </c>
      <c r="C591" s="71">
        <v>45931</v>
      </c>
      <c r="D591" s="56" t="s">
        <v>2811</v>
      </c>
      <c r="E591" s="73" t="s">
        <v>1828</v>
      </c>
      <c r="F591" s="63" t="s">
        <v>6</v>
      </c>
      <c r="G591" s="56" t="s">
        <v>2814</v>
      </c>
      <c r="H591" s="56" t="s">
        <v>2815</v>
      </c>
    </row>
    <row r="592" spans="2:8" x14ac:dyDescent="0.3">
      <c r="B592" s="65">
        <v>45937</v>
      </c>
      <c r="C592" s="71">
        <v>45931</v>
      </c>
      <c r="D592" s="56" t="s">
        <v>2811</v>
      </c>
      <c r="E592" s="73" t="s">
        <v>1828</v>
      </c>
      <c r="F592" s="63" t="s">
        <v>6</v>
      </c>
      <c r="G592" s="56" t="s">
        <v>2816</v>
      </c>
      <c r="H592" s="56" t="s">
        <v>2817</v>
      </c>
    </row>
    <row r="593" spans="2:8" x14ac:dyDescent="0.3">
      <c r="B593" s="65">
        <v>45937</v>
      </c>
      <c r="C593" s="71">
        <v>45931</v>
      </c>
      <c r="D593" s="56" t="s">
        <v>2811</v>
      </c>
      <c r="E593" s="73" t="s">
        <v>1828</v>
      </c>
      <c r="F593" s="63" t="s">
        <v>6</v>
      </c>
      <c r="G593" s="56" t="s">
        <v>2818</v>
      </c>
      <c r="H593" s="56" t="s">
        <v>2819</v>
      </c>
    </row>
    <row r="594" spans="2:8" x14ac:dyDescent="0.3">
      <c r="B594" s="65">
        <v>45938</v>
      </c>
      <c r="C594" s="71">
        <v>45931</v>
      </c>
      <c r="D594" s="56" t="s">
        <v>2811</v>
      </c>
      <c r="E594" s="73" t="s">
        <v>1828</v>
      </c>
      <c r="F594" s="63" t="s">
        <v>6</v>
      </c>
      <c r="G594" s="56" t="s">
        <v>2870</v>
      </c>
      <c r="H594" s="56" t="s">
        <v>2870</v>
      </c>
    </row>
    <row r="595" spans="2:8" x14ac:dyDescent="0.3">
      <c r="B595" s="65">
        <v>45938</v>
      </c>
      <c r="C595" s="71">
        <v>45931</v>
      </c>
      <c r="D595" s="56" t="s">
        <v>2811</v>
      </c>
      <c r="E595" s="73" t="s">
        <v>1828</v>
      </c>
      <c r="F595" s="63" t="s">
        <v>6</v>
      </c>
      <c r="G595" s="56" t="s">
        <v>2814</v>
      </c>
      <c r="H595" s="56" t="s">
        <v>2815</v>
      </c>
    </row>
    <row r="596" spans="2:8" x14ac:dyDescent="0.3">
      <c r="B596" s="65">
        <v>45938</v>
      </c>
      <c r="C596" s="71">
        <v>45931</v>
      </c>
      <c r="D596" s="56" t="s">
        <v>2811</v>
      </c>
      <c r="E596" s="73" t="s">
        <v>1828</v>
      </c>
      <c r="F596" s="63" t="s">
        <v>6</v>
      </c>
      <c r="G596" s="56" t="s">
        <v>2816</v>
      </c>
      <c r="H596" s="56" t="s">
        <v>2817</v>
      </c>
    </row>
    <row r="597" spans="2:8" x14ac:dyDescent="0.3">
      <c r="B597" s="65">
        <v>45938</v>
      </c>
      <c r="C597" s="71">
        <v>45931</v>
      </c>
      <c r="D597" s="56" t="s">
        <v>2811</v>
      </c>
      <c r="E597" s="73" t="s">
        <v>1828</v>
      </c>
      <c r="F597" s="63" t="s">
        <v>6</v>
      </c>
      <c r="G597" s="56" t="s">
        <v>2818</v>
      </c>
      <c r="H597" s="56" t="s">
        <v>2819</v>
      </c>
    </row>
    <row r="598" spans="2:8" x14ac:dyDescent="0.3">
      <c r="B598" s="65">
        <v>45939</v>
      </c>
      <c r="C598" s="71">
        <v>45931</v>
      </c>
      <c r="D598" s="56" t="s">
        <v>2811</v>
      </c>
      <c r="E598" s="73" t="s">
        <v>1828</v>
      </c>
      <c r="F598" s="63" t="s">
        <v>6</v>
      </c>
      <c r="G598" s="56" t="s">
        <v>2870</v>
      </c>
      <c r="H598" s="56" t="s">
        <v>2870</v>
      </c>
    </row>
    <row r="599" spans="2:8" x14ac:dyDescent="0.3">
      <c r="B599" s="65">
        <v>45939</v>
      </c>
      <c r="C599" s="71">
        <v>45931</v>
      </c>
      <c r="D599" s="56" t="s">
        <v>2811</v>
      </c>
      <c r="E599" s="73" t="s">
        <v>1828</v>
      </c>
      <c r="F599" s="63" t="s">
        <v>6</v>
      </c>
      <c r="G599" s="56" t="s">
        <v>2814</v>
      </c>
      <c r="H599" s="56" t="s">
        <v>2815</v>
      </c>
    </row>
    <row r="600" spans="2:8" x14ac:dyDescent="0.3">
      <c r="B600" s="65">
        <v>45939</v>
      </c>
      <c r="C600" s="71">
        <v>45931</v>
      </c>
      <c r="D600" s="56" t="s">
        <v>2811</v>
      </c>
      <c r="E600" s="73" t="s">
        <v>1828</v>
      </c>
      <c r="F600" s="63" t="s">
        <v>6</v>
      </c>
      <c r="G600" s="56" t="s">
        <v>2816</v>
      </c>
      <c r="H600" s="56" t="s">
        <v>2817</v>
      </c>
    </row>
    <row r="601" spans="2:8" x14ac:dyDescent="0.3">
      <c r="B601" s="65">
        <v>45939</v>
      </c>
      <c r="C601" s="71">
        <v>45931</v>
      </c>
      <c r="D601" s="56" t="s">
        <v>2811</v>
      </c>
      <c r="E601" s="73" t="s">
        <v>1828</v>
      </c>
      <c r="F601" s="63" t="s">
        <v>6</v>
      </c>
      <c r="G601" s="56" t="s">
        <v>2818</v>
      </c>
      <c r="H601" s="56" t="s">
        <v>2819</v>
      </c>
    </row>
    <row r="602" spans="2:8" x14ac:dyDescent="0.3">
      <c r="B602" s="65">
        <v>45940</v>
      </c>
      <c r="C602" s="71">
        <v>45931</v>
      </c>
      <c r="D602" s="56" t="s">
        <v>2811</v>
      </c>
      <c r="E602" s="73" t="s">
        <v>1828</v>
      </c>
      <c r="F602" s="63" t="s">
        <v>6</v>
      </c>
      <c r="G602" s="56" t="s">
        <v>2870</v>
      </c>
      <c r="H602" s="56" t="s">
        <v>2870</v>
      </c>
    </row>
    <row r="603" spans="2:8" x14ac:dyDescent="0.3">
      <c r="B603" s="65">
        <v>45940</v>
      </c>
      <c r="C603" s="71">
        <v>45931</v>
      </c>
      <c r="D603" s="56" t="s">
        <v>2811</v>
      </c>
      <c r="E603" s="73" t="s">
        <v>1828</v>
      </c>
      <c r="F603" s="63" t="s">
        <v>6</v>
      </c>
      <c r="G603" s="56" t="s">
        <v>2814</v>
      </c>
      <c r="H603" s="56" t="s">
        <v>2815</v>
      </c>
    </row>
    <row r="604" spans="2:8" x14ac:dyDescent="0.3">
      <c r="B604" s="65">
        <v>45940</v>
      </c>
      <c r="C604" s="71">
        <v>45931</v>
      </c>
      <c r="D604" s="56" t="s">
        <v>2811</v>
      </c>
      <c r="E604" s="73" t="s">
        <v>1828</v>
      </c>
      <c r="F604" s="63" t="s">
        <v>6</v>
      </c>
      <c r="G604" s="56" t="s">
        <v>2816</v>
      </c>
      <c r="H604" s="56" t="s">
        <v>2817</v>
      </c>
    </row>
    <row r="605" spans="2:8" x14ac:dyDescent="0.3">
      <c r="B605" s="65">
        <v>45940</v>
      </c>
      <c r="C605" s="71">
        <v>45931</v>
      </c>
      <c r="D605" s="56" t="s">
        <v>2811</v>
      </c>
      <c r="E605" s="73" t="s">
        <v>1828</v>
      </c>
      <c r="F605" s="63" t="s">
        <v>6</v>
      </c>
      <c r="G605" s="56" t="s">
        <v>2818</v>
      </c>
      <c r="H605" s="56" t="s">
        <v>2819</v>
      </c>
    </row>
    <row r="606" spans="2:8" x14ac:dyDescent="0.3">
      <c r="B606" s="65">
        <v>45943</v>
      </c>
      <c r="C606" s="71">
        <v>45931</v>
      </c>
      <c r="D606" s="56" t="s">
        <v>2811</v>
      </c>
      <c r="E606" s="73" t="s">
        <v>1828</v>
      </c>
      <c r="F606" s="63" t="s">
        <v>6</v>
      </c>
      <c r="G606" s="56" t="s">
        <v>2870</v>
      </c>
      <c r="H606" s="56" t="s">
        <v>2870</v>
      </c>
    </row>
    <row r="607" spans="2:8" x14ac:dyDescent="0.3">
      <c r="B607" s="65">
        <v>45943</v>
      </c>
      <c r="C607" s="71">
        <v>45931</v>
      </c>
      <c r="D607" s="56" t="s">
        <v>2811</v>
      </c>
      <c r="E607" s="73" t="s">
        <v>1828</v>
      </c>
      <c r="F607" s="63" t="s">
        <v>6</v>
      </c>
      <c r="G607" s="56" t="s">
        <v>2814</v>
      </c>
      <c r="H607" s="56" t="s">
        <v>2815</v>
      </c>
    </row>
    <row r="608" spans="2:8" x14ac:dyDescent="0.3">
      <c r="B608" s="65">
        <v>45943</v>
      </c>
      <c r="C608" s="71">
        <v>45931</v>
      </c>
      <c r="D608" s="56" t="s">
        <v>2811</v>
      </c>
      <c r="E608" s="73" t="s">
        <v>1828</v>
      </c>
      <c r="F608" s="63" t="s">
        <v>6</v>
      </c>
      <c r="G608" s="56" t="s">
        <v>2816</v>
      </c>
      <c r="H608" s="56" t="s">
        <v>2817</v>
      </c>
    </row>
    <row r="609" spans="2:8" x14ac:dyDescent="0.3">
      <c r="B609" s="65">
        <v>45943</v>
      </c>
      <c r="C609" s="71">
        <v>45931</v>
      </c>
      <c r="D609" s="56" t="s">
        <v>2811</v>
      </c>
      <c r="E609" s="73" t="s">
        <v>1828</v>
      </c>
      <c r="F609" s="63" t="s">
        <v>6</v>
      </c>
      <c r="G609" s="56" t="s">
        <v>2818</v>
      </c>
      <c r="H609" s="56" t="s">
        <v>2819</v>
      </c>
    </row>
    <row r="610" spans="2:8" x14ac:dyDescent="0.3">
      <c r="B610" s="65">
        <v>45944</v>
      </c>
      <c r="C610" s="71">
        <v>45931</v>
      </c>
      <c r="D610" s="56" t="s">
        <v>2811</v>
      </c>
      <c r="E610" s="73" t="s">
        <v>1828</v>
      </c>
      <c r="F610" s="63" t="s">
        <v>6</v>
      </c>
      <c r="G610" s="56" t="s">
        <v>2870</v>
      </c>
      <c r="H610" s="56" t="s">
        <v>2870</v>
      </c>
    </row>
    <row r="611" spans="2:8" x14ac:dyDescent="0.3">
      <c r="B611" s="65">
        <v>45944</v>
      </c>
      <c r="C611" s="71">
        <v>45931</v>
      </c>
      <c r="D611" s="56" t="s">
        <v>2811</v>
      </c>
      <c r="E611" s="73" t="s">
        <v>1828</v>
      </c>
      <c r="F611" s="63" t="s">
        <v>6</v>
      </c>
      <c r="G611" s="56" t="s">
        <v>2814</v>
      </c>
      <c r="H611" s="56" t="s">
        <v>2815</v>
      </c>
    </row>
    <row r="612" spans="2:8" x14ac:dyDescent="0.3">
      <c r="B612" s="65">
        <v>45944</v>
      </c>
      <c r="C612" s="71">
        <v>45931</v>
      </c>
      <c r="D612" s="56" t="s">
        <v>2811</v>
      </c>
      <c r="E612" s="73" t="s">
        <v>1828</v>
      </c>
      <c r="F612" s="63" t="s">
        <v>6</v>
      </c>
      <c r="G612" s="56" t="s">
        <v>2816</v>
      </c>
      <c r="H612" s="56" t="s">
        <v>2817</v>
      </c>
    </row>
    <row r="613" spans="2:8" x14ac:dyDescent="0.3">
      <c r="B613" s="65">
        <v>45944</v>
      </c>
      <c r="C613" s="71">
        <v>45931</v>
      </c>
      <c r="D613" s="56" t="s">
        <v>2811</v>
      </c>
      <c r="E613" s="73" t="s">
        <v>1828</v>
      </c>
      <c r="F613" s="63" t="s">
        <v>6</v>
      </c>
      <c r="G613" s="56" t="s">
        <v>2818</v>
      </c>
      <c r="H613" s="56" t="s">
        <v>2819</v>
      </c>
    </row>
    <row r="614" spans="2:8" x14ac:dyDescent="0.3">
      <c r="B614" s="65">
        <v>45945</v>
      </c>
      <c r="C614" s="71">
        <v>45931</v>
      </c>
      <c r="D614" s="56" t="s">
        <v>2811</v>
      </c>
      <c r="E614" s="73" t="s">
        <v>1828</v>
      </c>
      <c r="F614" s="63" t="s">
        <v>6</v>
      </c>
      <c r="G614" s="56" t="s">
        <v>2870</v>
      </c>
      <c r="H614" s="56" t="s">
        <v>2870</v>
      </c>
    </row>
    <row r="615" spans="2:8" x14ac:dyDescent="0.3">
      <c r="B615" s="65">
        <v>45945</v>
      </c>
      <c r="C615" s="71">
        <v>45931</v>
      </c>
      <c r="D615" s="56" t="s">
        <v>2811</v>
      </c>
      <c r="E615" s="73" t="s">
        <v>1828</v>
      </c>
      <c r="F615" s="63" t="s">
        <v>6</v>
      </c>
      <c r="G615" s="56" t="s">
        <v>2814</v>
      </c>
      <c r="H615" s="56" t="s">
        <v>2815</v>
      </c>
    </row>
    <row r="616" spans="2:8" x14ac:dyDescent="0.3">
      <c r="B616" s="65">
        <v>45945</v>
      </c>
      <c r="C616" s="71">
        <v>45931</v>
      </c>
      <c r="D616" s="56" t="s">
        <v>2811</v>
      </c>
      <c r="E616" s="73" t="s">
        <v>1828</v>
      </c>
      <c r="F616" s="63" t="s">
        <v>6</v>
      </c>
      <c r="G616" s="56" t="s">
        <v>2816</v>
      </c>
      <c r="H616" s="56" t="s">
        <v>2817</v>
      </c>
    </row>
    <row r="617" spans="2:8" x14ac:dyDescent="0.3">
      <c r="B617" s="65">
        <v>45945</v>
      </c>
      <c r="C617" s="71">
        <v>45931</v>
      </c>
      <c r="D617" s="56" t="s">
        <v>2811</v>
      </c>
      <c r="E617" s="73" t="s">
        <v>1828</v>
      </c>
      <c r="F617" s="63" t="s">
        <v>6</v>
      </c>
      <c r="G617" s="56" t="s">
        <v>2818</v>
      </c>
      <c r="H617" s="56" t="s">
        <v>2819</v>
      </c>
    </row>
    <row r="618" spans="2:8" x14ac:dyDescent="0.3">
      <c r="B618" s="65">
        <v>45946</v>
      </c>
      <c r="C618" s="71">
        <v>45931</v>
      </c>
      <c r="D618" s="56" t="s">
        <v>2811</v>
      </c>
      <c r="E618" s="73" t="s">
        <v>1828</v>
      </c>
      <c r="F618" s="63" t="s">
        <v>6</v>
      </c>
      <c r="G618" s="56" t="s">
        <v>2870</v>
      </c>
      <c r="H618" s="56" t="s">
        <v>2870</v>
      </c>
    </row>
    <row r="619" spans="2:8" x14ac:dyDescent="0.3">
      <c r="B619" s="65">
        <v>45946</v>
      </c>
      <c r="C619" s="71">
        <v>45931</v>
      </c>
      <c r="D619" s="56" t="s">
        <v>2811</v>
      </c>
      <c r="E619" s="73" t="s">
        <v>1828</v>
      </c>
      <c r="F619" s="63" t="s">
        <v>6</v>
      </c>
      <c r="G619" s="56" t="s">
        <v>2814</v>
      </c>
      <c r="H619" s="56" t="s">
        <v>2815</v>
      </c>
    </row>
    <row r="620" spans="2:8" x14ac:dyDescent="0.3">
      <c r="B620" s="65">
        <v>45946</v>
      </c>
      <c r="C620" s="71">
        <v>45931</v>
      </c>
      <c r="D620" s="56" t="s">
        <v>2811</v>
      </c>
      <c r="E620" s="73" t="s">
        <v>1828</v>
      </c>
      <c r="F620" s="63" t="s">
        <v>6</v>
      </c>
      <c r="G620" s="56" t="s">
        <v>2816</v>
      </c>
      <c r="H620" s="56" t="s">
        <v>2817</v>
      </c>
    </row>
    <row r="621" spans="2:8" x14ac:dyDescent="0.3">
      <c r="B621" s="65">
        <v>45946</v>
      </c>
      <c r="C621" s="71">
        <v>45931</v>
      </c>
      <c r="D621" s="56" t="s">
        <v>2811</v>
      </c>
      <c r="E621" s="73" t="s">
        <v>1828</v>
      </c>
      <c r="F621" s="63" t="s">
        <v>6</v>
      </c>
      <c r="G621" s="56" t="s">
        <v>2818</v>
      </c>
      <c r="H621" s="56" t="s">
        <v>2819</v>
      </c>
    </row>
    <row r="622" spans="2:8" x14ac:dyDescent="0.3">
      <c r="B622" s="65">
        <v>45947</v>
      </c>
      <c r="C622" s="71">
        <v>45931</v>
      </c>
      <c r="D622" s="56" t="s">
        <v>2811</v>
      </c>
      <c r="E622" s="73" t="s">
        <v>1828</v>
      </c>
      <c r="F622" s="63" t="s">
        <v>6</v>
      </c>
      <c r="G622" s="56" t="s">
        <v>2870</v>
      </c>
      <c r="H622" s="56" t="s">
        <v>2870</v>
      </c>
    </row>
    <row r="623" spans="2:8" x14ac:dyDescent="0.3">
      <c r="B623" s="65">
        <v>45947</v>
      </c>
      <c r="C623" s="71">
        <v>45931</v>
      </c>
      <c r="D623" s="56" t="s">
        <v>2811</v>
      </c>
      <c r="E623" s="73" t="s">
        <v>1828</v>
      </c>
      <c r="F623" s="63" t="s">
        <v>6</v>
      </c>
      <c r="G623" s="56" t="s">
        <v>2814</v>
      </c>
      <c r="H623" s="56" t="s">
        <v>2815</v>
      </c>
    </row>
    <row r="624" spans="2:8" x14ac:dyDescent="0.3">
      <c r="B624" s="65">
        <v>45947</v>
      </c>
      <c r="C624" s="71">
        <v>45931</v>
      </c>
      <c r="D624" s="56" t="s">
        <v>2811</v>
      </c>
      <c r="E624" s="73" t="s">
        <v>1828</v>
      </c>
      <c r="F624" s="63" t="s">
        <v>6</v>
      </c>
      <c r="G624" s="56" t="s">
        <v>2816</v>
      </c>
      <c r="H624" s="56" t="s">
        <v>2817</v>
      </c>
    </row>
    <row r="625" spans="2:8" x14ac:dyDescent="0.3">
      <c r="B625" s="65">
        <v>45947</v>
      </c>
      <c r="C625" s="71">
        <v>45931</v>
      </c>
      <c r="D625" s="56" t="s">
        <v>2811</v>
      </c>
      <c r="E625" s="73" t="s">
        <v>1828</v>
      </c>
      <c r="F625" s="63" t="s">
        <v>6</v>
      </c>
      <c r="G625" s="56" t="s">
        <v>2818</v>
      </c>
      <c r="H625" s="56" t="s">
        <v>2819</v>
      </c>
    </row>
    <row r="626" spans="2:8" x14ac:dyDescent="0.3">
      <c r="B626" s="65">
        <v>45950</v>
      </c>
      <c r="C626" s="71">
        <v>45931</v>
      </c>
      <c r="D626" s="56" t="s">
        <v>2811</v>
      </c>
      <c r="E626" s="73" t="s">
        <v>1828</v>
      </c>
      <c r="F626" s="63" t="s">
        <v>6</v>
      </c>
      <c r="G626" s="56" t="s">
        <v>2870</v>
      </c>
      <c r="H626" s="56" t="s">
        <v>2870</v>
      </c>
    </row>
    <row r="627" spans="2:8" x14ac:dyDescent="0.3">
      <c r="B627" s="65">
        <v>45950</v>
      </c>
      <c r="C627" s="71">
        <v>45931</v>
      </c>
      <c r="D627" s="56" t="s">
        <v>2811</v>
      </c>
      <c r="E627" s="73" t="s">
        <v>1828</v>
      </c>
      <c r="F627" s="63" t="s">
        <v>6</v>
      </c>
      <c r="G627" s="56" t="s">
        <v>2814</v>
      </c>
      <c r="H627" s="56" t="s">
        <v>2815</v>
      </c>
    </row>
    <row r="628" spans="2:8" x14ac:dyDescent="0.3">
      <c r="B628" s="65">
        <v>45950</v>
      </c>
      <c r="C628" s="71">
        <v>45931</v>
      </c>
      <c r="D628" s="56" t="s">
        <v>2811</v>
      </c>
      <c r="E628" s="73" t="s">
        <v>1828</v>
      </c>
      <c r="F628" s="63" t="s">
        <v>6</v>
      </c>
      <c r="G628" s="56" t="s">
        <v>2816</v>
      </c>
      <c r="H628" s="56" t="s">
        <v>2817</v>
      </c>
    </row>
    <row r="629" spans="2:8" x14ac:dyDescent="0.3">
      <c r="B629" s="65">
        <v>45950</v>
      </c>
      <c r="C629" s="71">
        <v>45931</v>
      </c>
      <c r="D629" s="56" t="s">
        <v>2811</v>
      </c>
      <c r="E629" s="73" t="s">
        <v>1828</v>
      </c>
      <c r="F629" s="63" t="s">
        <v>6</v>
      </c>
      <c r="G629" s="56" t="s">
        <v>2818</v>
      </c>
      <c r="H629" s="56" t="s">
        <v>2819</v>
      </c>
    </row>
    <row r="630" spans="2:8" x14ac:dyDescent="0.3">
      <c r="B630" s="65">
        <v>45950</v>
      </c>
      <c r="C630" s="71">
        <v>45931</v>
      </c>
      <c r="D630" s="5" t="s">
        <v>2811</v>
      </c>
      <c r="E630" s="29" t="s">
        <v>1828</v>
      </c>
      <c r="F630" s="47" t="s">
        <v>6</v>
      </c>
      <c r="G630" s="5" t="s">
        <v>2856</v>
      </c>
      <c r="H630" s="5" t="s">
        <v>2857</v>
      </c>
    </row>
    <row r="631" spans="2:8" x14ac:dyDescent="0.3">
      <c r="B631" s="65">
        <v>45950</v>
      </c>
      <c r="C631" s="71">
        <v>45931</v>
      </c>
      <c r="D631" s="56" t="s">
        <v>2811</v>
      </c>
      <c r="E631" s="73" t="s">
        <v>1828</v>
      </c>
      <c r="F631" s="137" t="s">
        <v>325</v>
      </c>
      <c r="G631" s="5" t="s">
        <v>2918</v>
      </c>
      <c r="H631" s="5" t="s">
        <v>2919</v>
      </c>
    </row>
    <row r="632" spans="2:8" x14ac:dyDescent="0.3">
      <c r="B632" s="65">
        <v>45951</v>
      </c>
      <c r="C632" s="71">
        <v>45931</v>
      </c>
      <c r="D632" s="56" t="s">
        <v>2811</v>
      </c>
      <c r="E632" s="73" t="s">
        <v>1828</v>
      </c>
      <c r="F632" s="63" t="s">
        <v>6</v>
      </c>
      <c r="G632" s="56" t="s">
        <v>2870</v>
      </c>
      <c r="H632" s="56" t="s">
        <v>2870</v>
      </c>
    </row>
    <row r="633" spans="2:8" x14ac:dyDescent="0.3">
      <c r="B633" s="65">
        <v>45951</v>
      </c>
      <c r="C633" s="71">
        <v>45931</v>
      </c>
      <c r="D633" s="56" t="s">
        <v>2811</v>
      </c>
      <c r="E633" s="73" t="s">
        <v>1828</v>
      </c>
      <c r="F633" s="63" t="s">
        <v>6</v>
      </c>
      <c r="G633" s="56" t="s">
        <v>2814</v>
      </c>
      <c r="H633" s="56" t="s">
        <v>2815</v>
      </c>
    </row>
    <row r="634" spans="2:8" x14ac:dyDescent="0.3">
      <c r="B634" s="65">
        <v>45951</v>
      </c>
      <c r="C634" s="71">
        <v>45931</v>
      </c>
      <c r="D634" s="56" t="s">
        <v>2811</v>
      </c>
      <c r="E634" s="73" t="s">
        <v>1828</v>
      </c>
      <c r="F634" s="63" t="s">
        <v>6</v>
      </c>
      <c r="G634" s="56" t="s">
        <v>2816</v>
      </c>
      <c r="H634" s="56" t="s">
        <v>2817</v>
      </c>
    </row>
    <row r="635" spans="2:8" x14ac:dyDescent="0.3">
      <c r="B635" s="65">
        <v>45951</v>
      </c>
      <c r="C635" s="71">
        <v>45931</v>
      </c>
      <c r="D635" s="56" t="s">
        <v>2811</v>
      </c>
      <c r="E635" s="73" t="s">
        <v>1828</v>
      </c>
      <c r="F635" s="63" t="s">
        <v>6</v>
      </c>
      <c r="G635" s="56" t="s">
        <v>2818</v>
      </c>
      <c r="H635" s="56" t="s">
        <v>2819</v>
      </c>
    </row>
    <row r="636" spans="2:8" x14ac:dyDescent="0.3">
      <c r="B636" s="65">
        <v>45952</v>
      </c>
      <c r="C636" s="71">
        <v>45931</v>
      </c>
      <c r="D636" s="56" t="s">
        <v>2811</v>
      </c>
      <c r="E636" s="73" t="s">
        <v>1828</v>
      </c>
      <c r="F636" s="63" t="s">
        <v>6</v>
      </c>
      <c r="G636" s="56" t="s">
        <v>2870</v>
      </c>
      <c r="H636" s="56" t="s">
        <v>2870</v>
      </c>
    </row>
    <row r="637" spans="2:8" x14ac:dyDescent="0.3">
      <c r="B637" s="65">
        <v>45952</v>
      </c>
      <c r="C637" s="71">
        <v>45931</v>
      </c>
      <c r="D637" s="56" t="s">
        <v>2811</v>
      </c>
      <c r="E637" s="73" t="s">
        <v>1828</v>
      </c>
      <c r="F637" s="63" t="s">
        <v>6</v>
      </c>
      <c r="G637" s="56" t="s">
        <v>2814</v>
      </c>
      <c r="H637" s="56" t="s">
        <v>2815</v>
      </c>
    </row>
    <row r="638" spans="2:8" x14ac:dyDescent="0.3">
      <c r="B638" s="65">
        <v>45952</v>
      </c>
      <c r="C638" s="71">
        <v>45931</v>
      </c>
      <c r="D638" s="56" t="s">
        <v>2811</v>
      </c>
      <c r="E638" s="73" t="s">
        <v>1828</v>
      </c>
      <c r="F638" s="63" t="s">
        <v>6</v>
      </c>
      <c r="G638" s="56" t="s">
        <v>2816</v>
      </c>
      <c r="H638" s="56" t="s">
        <v>2817</v>
      </c>
    </row>
    <row r="639" spans="2:8" x14ac:dyDescent="0.3">
      <c r="B639" s="65">
        <v>45952</v>
      </c>
      <c r="C639" s="71">
        <v>45931</v>
      </c>
      <c r="D639" s="56" t="s">
        <v>2811</v>
      </c>
      <c r="E639" s="73" t="s">
        <v>1828</v>
      </c>
      <c r="F639" s="63" t="s">
        <v>6</v>
      </c>
      <c r="G639" s="56" t="s">
        <v>2818</v>
      </c>
      <c r="H639" s="56" t="s">
        <v>2819</v>
      </c>
    </row>
    <row r="640" spans="2:8" x14ac:dyDescent="0.3">
      <c r="B640" s="65">
        <v>45952</v>
      </c>
      <c r="C640" s="71">
        <v>45931</v>
      </c>
      <c r="D640" s="5" t="s">
        <v>2811</v>
      </c>
      <c r="E640" s="29" t="s">
        <v>1828</v>
      </c>
      <c r="F640" s="47" t="s">
        <v>6</v>
      </c>
      <c r="G640" s="5" t="s">
        <v>2856</v>
      </c>
      <c r="H640" s="5" t="s">
        <v>2857</v>
      </c>
    </row>
    <row r="641" spans="2:8" x14ac:dyDescent="0.3">
      <c r="B641" s="65">
        <v>45953</v>
      </c>
      <c r="C641" s="71">
        <v>45931</v>
      </c>
      <c r="D641" s="56" t="s">
        <v>2811</v>
      </c>
      <c r="E641" s="73" t="s">
        <v>1828</v>
      </c>
      <c r="F641" s="63" t="s">
        <v>6</v>
      </c>
      <c r="G641" s="56" t="s">
        <v>2870</v>
      </c>
      <c r="H641" s="56" t="s">
        <v>2870</v>
      </c>
    </row>
    <row r="642" spans="2:8" x14ac:dyDescent="0.3">
      <c r="B642" s="65">
        <v>45953</v>
      </c>
      <c r="C642" s="71">
        <v>45931</v>
      </c>
      <c r="D642" s="56" t="s">
        <v>2811</v>
      </c>
      <c r="E642" s="73" t="s">
        <v>1828</v>
      </c>
      <c r="F642" s="63" t="s">
        <v>6</v>
      </c>
      <c r="G642" s="56" t="s">
        <v>2814</v>
      </c>
      <c r="H642" s="56" t="s">
        <v>2815</v>
      </c>
    </row>
    <row r="643" spans="2:8" x14ac:dyDescent="0.3">
      <c r="B643" s="65">
        <v>45953</v>
      </c>
      <c r="C643" s="71">
        <v>45931</v>
      </c>
      <c r="D643" s="56" t="s">
        <v>2811</v>
      </c>
      <c r="E643" s="73" t="s">
        <v>1828</v>
      </c>
      <c r="F643" s="63" t="s">
        <v>6</v>
      </c>
      <c r="G643" s="56" t="s">
        <v>2816</v>
      </c>
      <c r="H643" s="56" t="s">
        <v>2817</v>
      </c>
    </row>
    <row r="644" spans="2:8" x14ac:dyDescent="0.3">
      <c r="B644" s="65">
        <v>45953</v>
      </c>
      <c r="C644" s="71">
        <v>45931</v>
      </c>
      <c r="D644" s="56" t="s">
        <v>2811</v>
      </c>
      <c r="E644" s="73" t="s">
        <v>1828</v>
      </c>
      <c r="F644" s="63" t="s">
        <v>6</v>
      </c>
      <c r="G644" s="56" t="s">
        <v>2818</v>
      </c>
      <c r="H644" s="56" t="s">
        <v>2819</v>
      </c>
    </row>
    <row r="645" spans="2:8" x14ac:dyDescent="0.3">
      <c r="B645" s="65">
        <v>45953</v>
      </c>
      <c r="C645" s="71">
        <v>45931</v>
      </c>
      <c r="D645" s="5" t="s">
        <v>2811</v>
      </c>
      <c r="E645" s="29" t="s">
        <v>1828</v>
      </c>
      <c r="F645" s="47" t="s">
        <v>6</v>
      </c>
      <c r="G645" s="5" t="s">
        <v>2856</v>
      </c>
      <c r="H645" s="5" t="s">
        <v>2857</v>
      </c>
    </row>
    <row r="646" spans="2:8" x14ac:dyDescent="0.3">
      <c r="B646" s="65">
        <v>45954</v>
      </c>
      <c r="C646" s="71">
        <v>45931</v>
      </c>
      <c r="D646" s="56" t="s">
        <v>2811</v>
      </c>
      <c r="E646" s="73" t="s">
        <v>1828</v>
      </c>
      <c r="F646" s="63" t="s">
        <v>6</v>
      </c>
      <c r="G646" s="56" t="s">
        <v>2870</v>
      </c>
      <c r="H646" s="56" t="s">
        <v>2870</v>
      </c>
    </row>
    <row r="647" spans="2:8" x14ac:dyDescent="0.3">
      <c r="B647" s="65">
        <v>45954</v>
      </c>
      <c r="C647" s="71">
        <v>45931</v>
      </c>
      <c r="D647" s="56" t="s">
        <v>2811</v>
      </c>
      <c r="E647" s="73" t="s">
        <v>1828</v>
      </c>
      <c r="F647" s="63" t="s">
        <v>6</v>
      </c>
      <c r="G647" s="56" t="s">
        <v>2814</v>
      </c>
      <c r="H647" s="56" t="s">
        <v>2815</v>
      </c>
    </row>
    <row r="648" spans="2:8" x14ac:dyDescent="0.3">
      <c r="B648" s="65">
        <v>45954</v>
      </c>
      <c r="C648" s="71">
        <v>45931</v>
      </c>
      <c r="D648" s="56" t="s">
        <v>2811</v>
      </c>
      <c r="E648" s="73" t="s">
        <v>1828</v>
      </c>
      <c r="F648" s="63" t="s">
        <v>6</v>
      </c>
      <c r="G648" s="56" t="s">
        <v>2816</v>
      </c>
      <c r="H648" s="56" t="s">
        <v>2817</v>
      </c>
    </row>
    <row r="649" spans="2:8" x14ac:dyDescent="0.3">
      <c r="B649" s="65">
        <v>45954</v>
      </c>
      <c r="C649" s="71">
        <v>45931</v>
      </c>
      <c r="D649" s="56" t="s">
        <v>2811</v>
      </c>
      <c r="E649" s="73" t="s">
        <v>1828</v>
      </c>
      <c r="F649" s="63" t="s">
        <v>6</v>
      </c>
      <c r="G649" s="56" t="s">
        <v>2818</v>
      </c>
      <c r="H649" s="56" t="s">
        <v>2819</v>
      </c>
    </row>
    <row r="650" spans="2:8" x14ac:dyDescent="0.3">
      <c r="B650" s="65">
        <v>45954</v>
      </c>
      <c r="C650" s="71">
        <v>45931</v>
      </c>
      <c r="D650" s="5" t="s">
        <v>2811</v>
      </c>
      <c r="E650" s="29" t="s">
        <v>1828</v>
      </c>
      <c r="F650" s="47" t="s">
        <v>6</v>
      </c>
      <c r="G650" s="5" t="s">
        <v>2856</v>
      </c>
      <c r="H650" s="5" t="s">
        <v>2857</v>
      </c>
    </row>
    <row r="651" spans="2:8" x14ac:dyDescent="0.3">
      <c r="B651" s="65">
        <v>45957</v>
      </c>
      <c r="C651" s="71">
        <v>45931</v>
      </c>
      <c r="D651" s="56" t="s">
        <v>2811</v>
      </c>
      <c r="E651" s="73" t="s">
        <v>1828</v>
      </c>
      <c r="F651" s="63" t="s">
        <v>6</v>
      </c>
      <c r="G651" s="56" t="s">
        <v>2870</v>
      </c>
      <c r="H651" s="56" t="s">
        <v>2870</v>
      </c>
    </row>
    <row r="652" spans="2:8" x14ac:dyDescent="0.3">
      <c r="B652" s="65">
        <v>45957</v>
      </c>
      <c r="C652" s="71">
        <v>45931</v>
      </c>
      <c r="D652" s="56" t="s">
        <v>2811</v>
      </c>
      <c r="E652" s="73" t="s">
        <v>1828</v>
      </c>
      <c r="F652" s="63" t="s">
        <v>6</v>
      </c>
      <c r="G652" s="56" t="s">
        <v>2814</v>
      </c>
      <c r="H652" s="56" t="s">
        <v>2815</v>
      </c>
    </row>
    <row r="653" spans="2:8" x14ac:dyDescent="0.3">
      <c r="B653" s="65">
        <v>45957</v>
      </c>
      <c r="C653" s="71">
        <v>45931</v>
      </c>
      <c r="D653" s="56" t="s">
        <v>2811</v>
      </c>
      <c r="E653" s="73" t="s">
        <v>1828</v>
      </c>
      <c r="F653" s="63" t="s">
        <v>6</v>
      </c>
      <c r="G653" s="56" t="s">
        <v>2816</v>
      </c>
      <c r="H653" s="56" t="s">
        <v>2817</v>
      </c>
    </row>
    <row r="654" spans="2:8" x14ac:dyDescent="0.3">
      <c r="B654" s="65">
        <v>45957</v>
      </c>
      <c r="C654" s="71">
        <v>45931</v>
      </c>
      <c r="D654" s="56" t="s">
        <v>2811</v>
      </c>
      <c r="E654" s="73" t="s">
        <v>1828</v>
      </c>
      <c r="F654" s="63" t="s">
        <v>6</v>
      </c>
      <c r="G654" s="56" t="s">
        <v>2818</v>
      </c>
      <c r="H654" s="56" t="s">
        <v>2819</v>
      </c>
    </row>
    <row r="655" spans="2:8" x14ac:dyDescent="0.3">
      <c r="B655" s="65">
        <v>45958</v>
      </c>
      <c r="C655" s="71">
        <v>45931</v>
      </c>
      <c r="D655" s="56" t="s">
        <v>2811</v>
      </c>
      <c r="E655" s="73" t="s">
        <v>1828</v>
      </c>
      <c r="F655" s="63" t="s">
        <v>6</v>
      </c>
      <c r="G655" s="56" t="s">
        <v>2870</v>
      </c>
      <c r="H655" s="56" t="s">
        <v>2870</v>
      </c>
    </row>
    <row r="656" spans="2:8" x14ac:dyDescent="0.3">
      <c r="B656" s="65">
        <v>45958</v>
      </c>
      <c r="C656" s="71">
        <v>45931</v>
      </c>
      <c r="D656" s="56" t="s">
        <v>2811</v>
      </c>
      <c r="E656" s="73" t="s">
        <v>1828</v>
      </c>
      <c r="F656" s="63" t="s">
        <v>6</v>
      </c>
      <c r="G656" s="56" t="s">
        <v>2814</v>
      </c>
      <c r="H656" s="56" t="s">
        <v>2815</v>
      </c>
    </row>
    <row r="657" spans="2:8" x14ac:dyDescent="0.3">
      <c r="B657" s="65">
        <v>45958</v>
      </c>
      <c r="C657" s="71">
        <v>45931</v>
      </c>
      <c r="D657" s="56" t="s">
        <v>2811</v>
      </c>
      <c r="E657" s="73" t="s">
        <v>1828</v>
      </c>
      <c r="F657" s="63" t="s">
        <v>6</v>
      </c>
      <c r="G657" s="56" t="s">
        <v>2816</v>
      </c>
      <c r="H657" s="56" t="s">
        <v>2817</v>
      </c>
    </row>
    <row r="658" spans="2:8" x14ac:dyDescent="0.3">
      <c r="B658" s="65">
        <v>45958</v>
      </c>
      <c r="C658" s="71">
        <v>45931</v>
      </c>
      <c r="D658" s="56" t="s">
        <v>2811</v>
      </c>
      <c r="E658" s="73" t="s">
        <v>1828</v>
      </c>
      <c r="F658" s="63" t="s">
        <v>6</v>
      </c>
      <c r="G658" s="56" t="s">
        <v>2818</v>
      </c>
      <c r="H658" s="56" t="s">
        <v>2819</v>
      </c>
    </row>
    <row r="659" spans="2:8" x14ac:dyDescent="0.3">
      <c r="B659" s="65">
        <v>45959</v>
      </c>
      <c r="C659" s="71">
        <v>45931</v>
      </c>
      <c r="D659" s="56" t="s">
        <v>2811</v>
      </c>
      <c r="E659" s="73" t="s">
        <v>1828</v>
      </c>
      <c r="F659" s="63" t="s">
        <v>6</v>
      </c>
      <c r="G659" s="56" t="s">
        <v>2870</v>
      </c>
      <c r="H659" s="56" t="s">
        <v>2870</v>
      </c>
    </row>
    <row r="660" spans="2:8" x14ac:dyDescent="0.3">
      <c r="B660" s="65">
        <v>45959</v>
      </c>
      <c r="C660" s="71">
        <v>45931</v>
      </c>
      <c r="D660" s="56" t="s">
        <v>2811</v>
      </c>
      <c r="E660" s="73" t="s">
        <v>1828</v>
      </c>
      <c r="F660" s="63" t="s">
        <v>6</v>
      </c>
      <c r="G660" s="56" t="s">
        <v>2814</v>
      </c>
      <c r="H660" s="56" t="s">
        <v>2815</v>
      </c>
    </row>
    <row r="661" spans="2:8" x14ac:dyDescent="0.3">
      <c r="B661" s="65">
        <v>45959</v>
      </c>
      <c r="C661" s="71">
        <v>45931</v>
      </c>
      <c r="D661" s="56" t="s">
        <v>2811</v>
      </c>
      <c r="E661" s="73" t="s">
        <v>1828</v>
      </c>
      <c r="F661" s="63" t="s">
        <v>6</v>
      </c>
      <c r="G661" s="56" t="s">
        <v>2816</v>
      </c>
      <c r="H661" s="56" t="s">
        <v>2817</v>
      </c>
    </row>
    <row r="662" spans="2:8" x14ac:dyDescent="0.3">
      <c r="B662" s="65">
        <v>45959</v>
      </c>
      <c r="C662" s="71">
        <v>45931</v>
      </c>
      <c r="D662" s="56" t="s">
        <v>2811</v>
      </c>
      <c r="E662" s="73" t="s">
        <v>1828</v>
      </c>
      <c r="F662" s="63" t="s">
        <v>6</v>
      </c>
      <c r="G662" s="56" t="s">
        <v>2818</v>
      </c>
      <c r="H662" s="56" t="s">
        <v>2819</v>
      </c>
    </row>
    <row r="663" spans="2:8" x14ac:dyDescent="0.3">
      <c r="B663" s="65">
        <v>45960</v>
      </c>
      <c r="C663" s="71">
        <v>45931</v>
      </c>
      <c r="D663" s="56" t="s">
        <v>2811</v>
      </c>
      <c r="E663" s="73" t="s">
        <v>1828</v>
      </c>
      <c r="F663" s="63" t="s">
        <v>6</v>
      </c>
      <c r="G663" s="56" t="s">
        <v>2870</v>
      </c>
      <c r="H663" s="56" t="s">
        <v>2870</v>
      </c>
    </row>
    <row r="664" spans="2:8" x14ac:dyDescent="0.3">
      <c r="B664" s="65">
        <v>45960</v>
      </c>
      <c r="C664" s="71">
        <v>45931</v>
      </c>
      <c r="D664" s="56" t="s">
        <v>2811</v>
      </c>
      <c r="E664" s="73" t="s">
        <v>1828</v>
      </c>
      <c r="F664" s="63" t="s">
        <v>6</v>
      </c>
      <c r="G664" s="56" t="s">
        <v>2814</v>
      </c>
      <c r="H664" s="56" t="s">
        <v>2815</v>
      </c>
    </row>
    <row r="665" spans="2:8" x14ac:dyDescent="0.3">
      <c r="B665" s="65">
        <v>45960</v>
      </c>
      <c r="C665" s="71">
        <v>45931</v>
      </c>
      <c r="D665" s="56" t="s">
        <v>2811</v>
      </c>
      <c r="E665" s="73" t="s">
        <v>1828</v>
      </c>
      <c r="F665" s="63" t="s">
        <v>6</v>
      </c>
      <c r="G665" s="56" t="s">
        <v>2816</v>
      </c>
      <c r="H665" s="56" t="s">
        <v>2817</v>
      </c>
    </row>
    <row r="666" spans="2:8" x14ac:dyDescent="0.3">
      <c r="B666" s="65">
        <v>45960</v>
      </c>
      <c r="C666" s="71">
        <v>45931</v>
      </c>
      <c r="D666" s="56" t="s">
        <v>2811</v>
      </c>
      <c r="E666" s="73" t="s">
        <v>1828</v>
      </c>
      <c r="F666" s="63" t="s">
        <v>6</v>
      </c>
      <c r="G666" s="56" t="s">
        <v>2818</v>
      </c>
      <c r="H666" s="56" t="s">
        <v>2819</v>
      </c>
    </row>
    <row r="667" spans="2:8" x14ac:dyDescent="0.3">
      <c r="B667" s="65">
        <v>45964</v>
      </c>
      <c r="C667" s="71">
        <v>45962</v>
      </c>
      <c r="D667" s="56" t="s">
        <v>2811</v>
      </c>
      <c r="E667" s="73" t="s">
        <v>1828</v>
      </c>
      <c r="F667" s="63" t="s">
        <v>6</v>
      </c>
      <c r="G667" s="56" t="s">
        <v>2870</v>
      </c>
      <c r="H667" s="56" t="s">
        <v>2870</v>
      </c>
    </row>
    <row r="668" spans="2:8" x14ac:dyDescent="0.3">
      <c r="B668" s="65">
        <v>45964</v>
      </c>
      <c r="C668" s="71">
        <v>45962</v>
      </c>
      <c r="D668" s="56" t="s">
        <v>2811</v>
      </c>
      <c r="E668" s="73" t="s">
        <v>1828</v>
      </c>
      <c r="F668" s="63" t="s">
        <v>6</v>
      </c>
      <c r="G668" s="56" t="s">
        <v>2814</v>
      </c>
      <c r="H668" s="56" t="s">
        <v>2815</v>
      </c>
    </row>
    <row r="669" spans="2:8" x14ac:dyDescent="0.3">
      <c r="B669" s="65">
        <v>45964</v>
      </c>
      <c r="C669" s="71">
        <v>45962</v>
      </c>
      <c r="D669" s="56" t="s">
        <v>2811</v>
      </c>
      <c r="E669" s="73" t="s">
        <v>1828</v>
      </c>
      <c r="F669" s="63" t="s">
        <v>6</v>
      </c>
      <c r="G669" s="56" t="s">
        <v>2816</v>
      </c>
      <c r="H669" s="56" t="s">
        <v>2817</v>
      </c>
    </row>
    <row r="670" spans="2:8" x14ac:dyDescent="0.3">
      <c r="B670" s="65">
        <v>45964</v>
      </c>
      <c r="C670" s="71">
        <v>45962</v>
      </c>
      <c r="D670" s="56" t="s">
        <v>2811</v>
      </c>
      <c r="E670" s="73" t="s">
        <v>1828</v>
      </c>
      <c r="F670" s="63" t="s">
        <v>6</v>
      </c>
      <c r="G670" s="56" t="s">
        <v>2818</v>
      </c>
      <c r="H670" s="56" t="s">
        <v>2819</v>
      </c>
    </row>
    <row r="671" spans="2:8" x14ac:dyDescent="0.3">
      <c r="B671" s="65">
        <v>45965</v>
      </c>
      <c r="C671" s="71">
        <v>45962</v>
      </c>
      <c r="D671" s="56" t="s">
        <v>2811</v>
      </c>
      <c r="E671" s="73" t="s">
        <v>1828</v>
      </c>
      <c r="F671" s="63" t="s">
        <v>6</v>
      </c>
      <c r="G671" s="56" t="s">
        <v>2870</v>
      </c>
      <c r="H671" s="56" t="s">
        <v>2870</v>
      </c>
    </row>
    <row r="672" spans="2:8" x14ac:dyDescent="0.3">
      <c r="B672" s="65">
        <v>45965</v>
      </c>
      <c r="C672" s="71">
        <v>45962</v>
      </c>
      <c r="D672" s="56" t="s">
        <v>2811</v>
      </c>
      <c r="E672" s="73" t="s">
        <v>1828</v>
      </c>
      <c r="F672" s="63" t="s">
        <v>6</v>
      </c>
      <c r="G672" s="56" t="s">
        <v>2814</v>
      </c>
      <c r="H672" s="56" t="s">
        <v>2815</v>
      </c>
    </row>
    <row r="673" spans="2:8" x14ac:dyDescent="0.3">
      <c r="B673" s="65">
        <v>45965</v>
      </c>
      <c r="C673" s="71">
        <v>45962</v>
      </c>
      <c r="D673" s="56" t="s">
        <v>2811</v>
      </c>
      <c r="E673" s="73" t="s">
        <v>1828</v>
      </c>
      <c r="F673" s="63" t="s">
        <v>6</v>
      </c>
      <c r="G673" s="56" t="s">
        <v>2816</v>
      </c>
      <c r="H673" s="56" t="s">
        <v>2817</v>
      </c>
    </row>
    <row r="674" spans="2:8" x14ac:dyDescent="0.3">
      <c r="B674" s="65">
        <v>45965</v>
      </c>
      <c r="C674" s="71">
        <v>45962</v>
      </c>
      <c r="D674" s="56" t="s">
        <v>2811</v>
      </c>
      <c r="E674" s="73" t="s">
        <v>1828</v>
      </c>
      <c r="F674" s="63" t="s">
        <v>6</v>
      </c>
      <c r="G674" s="56" t="s">
        <v>2818</v>
      </c>
      <c r="H674" s="56" t="s">
        <v>2819</v>
      </c>
    </row>
    <row r="675" spans="2:8" x14ac:dyDescent="0.3">
      <c r="B675" s="65">
        <v>45965</v>
      </c>
      <c r="C675" s="71">
        <v>45962</v>
      </c>
      <c r="D675" s="56" t="s">
        <v>2811</v>
      </c>
      <c r="E675" s="73" t="s">
        <v>1828</v>
      </c>
      <c r="F675" s="137" t="s">
        <v>325</v>
      </c>
      <c r="G675" s="56" t="s">
        <v>2920</v>
      </c>
      <c r="H675" s="56" t="s">
        <v>2921</v>
      </c>
    </row>
    <row r="676" spans="2:8" x14ac:dyDescent="0.3">
      <c r="B676" s="65">
        <v>45966</v>
      </c>
      <c r="C676" s="71">
        <v>45962</v>
      </c>
      <c r="D676" s="56" t="s">
        <v>2811</v>
      </c>
      <c r="E676" s="73" t="s">
        <v>1828</v>
      </c>
      <c r="F676" s="63" t="s">
        <v>6</v>
      </c>
      <c r="G676" s="56" t="s">
        <v>2870</v>
      </c>
      <c r="H676" s="56" t="s">
        <v>2870</v>
      </c>
    </row>
    <row r="677" spans="2:8" x14ac:dyDescent="0.3">
      <c r="B677" s="65">
        <v>45966</v>
      </c>
      <c r="C677" s="71">
        <v>45962</v>
      </c>
      <c r="D677" s="56" t="s">
        <v>2811</v>
      </c>
      <c r="E677" s="73" t="s">
        <v>1828</v>
      </c>
      <c r="F677" s="63" t="s">
        <v>6</v>
      </c>
      <c r="G677" s="56" t="s">
        <v>2814</v>
      </c>
      <c r="H677" s="56" t="s">
        <v>2815</v>
      </c>
    </row>
    <row r="678" spans="2:8" x14ac:dyDescent="0.3">
      <c r="B678" s="65">
        <v>45966</v>
      </c>
      <c r="C678" s="71">
        <v>45962</v>
      </c>
      <c r="D678" s="56" t="s">
        <v>2811</v>
      </c>
      <c r="E678" s="73" t="s">
        <v>1828</v>
      </c>
      <c r="F678" s="63" t="s">
        <v>6</v>
      </c>
      <c r="G678" s="56" t="s">
        <v>2816</v>
      </c>
      <c r="H678" s="56" t="s">
        <v>2817</v>
      </c>
    </row>
    <row r="679" spans="2:8" x14ac:dyDescent="0.3">
      <c r="B679" s="65">
        <v>45966</v>
      </c>
      <c r="C679" s="71">
        <v>45962</v>
      </c>
      <c r="D679" s="56" t="s">
        <v>2811</v>
      </c>
      <c r="E679" s="73" t="s">
        <v>1828</v>
      </c>
      <c r="F679" s="63" t="s">
        <v>6</v>
      </c>
      <c r="G679" s="56" t="s">
        <v>2818</v>
      </c>
      <c r="H679" s="56" t="s">
        <v>2819</v>
      </c>
    </row>
    <row r="680" spans="2:8" x14ac:dyDescent="0.3">
      <c r="B680" s="65">
        <v>45967</v>
      </c>
      <c r="C680" s="71">
        <v>45962</v>
      </c>
      <c r="D680" s="56" t="s">
        <v>2811</v>
      </c>
      <c r="E680" s="73" t="s">
        <v>1828</v>
      </c>
      <c r="F680" s="63" t="s">
        <v>6</v>
      </c>
      <c r="G680" s="56" t="s">
        <v>2870</v>
      </c>
      <c r="H680" s="56" t="s">
        <v>2870</v>
      </c>
    </row>
    <row r="681" spans="2:8" x14ac:dyDescent="0.3">
      <c r="B681" s="65">
        <v>45967</v>
      </c>
      <c r="C681" s="71">
        <v>45962</v>
      </c>
      <c r="D681" s="56" t="s">
        <v>2811</v>
      </c>
      <c r="E681" s="73" t="s">
        <v>1828</v>
      </c>
      <c r="F681" s="63" t="s">
        <v>6</v>
      </c>
      <c r="G681" s="56" t="s">
        <v>2814</v>
      </c>
      <c r="H681" s="56" t="s">
        <v>2815</v>
      </c>
    </row>
    <row r="682" spans="2:8" x14ac:dyDescent="0.3">
      <c r="B682" s="65">
        <v>45967</v>
      </c>
      <c r="C682" s="71">
        <v>45962</v>
      </c>
      <c r="D682" s="56" t="s">
        <v>2811</v>
      </c>
      <c r="E682" s="73" t="s">
        <v>1828</v>
      </c>
      <c r="F682" s="63" t="s">
        <v>6</v>
      </c>
      <c r="G682" s="56" t="s">
        <v>2816</v>
      </c>
      <c r="H682" s="56" t="s">
        <v>2817</v>
      </c>
    </row>
    <row r="683" spans="2:8" x14ac:dyDescent="0.3">
      <c r="B683" s="65">
        <v>45967</v>
      </c>
      <c r="C683" s="71">
        <v>45962</v>
      </c>
      <c r="D683" s="56" t="s">
        <v>2811</v>
      </c>
      <c r="E683" s="73" t="s">
        <v>1828</v>
      </c>
      <c r="F683" s="63" t="s">
        <v>6</v>
      </c>
      <c r="G683" s="56" t="s">
        <v>2818</v>
      </c>
      <c r="H683" s="56" t="s">
        <v>2819</v>
      </c>
    </row>
    <row r="684" spans="2:8" x14ac:dyDescent="0.3">
      <c r="B684" s="65">
        <v>45968</v>
      </c>
      <c r="C684" s="71">
        <v>45962</v>
      </c>
      <c r="D684" s="56" t="s">
        <v>2811</v>
      </c>
      <c r="E684" s="73" t="s">
        <v>1828</v>
      </c>
      <c r="F684" s="63" t="s">
        <v>6</v>
      </c>
      <c r="G684" s="56" t="s">
        <v>2870</v>
      </c>
      <c r="H684" s="56" t="s">
        <v>2870</v>
      </c>
    </row>
    <row r="685" spans="2:8" x14ac:dyDescent="0.3">
      <c r="B685" s="65">
        <v>45968</v>
      </c>
      <c r="C685" s="71">
        <v>45962</v>
      </c>
      <c r="D685" s="56" t="s">
        <v>2811</v>
      </c>
      <c r="E685" s="73" t="s">
        <v>1828</v>
      </c>
      <c r="F685" s="63" t="s">
        <v>6</v>
      </c>
      <c r="G685" s="56" t="s">
        <v>2814</v>
      </c>
      <c r="H685" s="56" t="s">
        <v>2815</v>
      </c>
    </row>
    <row r="686" spans="2:8" x14ac:dyDescent="0.3">
      <c r="B686" s="65">
        <v>45968</v>
      </c>
      <c r="C686" s="71">
        <v>45962</v>
      </c>
      <c r="D686" s="56" t="s">
        <v>2811</v>
      </c>
      <c r="E686" s="73" t="s">
        <v>1828</v>
      </c>
      <c r="F686" s="63" t="s">
        <v>6</v>
      </c>
      <c r="G686" s="56" t="s">
        <v>2816</v>
      </c>
      <c r="H686" s="56" t="s">
        <v>2817</v>
      </c>
    </row>
    <row r="687" spans="2:8" x14ac:dyDescent="0.3">
      <c r="B687" s="65">
        <v>45968</v>
      </c>
      <c r="C687" s="71">
        <v>45962</v>
      </c>
      <c r="D687" s="56" t="s">
        <v>2811</v>
      </c>
      <c r="E687" s="73" t="s">
        <v>1828</v>
      </c>
      <c r="F687" s="63" t="s">
        <v>6</v>
      </c>
      <c r="G687" s="56" t="s">
        <v>2818</v>
      </c>
      <c r="H687" s="56" t="s">
        <v>2819</v>
      </c>
    </row>
    <row r="688" spans="2:8" x14ac:dyDescent="0.3">
      <c r="B688" s="65">
        <v>45971</v>
      </c>
      <c r="C688" s="71">
        <v>45962</v>
      </c>
      <c r="D688" s="56" t="s">
        <v>2811</v>
      </c>
      <c r="E688" s="73" t="s">
        <v>1828</v>
      </c>
      <c r="F688" s="63" t="s">
        <v>6</v>
      </c>
      <c r="G688" s="56" t="s">
        <v>2870</v>
      </c>
      <c r="H688" s="56" t="s">
        <v>2870</v>
      </c>
    </row>
    <row r="689" spans="2:8" x14ac:dyDescent="0.3">
      <c r="B689" s="65">
        <v>45971</v>
      </c>
      <c r="C689" s="71">
        <v>45962</v>
      </c>
      <c r="D689" s="56" t="s">
        <v>2811</v>
      </c>
      <c r="E689" s="73" t="s">
        <v>1828</v>
      </c>
      <c r="F689" s="63" t="s">
        <v>6</v>
      </c>
      <c r="G689" s="56" t="s">
        <v>2814</v>
      </c>
      <c r="H689" s="56" t="s">
        <v>2815</v>
      </c>
    </row>
    <row r="690" spans="2:8" x14ac:dyDescent="0.3">
      <c r="B690" s="65">
        <v>45971</v>
      </c>
      <c r="C690" s="71">
        <v>45962</v>
      </c>
      <c r="D690" s="56" t="s">
        <v>2811</v>
      </c>
      <c r="E690" s="73" t="s">
        <v>1828</v>
      </c>
      <c r="F690" s="63" t="s">
        <v>6</v>
      </c>
      <c r="G690" s="56" t="s">
        <v>2816</v>
      </c>
      <c r="H690" s="56" t="s">
        <v>2817</v>
      </c>
    </row>
    <row r="691" spans="2:8" x14ac:dyDescent="0.3">
      <c r="B691" s="65">
        <v>45971</v>
      </c>
      <c r="C691" s="71">
        <v>45962</v>
      </c>
      <c r="D691" s="56" t="s">
        <v>2811</v>
      </c>
      <c r="E691" s="73" t="s">
        <v>1828</v>
      </c>
      <c r="F691" s="63" t="s">
        <v>6</v>
      </c>
      <c r="G691" s="56" t="s">
        <v>2818</v>
      </c>
      <c r="H691" s="56" t="s">
        <v>2819</v>
      </c>
    </row>
    <row r="692" spans="2:8" x14ac:dyDescent="0.3">
      <c r="B692" s="65">
        <v>45971</v>
      </c>
      <c r="C692" s="71">
        <v>45962</v>
      </c>
      <c r="D692" s="5" t="s">
        <v>2811</v>
      </c>
      <c r="E692" s="29" t="s">
        <v>1828</v>
      </c>
      <c r="F692" s="47" t="s">
        <v>6</v>
      </c>
      <c r="G692" s="5" t="s">
        <v>2856</v>
      </c>
      <c r="H692" s="5" t="s">
        <v>2857</v>
      </c>
    </row>
    <row r="693" spans="2:8" x14ac:dyDescent="0.3">
      <c r="B693" s="65">
        <v>45971</v>
      </c>
      <c r="C693" s="71">
        <v>45962</v>
      </c>
      <c r="D693" s="56" t="s">
        <v>2811</v>
      </c>
      <c r="E693" s="73" t="s">
        <v>1828</v>
      </c>
      <c r="F693" s="137" t="s">
        <v>325</v>
      </c>
      <c r="G693" s="5" t="s">
        <v>2922</v>
      </c>
      <c r="H693" s="5" t="s">
        <v>2923</v>
      </c>
    </row>
    <row r="694" spans="2:8" x14ac:dyDescent="0.3">
      <c r="B694" s="65">
        <v>45972</v>
      </c>
      <c r="C694" s="71">
        <v>45962</v>
      </c>
      <c r="D694" s="56" t="s">
        <v>2811</v>
      </c>
      <c r="E694" s="73" t="s">
        <v>1828</v>
      </c>
      <c r="F694" s="63" t="s">
        <v>6</v>
      </c>
      <c r="G694" s="56" t="s">
        <v>2899</v>
      </c>
      <c r="H694" s="56" t="s">
        <v>2900</v>
      </c>
    </row>
    <row r="695" spans="2:8" x14ac:dyDescent="0.3">
      <c r="B695" s="65">
        <v>45972</v>
      </c>
      <c r="C695" s="71">
        <v>45962</v>
      </c>
      <c r="D695" s="56" t="s">
        <v>2811</v>
      </c>
      <c r="E695" s="73" t="s">
        <v>1828</v>
      </c>
      <c r="F695" s="63" t="s">
        <v>6</v>
      </c>
      <c r="G695" s="56" t="s">
        <v>2814</v>
      </c>
      <c r="H695" s="56" t="s">
        <v>2815</v>
      </c>
    </row>
    <row r="696" spans="2:8" x14ac:dyDescent="0.3">
      <c r="B696" s="65">
        <v>45972</v>
      </c>
      <c r="C696" s="71">
        <v>45962</v>
      </c>
      <c r="D696" s="56" t="s">
        <v>2811</v>
      </c>
      <c r="E696" s="73" t="s">
        <v>1828</v>
      </c>
      <c r="F696" s="63" t="s">
        <v>6</v>
      </c>
      <c r="G696" s="56" t="s">
        <v>2816</v>
      </c>
      <c r="H696" s="56" t="s">
        <v>2817</v>
      </c>
    </row>
    <row r="697" spans="2:8" x14ac:dyDescent="0.3">
      <c r="B697" s="65">
        <v>45972</v>
      </c>
      <c r="C697" s="71">
        <v>45962</v>
      </c>
      <c r="D697" s="56" t="s">
        <v>2811</v>
      </c>
      <c r="E697" s="73" t="s">
        <v>1828</v>
      </c>
      <c r="F697" s="63" t="s">
        <v>6</v>
      </c>
      <c r="G697" s="56" t="s">
        <v>2818</v>
      </c>
      <c r="H697" s="56" t="s">
        <v>2819</v>
      </c>
    </row>
    <row r="698" spans="2:8" x14ac:dyDescent="0.3">
      <c r="B698" s="65">
        <v>45973</v>
      </c>
      <c r="C698" s="71">
        <v>45962</v>
      </c>
      <c r="D698" s="56" t="s">
        <v>2811</v>
      </c>
      <c r="E698" s="73" t="s">
        <v>1828</v>
      </c>
      <c r="F698" s="63" t="s">
        <v>6</v>
      </c>
      <c r="G698" s="56" t="s">
        <v>2870</v>
      </c>
      <c r="H698" s="56" t="s">
        <v>2870</v>
      </c>
    </row>
    <row r="699" spans="2:8" x14ac:dyDescent="0.3">
      <c r="B699" s="65">
        <v>45973</v>
      </c>
      <c r="C699" s="71">
        <v>45962</v>
      </c>
      <c r="D699" s="56" t="s">
        <v>2811</v>
      </c>
      <c r="E699" s="73" t="s">
        <v>1828</v>
      </c>
      <c r="F699" s="63" t="s">
        <v>6</v>
      </c>
      <c r="G699" s="56" t="s">
        <v>2899</v>
      </c>
      <c r="H699" s="56" t="s">
        <v>2900</v>
      </c>
    </row>
    <row r="700" spans="2:8" x14ac:dyDescent="0.3">
      <c r="B700" s="65">
        <v>45973</v>
      </c>
      <c r="C700" s="71">
        <v>45962</v>
      </c>
      <c r="D700" s="56" t="s">
        <v>2811</v>
      </c>
      <c r="E700" s="73" t="s">
        <v>1828</v>
      </c>
      <c r="F700" s="63" t="s">
        <v>6</v>
      </c>
      <c r="G700" s="56" t="s">
        <v>2814</v>
      </c>
      <c r="H700" s="56" t="s">
        <v>2815</v>
      </c>
    </row>
    <row r="701" spans="2:8" x14ac:dyDescent="0.3">
      <c r="B701" s="65">
        <v>45973</v>
      </c>
      <c r="C701" s="71">
        <v>45962</v>
      </c>
      <c r="D701" s="56" t="s">
        <v>2811</v>
      </c>
      <c r="E701" s="73" t="s">
        <v>1828</v>
      </c>
      <c r="F701" s="63" t="s">
        <v>6</v>
      </c>
      <c r="G701" s="56" t="s">
        <v>2816</v>
      </c>
      <c r="H701" s="56" t="s">
        <v>2817</v>
      </c>
    </row>
    <row r="702" spans="2:8" x14ac:dyDescent="0.3">
      <c r="B702" s="65">
        <v>45973</v>
      </c>
      <c r="C702" s="71">
        <v>45962</v>
      </c>
      <c r="D702" s="56" t="s">
        <v>2811</v>
      </c>
      <c r="E702" s="73" t="s">
        <v>1828</v>
      </c>
      <c r="F702" s="63" t="s">
        <v>6</v>
      </c>
      <c r="G702" s="56" t="s">
        <v>2818</v>
      </c>
      <c r="H702" s="56" t="s">
        <v>2819</v>
      </c>
    </row>
    <row r="703" spans="2:8" x14ac:dyDescent="0.3">
      <c r="B703" s="65">
        <v>45974</v>
      </c>
      <c r="C703" s="71">
        <v>45962</v>
      </c>
      <c r="D703" s="56" t="s">
        <v>2811</v>
      </c>
      <c r="E703" s="73" t="s">
        <v>1828</v>
      </c>
      <c r="F703" s="63" t="s">
        <v>6</v>
      </c>
      <c r="G703" s="56" t="s">
        <v>2870</v>
      </c>
      <c r="H703" s="56" t="s">
        <v>2870</v>
      </c>
    </row>
    <row r="704" spans="2:8" x14ac:dyDescent="0.3">
      <c r="B704" s="65">
        <v>45974</v>
      </c>
      <c r="C704" s="71">
        <v>45962</v>
      </c>
      <c r="D704" s="56" t="s">
        <v>2811</v>
      </c>
      <c r="E704" s="73" t="s">
        <v>1828</v>
      </c>
      <c r="F704" s="63" t="s">
        <v>6</v>
      </c>
      <c r="G704" s="56" t="s">
        <v>2899</v>
      </c>
      <c r="H704" s="56" t="s">
        <v>2900</v>
      </c>
    </row>
    <row r="705" spans="2:8" x14ac:dyDescent="0.3">
      <c r="B705" s="65">
        <v>45974</v>
      </c>
      <c r="C705" s="71">
        <v>45962</v>
      </c>
      <c r="D705" s="56" t="s">
        <v>2811</v>
      </c>
      <c r="E705" s="73" t="s">
        <v>1828</v>
      </c>
      <c r="F705" s="63" t="s">
        <v>6</v>
      </c>
      <c r="G705" s="56" t="s">
        <v>2814</v>
      </c>
      <c r="H705" s="56" t="s">
        <v>2815</v>
      </c>
    </row>
    <row r="706" spans="2:8" x14ac:dyDescent="0.3">
      <c r="B706" s="65">
        <v>45974</v>
      </c>
      <c r="C706" s="71">
        <v>45962</v>
      </c>
      <c r="D706" s="56" t="s">
        <v>2811</v>
      </c>
      <c r="E706" s="73" t="s">
        <v>1828</v>
      </c>
      <c r="F706" s="63" t="s">
        <v>6</v>
      </c>
      <c r="G706" s="56" t="s">
        <v>2816</v>
      </c>
      <c r="H706" s="56" t="s">
        <v>2817</v>
      </c>
    </row>
    <row r="707" spans="2:8" x14ac:dyDescent="0.3">
      <c r="B707" s="65">
        <v>45974</v>
      </c>
      <c r="C707" s="71">
        <v>45962</v>
      </c>
      <c r="D707" s="56" t="s">
        <v>2811</v>
      </c>
      <c r="E707" s="73" t="s">
        <v>1828</v>
      </c>
      <c r="F707" s="63" t="s">
        <v>6</v>
      </c>
      <c r="G707" s="56" t="s">
        <v>2818</v>
      </c>
      <c r="H707" s="56" t="s">
        <v>2819</v>
      </c>
    </row>
    <row r="708" spans="2:8" x14ac:dyDescent="0.3">
      <c r="B708" s="65">
        <v>45975</v>
      </c>
      <c r="C708" s="71">
        <v>45962</v>
      </c>
      <c r="D708" s="56" t="s">
        <v>2811</v>
      </c>
      <c r="E708" s="73" t="s">
        <v>1828</v>
      </c>
      <c r="F708" s="63" t="s">
        <v>6</v>
      </c>
      <c r="G708" s="56" t="s">
        <v>2870</v>
      </c>
      <c r="H708" s="56" t="s">
        <v>2870</v>
      </c>
    </row>
    <row r="709" spans="2:8" x14ac:dyDescent="0.3">
      <c r="B709" s="65">
        <v>45975</v>
      </c>
      <c r="C709" s="71">
        <v>45962</v>
      </c>
      <c r="D709" s="56" t="s">
        <v>2811</v>
      </c>
      <c r="E709" s="73" t="s">
        <v>1828</v>
      </c>
      <c r="F709" s="63" t="s">
        <v>6</v>
      </c>
      <c r="G709" s="56" t="s">
        <v>2899</v>
      </c>
      <c r="H709" s="56" t="s">
        <v>2900</v>
      </c>
    </row>
    <row r="710" spans="2:8" x14ac:dyDescent="0.3">
      <c r="B710" s="65">
        <v>45975</v>
      </c>
      <c r="C710" s="71">
        <v>45962</v>
      </c>
      <c r="D710" s="56" t="s">
        <v>2811</v>
      </c>
      <c r="E710" s="73" t="s">
        <v>1828</v>
      </c>
      <c r="F710" s="63" t="s">
        <v>6</v>
      </c>
      <c r="G710" s="56" t="s">
        <v>2814</v>
      </c>
      <c r="H710" s="56" t="s">
        <v>2815</v>
      </c>
    </row>
    <row r="711" spans="2:8" x14ac:dyDescent="0.3">
      <c r="B711" s="65">
        <v>45975</v>
      </c>
      <c r="C711" s="71">
        <v>45962</v>
      </c>
      <c r="D711" s="56" t="s">
        <v>2811</v>
      </c>
      <c r="E711" s="73" t="s">
        <v>1828</v>
      </c>
      <c r="F711" s="63" t="s">
        <v>6</v>
      </c>
      <c r="G711" s="56" t="s">
        <v>2816</v>
      </c>
      <c r="H711" s="56" t="s">
        <v>2817</v>
      </c>
    </row>
    <row r="712" spans="2:8" x14ac:dyDescent="0.3">
      <c r="B712" s="65">
        <v>45975</v>
      </c>
      <c r="C712" s="71">
        <v>45962</v>
      </c>
      <c r="D712" s="56" t="s">
        <v>2811</v>
      </c>
      <c r="E712" s="73" t="s">
        <v>1828</v>
      </c>
      <c r="F712" s="63" t="s">
        <v>6</v>
      </c>
      <c r="G712" s="56" t="s">
        <v>2818</v>
      </c>
      <c r="H712" s="56" t="s">
        <v>2819</v>
      </c>
    </row>
    <row r="713" spans="2:8" x14ac:dyDescent="0.3">
      <c r="B713" s="65">
        <v>45978</v>
      </c>
      <c r="C713" s="71">
        <v>45962</v>
      </c>
      <c r="D713" s="56" t="s">
        <v>2811</v>
      </c>
      <c r="E713" s="73" t="s">
        <v>1828</v>
      </c>
      <c r="F713" s="63" t="s">
        <v>6</v>
      </c>
      <c r="G713" s="56" t="s">
        <v>2870</v>
      </c>
      <c r="H713" s="56" t="s">
        <v>2870</v>
      </c>
    </row>
    <row r="714" spans="2:8" x14ac:dyDescent="0.3">
      <c r="B714" s="65">
        <v>45978</v>
      </c>
      <c r="C714" s="71">
        <v>45962</v>
      </c>
      <c r="D714" s="56" t="s">
        <v>2811</v>
      </c>
      <c r="E714" s="73" t="s">
        <v>1828</v>
      </c>
      <c r="F714" s="63" t="s">
        <v>6</v>
      </c>
      <c r="G714" s="56" t="s">
        <v>2899</v>
      </c>
      <c r="H714" s="56" t="s">
        <v>2900</v>
      </c>
    </row>
    <row r="715" spans="2:8" x14ac:dyDescent="0.3">
      <c r="B715" s="65">
        <v>45978</v>
      </c>
      <c r="C715" s="71">
        <v>45962</v>
      </c>
      <c r="D715" s="56" t="s">
        <v>2811</v>
      </c>
      <c r="E715" s="73" t="s">
        <v>1828</v>
      </c>
      <c r="F715" s="63" t="s">
        <v>6</v>
      </c>
      <c r="G715" s="56" t="s">
        <v>2814</v>
      </c>
      <c r="H715" s="56" t="s">
        <v>2815</v>
      </c>
    </row>
    <row r="716" spans="2:8" x14ac:dyDescent="0.3">
      <c r="B716" s="65">
        <v>45978</v>
      </c>
      <c r="C716" s="71">
        <v>45962</v>
      </c>
      <c r="D716" s="56" t="s">
        <v>2811</v>
      </c>
      <c r="E716" s="73" t="s">
        <v>1828</v>
      </c>
      <c r="F716" s="63" t="s">
        <v>6</v>
      </c>
      <c r="G716" s="56" t="s">
        <v>2816</v>
      </c>
      <c r="H716" s="56" t="s">
        <v>2817</v>
      </c>
    </row>
    <row r="717" spans="2:8" x14ac:dyDescent="0.3">
      <c r="B717" s="65">
        <v>45978</v>
      </c>
      <c r="C717" s="71">
        <v>45962</v>
      </c>
      <c r="D717" s="56" t="s">
        <v>2811</v>
      </c>
      <c r="E717" s="73" t="s">
        <v>1828</v>
      </c>
      <c r="F717" s="63" t="s">
        <v>6</v>
      </c>
      <c r="G717" s="56" t="s">
        <v>2818</v>
      </c>
      <c r="H717" s="56" t="s">
        <v>2819</v>
      </c>
    </row>
    <row r="718" spans="2:8" x14ac:dyDescent="0.3">
      <c r="B718" s="65">
        <v>45979</v>
      </c>
      <c r="C718" s="71">
        <v>45962</v>
      </c>
      <c r="D718" s="56" t="s">
        <v>2811</v>
      </c>
      <c r="E718" s="73" t="s">
        <v>1828</v>
      </c>
      <c r="F718" s="63" t="s">
        <v>6</v>
      </c>
      <c r="G718" s="56" t="s">
        <v>2870</v>
      </c>
      <c r="H718" s="56" t="s">
        <v>2870</v>
      </c>
    </row>
    <row r="719" spans="2:8" x14ac:dyDescent="0.3">
      <c r="B719" s="65">
        <v>45979</v>
      </c>
      <c r="C719" s="71">
        <v>45962</v>
      </c>
      <c r="D719" s="56" t="s">
        <v>2811</v>
      </c>
      <c r="E719" s="73" t="s">
        <v>1828</v>
      </c>
      <c r="F719" s="63" t="s">
        <v>6</v>
      </c>
      <c r="G719" s="56" t="s">
        <v>2899</v>
      </c>
      <c r="H719" s="56" t="s">
        <v>2900</v>
      </c>
    </row>
    <row r="720" spans="2:8" x14ac:dyDescent="0.3">
      <c r="B720" s="65">
        <v>45979</v>
      </c>
      <c r="C720" s="71">
        <v>45962</v>
      </c>
      <c r="D720" s="56" t="s">
        <v>2811</v>
      </c>
      <c r="E720" s="73" t="s">
        <v>1828</v>
      </c>
      <c r="F720" s="63" t="s">
        <v>6</v>
      </c>
      <c r="G720" s="56" t="s">
        <v>2814</v>
      </c>
      <c r="H720" s="56" t="s">
        <v>2815</v>
      </c>
    </row>
    <row r="721" spans="2:8" x14ac:dyDescent="0.3">
      <c r="B721" s="65">
        <v>45979</v>
      </c>
      <c r="C721" s="71">
        <v>45962</v>
      </c>
      <c r="D721" s="56" t="s">
        <v>2811</v>
      </c>
      <c r="E721" s="73" t="s">
        <v>1828</v>
      </c>
      <c r="F721" s="63" t="s">
        <v>6</v>
      </c>
      <c r="G721" s="56" t="s">
        <v>2816</v>
      </c>
      <c r="H721" s="56" t="s">
        <v>2817</v>
      </c>
    </row>
    <row r="722" spans="2:8" x14ac:dyDescent="0.3">
      <c r="B722" s="65">
        <v>45979</v>
      </c>
      <c r="C722" s="71">
        <v>45962</v>
      </c>
      <c r="D722" s="56" t="s">
        <v>2811</v>
      </c>
      <c r="E722" s="73" t="s">
        <v>1828</v>
      </c>
      <c r="F722" s="63" t="s">
        <v>6</v>
      </c>
      <c r="G722" s="56" t="s">
        <v>2818</v>
      </c>
      <c r="H722" s="56" t="s">
        <v>2819</v>
      </c>
    </row>
    <row r="723" spans="2:8" x14ac:dyDescent="0.3">
      <c r="B723" s="65">
        <v>45980</v>
      </c>
      <c r="C723" s="71">
        <v>45962</v>
      </c>
      <c r="D723" s="56" t="s">
        <v>2811</v>
      </c>
      <c r="E723" s="73" t="s">
        <v>1828</v>
      </c>
      <c r="F723" s="63" t="s">
        <v>6</v>
      </c>
      <c r="G723" s="56" t="s">
        <v>2870</v>
      </c>
      <c r="H723" s="56" t="s">
        <v>2870</v>
      </c>
    </row>
    <row r="724" spans="2:8" x14ac:dyDescent="0.3">
      <c r="B724" s="65">
        <v>45980</v>
      </c>
      <c r="C724" s="71">
        <v>45962</v>
      </c>
      <c r="D724" s="56" t="s">
        <v>2811</v>
      </c>
      <c r="E724" s="73" t="s">
        <v>1828</v>
      </c>
      <c r="F724" s="63" t="s">
        <v>6</v>
      </c>
      <c r="G724" s="56" t="s">
        <v>2899</v>
      </c>
      <c r="H724" s="56" t="s">
        <v>2900</v>
      </c>
    </row>
    <row r="725" spans="2:8" x14ac:dyDescent="0.3">
      <c r="B725" s="65">
        <v>45980</v>
      </c>
      <c r="C725" s="71">
        <v>45962</v>
      </c>
      <c r="D725" s="56" t="s">
        <v>2811</v>
      </c>
      <c r="E725" s="73" t="s">
        <v>1828</v>
      </c>
      <c r="F725" s="63" t="s">
        <v>6</v>
      </c>
      <c r="G725" s="56" t="s">
        <v>2814</v>
      </c>
      <c r="H725" s="56" t="s">
        <v>2815</v>
      </c>
    </row>
    <row r="726" spans="2:8" x14ac:dyDescent="0.3">
      <c r="B726" s="65">
        <v>45980</v>
      </c>
      <c r="C726" s="71">
        <v>45962</v>
      </c>
      <c r="D726" s="56" t="s">
        <v>2811</v>
      </c>
      <c r="E726" s="73" t="s">
        <v>1828</v>
      </c>
      <c r="F726" s="63" t="s">
        <v>6</v>
      </c>
      <c r="G726" s="56" t="s">
        <v>2816</v>
      </c>
      <c r="H726" s="56" t="s">
        <v>2817</v>
      </c>
    </row>
    <row r="727" spans="2:8" x14ac:dyDescent="0.3">
      <c r="B727" s="65">
        <v>45980</v>
      </c>
      <c r="C727" s="71">
        <v>45962</v>
      </c>
      <c r="D727" s="56" t="s">
        <v>2811</v>
      </c>
      <c r="E727" s="73" t="s">
        <v>1828</v>
      </c>
      <c r="F727" s="63" t="s">
        <v>6</v>
      </c>
      <c r="G727" s="56" t="s">
        <v>2818</v>
      </c>
      <c r="H727" s="56" t="s">
        <v>2819</v>
      </c>
    </row>
    <row r="728" spans="2:8" x14ac:dyDescent="0.3">
      <c r="B728" s="65">
        <v>45981</v>
      </c>
      <c r="C728" s="71">
        <v>45962</v>
      </c>
      <c r="D728" s="56" t="s">
        <v>2811</v>
      </c>
      <c r="E728" s="73" t="s">
        <v>1828</v>
      </c>
      <c r="F728" s="63" t="s">
        <v>6</v>
      </c>
      <c r="G728" s="56" t="s">
        <v>2870</v>
      </c>
      <c r="H728" s="56" t="s">
        <v>2870</v>
      </c>
    </row>
    <row r="729" spans="2:8" x14ac:dyDescent="0.3">
      <c r="B729" s="65">
        <v>45981</v>
      </c>
      <c r="C729" s="71">
        <v>45962</v>
      </c>
      <c r="D729" s="56" t="s">
        <v>2811</v>
      </c>
      <c r="E729" s="73" t="s">
        <v>1828</v>
      </c>
      <c r="F729" s="63" t="s">
        <v>6</v>
      </c>
      <c r="G729" s="56" t="s">
        <v>2899</v>
      </c>
      <c r="H729" s="56" t="s">
        <v>2900</v>
      </c>
    </row>
    <row r="730" spans="2:8" x14ac:dyDescent="0.3">
      <c r="B730" s="65">
        <v>45981</v>
      </c>
      <c r="C730" s="71">
        <v>45962</v>
      </c>
      <c r="D730" s="56" t="s">
        <v>2811</v>
      </c>
      <c r="E730" s="73" t="s">
        <v>1828</v>
      </c>
      <c r="F730" s="63" t="s">
        <v>6</v>
      </c>
      <c r="G730" s="56" t="s">
        <v>2814</v>
      </c>
      <c r="H730" s="56" t="s">
        <v>2815</v>
      </c>
    </row>
    <row r="731" spans="2:8" x14ac:dyDescent="0.3">
      <c r="B731" s="65">
        <v>45981</v>
      </c>
      <c r="C731" s="71">
        <v>45962</v>
      </c>
      <c r="D731" s="56" t="s">
        <v>2811</v>
      </c>
      <c r="E731" s="73" t="s">
        <v>1828</v>
      </c>
      <c r="F731" s="63" t="s">
        <v>6</v>
      </c>
      <c r="G731" s="56" t="s">
        <v>2816</v>
      </c>
      <c r="H731" s="56" t="s">
        <v>2817</v>
      </c>
    </row>
    <row r="732" spans="2:8" x14ac:dyDescent="0.3">
      <c r="B732" s="65">
        <v>45981</v>
      </c>
      <c r="C732" s="71">
        <v>45962</v>
      </c>
      <c r="D732" s="56" t="s">
        <v>2811</v>
      </c>
      <c r="E732" s="73" t="s">
        <v>1828</v>
      </c>
      <c r="F732" s="63" t="s">
        <v>6</v>
      </c>
      <c r="G732" s="56" t="s">
        <v>2818</v>
      </c>
      <c r="H732" s="56" t="s">
        <v>2819</v>
      </c>
    </row>
    <row r="733" spans="2:8" x14ac:dyDescent="0.3">
      <c r="B733" s="65">
        <v>45982</v>
      </c>
      <c r="C733" s="71">
        <v>45962</v>
      </c>
      <c r="D733" s="56" t="s">
        <v>2811</v>
      </c>
      <c r="E733" s="73" t="s">
        <v>1828</v>
      </c>
      <c r="F733" s="63" t="s">
        <v>6</v>
      </c>
      <c r="G733" s="56" t="s">
        <v>2870</v>
      </c>
      <c r="H733" s="56" t="s">
        <v>2870</v>
      </c>
    </row>
    <row r="734" spans="2:8" x14ac:dyDescent="0.3">
      <c r="B734" s="65">
        <v>45982</v>
      </c>
      <c r="C734" s="71">
        <v>45962</v>
      </c>
      <c r="D734" s="56" t="s">
        <v>2811</v>
      </c>
      <c r="E734" s="73" t="s">
        <v>1828</v>
      </c>
      <c r="F734" s="63" t="s">
        <v>6</v>
      </c>
      <c r="G734" s="56" t="s">
        <v>2899</v>
      </c>
      <c r="H734" s="56" t="s">
        <v>2900</v>
      </c>
    </row>
    <row r="735" spans="2:8" x14ac:dyDescent="0.3">
      <c r="B735" s="65">
        <v>45982</v>
      </c>
      <c r="C735" s="71">
        <v>45962</v>
      </c>
      <c r="D735" s="56" t="s">
        <v>2811</v>
      </c>
      <c r="E735" s="73" t="s">
        <v>1828</v>
      </c>
      <c r="F735" s="63" t="s">
        <v>6</v>
      </c>
      <c r="G735" s="56" t="s">
        <v>2814</v>
      </c>
      <c r="H735" s="56" t="s">
        <v>2815</v>
      </c>
    </row>
    <row r="736" spans="2:8" x14ac:dyDescent="0.3">
      <c r="B736" s="65">
        <v>45982</v>
      </c>
      <c r="C736" s="71">
        <v>45962</v>
      </c>
      <c r="D736" s="56" t="s">
        <v>2811</v>
      </c>
      <c r="E736" s="73" t="s">
        <v>1828</v>
      </c>
      <c r="F736" s="63" t="s">
        <v>6</v>
      </c>
      <c r="G736" s="56" t="s">
        <v>2816</v>
      </c>
      <c r="H736" s="56" t="s">
        <v>2817</v>
      </c>
    </row>
    <row r="737" spans="2:8" x14ac:dyDescent="0.3">
      <c r="B737" s="65">
        <v>45982</v>
      </c>
      <c r="C737" s="71">
        <v>45962</v>
      </c>
      <c r="D737" s="56" t="s">
        <v>2811</v>
      </c>
      <c r="E737" s="73" t="s">
        <v>1828</v>
      </c>
      <c r="F737" s="63" t="s">
        <v>6</v>
      </c>
      <c r="G737" s="56" t="s">
        <v>2818</v>
      </c>
      <c r="H737" s="56" t="s">
        <v>2819</v>
      </c>
    </row>
    <row r="738" spans="2:8" x14ac:dyDescent="0.3">
      <c r="B738" s="65">
        <v>45985</v>
      </c>
      <c r="C738" s="71">
        <v>45962</v>
      </c>
      <c r="D738" s="56" t="s">
        <v>2811</v>
      </c>
      <c r="E738" s="73" t="s">
        <v>1828</v>
      </c>
      <c r="F738" s="63" t="s">
        <v>6</v>
      </c>
      <c r="G738" s="56" t="s">
        <v>2870</v>
      </c>
      <c r="H738" s="56" t="s">
        <v>2870</v>
      </c>
    </row>
    <row r="739" spans="2:8" x14ac:dyDescent="0.3">
      <c r="B739" s="65">
        <v>45985</v>
      </c>
      <c r="C739" s="71">
        <v>45962</v>
      </c>
      <c r="D739" s="56" t="s">
        <v>2811</v>
      </c>
      <c r="E739" s="73" t="s">
        <v>1828</v>
      </c>
      <c r="F739" s="63" t="s">
        <v>6</v>
      </c>
      <c r="G739" s="56" t="s">
        <v>2899</v>
      </c>
      <c r="H739" s="56" t="s">
        <v>2900</v>
      </c>
    </row>
    <row r="740" spans="2:8" x14ac:dyDescent="0.3">
      <c r="B740" s="65">
        <v>45985</v>
      </c>
      <c r="C740" s="71">
        <v>45962</v>
      </c>
      <c r="D740" s="56" t="s">
        <v>2811</v>
      </c>
      <c r="E740" s="73" t="s">
        <v>1828</v>
      </c>
      <c r="F740" s="63" t="s">
        <v>6</v>
      </c>
      <c r="G740" s="56" t="s">
        <v>2814</v>
      </c>
      <c r="H740" s="56" t="s">
        <v>2815</v>
      </c>
    </row>
    <row r="741" spans="2:8" x14ac:dyDescent="0.3">
      <c r="B741" s="65">
        <v>45985</v>
      </c>
      <c r="C741" s="71">
        <v>45962</v>
      </c>
      <c r="D741" s="56" t="s">
        <v>2811</v>
      </c>
      <c r="E741" s="73" t="s">
        <v>1828</v>
      </c>
      <c r="F741" s="63" t="s">
        <v>6</v>
      </c>
      <c r="G741" s="56" t="s">
        <v>2816</v>
      </c>
      <c r="H741" s="56" t="s">
        <v>2817</v>
      </c>
    </row>
    <row r="742" spans="2:8" x14ac:dyDescent="0.3">
      <c r="B742" s="65">
        <v>45985</v>
      </c>
      <c r="C742" s="71">
        <v>45962</v>
      </c>
      <c r="D742" s="56" t="s">
        <v>2811</v>
      </c>
      <c r="E742" s="73" t="s">
        <v>1828</v>
      </c>
      <c r="F742" s="63" t="s">
        <v>6</v>
      </c>
      <c r="G742" s="56" t="s">
        <v>2818</v>
      </c>
      <c r="H742" s="56" t="s">
        <v>2819</v>
      </c>
    </row>
    <row r="743" spans="2:8" x14ac:dyDescent="0.3">
      <c r="B743" s="65">
        <v>45986</v>
      </c>
      <c r="C743" s="71">
        <v>45962</v>
      </c>
      <c r="D743" s="56" t="s">
        <v>2811</v>
      </c>
      <c r="E743" s="73" t="s">
        <v>1828</v>
      </c>
      <c r="F743" s="63" t="s">
        <v>6</v>
      </c>
      <c r="G743" s="56" t="s">
        <v>2870</v>
      </c>
      <c r="H743" s="56" t="s">
        <v>2870</v>
      </c>
    </row>
    <row r="744" spans="2:8" x14ac:dyDescent="0.3">
      <c r="B744" s="65">
        <v>45986</v>
      </c>
      <c r="C744" s="71">
        <v>45962</v>
      </c>
      <c r="D744" s="56" t="s">
        <v>2811</v>
      </c>
      <c r="E744" s="73" t="s">
        <v>1828</v>
      </c>
      <c r="F744" s="63" t="s">
        <v>6</v>
      </c>
      <c r="G744" s="56" t="s">
        <v>2899</v>
      </c>
      <c r="H744" s="56" t="s">
        <v>2900</v>
      </c>
    </row>
    <row r="745" spans="2:8" x14ac:dyDescent="0.3">
      <c r="B745" s="65">
        <v>45986</v>
      </c>
      <c r="C745" s="71">
        <v>45962</v>
      </c>
      <c r="D745" s="56" t="s">
        <v>2811</v>
      </c>
      <c r="E745" s="73" t="s">
        <v>1828</v>
      </c>
      <c r="F745" s="63" t="s">
        <v>6</v>
      </c>
      <c r="G745" s="56" t="s">
        <v>2814</v>
      </c>
      <c r="H745" s="56" t="s">
        <v>2815</v>
      </c>
    </row>
    <row r="746" spans="2:8" x14ac:dyDescent="0.3">
      <c r="B746" s="65">
        <v>45986</v>
      </c>
      <c r="C746" s="71">
        <v>45962</v>
      </c>
      <c r="D746" s="56" t="s">
        <v>2811</v>
      </c>
      <c r="E746" s="73" t="s">
        <v>1828</v>
      </c>
      <c r="F746" s="63" t="s">
        <v>6</v>
      </c>
      <c r="G746" s="56" t="s">
        <v>2816</v>
      </c>
      <c r="H746" s="56" t="s">
        <v>2817</v>
      </c>
    </row>
    <row r="747" spans="2:8" x14ac:dyDescent="0.3">
      <c r="B747" s="65">
        <v>45986</v>
      </c>
      <c r="C747" s="71">
        <v>45962</v>
      </c>
      <c r="D747" s="56" t="s">
        <v>2811</v>
      </c>
      <c r="E747" s="73" t="s">
        <v>1828</v>
      </c>
      <c r="F747" s="63" t="s">
        <v>6</v>
      </c>
      <c r="G747" s="56" t="s">
        <v>2818</v>
      </c>
      <c r="H747" s="56" t="s">
        <v>2819</v>
      </c>
    </row>
    <row r="748" spans="2:8" x14ac:dyDescent="0.3">
      <c r="B748" s="65">
        <v>45987</v>
      </c>
      <c r="C748" s="71">
        <v>45962</v>
      </c>
      <c r="D748" s="56" t="s">
        <v>2811</v>
      </c>
      <c r="E748" s="73" t="s">
        <v>1828</v>
      </c>
      <c r="F748" s="63" t="s">
        <v>6</v>
      </c>
      <c r="G748" s="56" t="s">
        <v>2870</v>
      </c>
      <c r="H748" s="56" t="s">
        <v>2870</v>
      </c>
    </row>
    <row r="749" spans="2:8" x14ac:dyDescent="0.3">
      <c r="B749" s="65">
        <v>45987</v>
      </c>
      <c r="C749" s="71">
        <v>45962</v>
      </c>
      <c r="D749" s="56" t="s">
        <v>2811</v>
      </c>
      <c r="E749" s="73" t="s">
        <v>1828</v>
      </c>
      <c r="F749" s="63" t="s">
        <v>6</v>
      </c>
      <c r="G749" s="56" t="s">
        <v>2899</v>
      </c>
      <c r="H749" s="56" t="s">
        <v>2900</v>
      </c>
    </row>
    <row r="750" spans="2:8" x14ac:dyDescent="0.3">
      <c r="B750" s="65">
        <v>45987</v>
      </c>
      <c r="C750" s="71">
        <v>45962</v>
      </c>
      <c r="D750" s="56" t="s">
        <v>2811</v>
      </c>
      <c r="E750" s="73" t="s">
        <v>1828</v>
      </c>
      <c r="F750" s="63" t="s">
        <v>6</v>
      </c>
      <c r="G750" s="56" t="s">
        <v>2814</v>
      </c>
      <c r="H750" s="56" t="s">
        <v>2815</v>
      </c>
    </row>
    <row r="751" spans="2:8" x14ac:dyDescent="0.3">
      <c r="B751" s="65">
        <v>45987</v>
      </c>
      <c r="C751" s="71">
        <v>45962</v>
      </c>
      <c r="D751" s="56" t="s">
        <v>2811</v>
      </c>
      <c r="E751" s="73" t="s">
        <v>1828</v>
      </c>
      <c r="F751" s="63" t="s">
        <v>6</v>
      </c>
      <c r="G751" s="56" t="s">
        <v>2816</v>
      </c>
      <c r="H751" s="56" t="s">
        <v>2817</v>
      </c>
    </row>
    <row r="752" spans="2:8" x14ac:dyDescent="0.3">
      <c r="B752" s="65">
        <v>45987</v>
      </c>
      <c r="C752" s="71">
        <v>45962</v>
      </c>
      <c r="D752" s="56" t="s">
        <v>2811</v>
      </c>
      <c r="E752" s="73" t="s">
        <v>1828</v>
      </c>
      <c r="F752" s="63" t="s">
        <v>6</v>
      </c>
      <c r="G752" s="56" t="s">
        <v>2818</v>
      </c>
      <c r="H752" s="56" t="s">
        <v>2819</v>
      </c>
    </row>
    <row r="753" spans="2:8" x14ac:dyDescent="0.3">
      <c r="B753" s="65">
        <v>45988</v>
      </c>
      <c r="C753" s="71">
        <v>45962</v>
      </c>
      <c r="D753" s="56" t="s">
        <v>2811</v>
      </c>
      <c r="E753" s="73" t="s">
        <v>1828</v>
      </c>
      <c r="F753" s="63" t="s">
        <v>6</v>
      </c>
      <c r="G753" s="56" t="s">
        <v>2870</v>
      </c>
      <c r="H753" s="56" t="s">
        <v>2870</v>
      </c>
    </row>
    <row r="754" spans="2:8" x14ac:dyDescent="0.3">
      <c r="B754" s="65">
        <v>45988</v>
      </c>
      <c r="C754" s="71">
        <v>45962</v>
      </c>
      <c r="D754" s="56" t="s">
        <v>2811</v>
      </c>
      <c r="E754" s="73" t="s">
        <v>1828</v>
      </c>
      <c r="F754" s="63" t="s">
        <v>6</v>
      </c>
      <c r="G754" s="56" t="s">
        <v>2899</v>
      </c>
      <c r="H754" s="56" t="s">
        <v>2900</v>
      </c>
    </row>
    <row r="755" spans="2:8" x14ac:dyDescent="0.3">
      <c r="B755" s="65">
        <v>45988</v>
      </c>
      <c r="C755" s="71">
        <v>45962</v>
      </c>
      <c r="D755" s="56" t="s">
        <v>2811</v>
      </c>
      <c r="E755" s="73" t="s">
        <v>1828</v>
      </c>
      <c r="F755" s="63" t="s">
        <v>6</v>
      </c>
      <c r="G755" s="56" t="s">
        <v>2814</v>
      </c>
      <c r="H755" s="56" t="s">
        <v>2815</v>
      </c>
    </row>
    <row r="756" spans="2:8" x14ac:dyDescent="0.3">
      <c r="B756" s="65">
        <v>45988</v>
      </c>
      <c r="C756" s="71">
        <v>45962</v>
      </c>
      <c r="D756" s="56" t="s">
        <v>2811</v>
      </c>
      <c r="E756" s="73" t="s">
        <v>1828</v>
      </c>
      <c r="F756" s="63" t="s">
        <v>6</v>
      </c>
      <c r="G756" s="56" t="s">
        <v>2816</v>
      </c>
      <c r="H756" s="56" t="s">
        <v>2817</v>
      </c>
    </row>
    <row r="757" spans="2:8" x14ac:dyDescent="0.3">
      <c r="B757" s="65">
        <v>45988</v>
      </c>
      <c r="C757" s="71">
        <v>45962</v>
      </c>
      <c r="D757" s="56" t="s">
        <v>2811</v>
      </c>
      <c r="E757" s="73" t="s">
        <v>1828</v>
      </c>
      <c r="F757" s="63" t="s">
        <v>6</v>
      </c>
      <c r="G757" s="56" t="s">
        <v>2818</v>
      </c>
      <c r="H757" s="56" t="s">
        <v>2819</v>
      </c>
    </row>
    <row r="758" spans="2:8" x14ac:dyDescent="0.3">
      <c r="B758" s="65">
        <v>45989</v>
      </c>
      <c r="C758" s="71">
        <v>45962</v>
      </c>
      <c r="D758" s="56" t="s">
        <v>2811</v>
      </c>
      <c r="E758" s="73" t="s">
        <v>1828</v>
      </c>
      <c r="F758" s="63" t="s">
        <v>6</v>
      </c>
      <c r="G758" s="56" t="s">
        <v>2870</v>
      </c>
      <c r="H758" s="56" t="s">
        <v>2870</v>
      </c>
    </row>
    <row r="759" spans="2:8" x14ac:dyDescent="0.3">
      <c r="B759" s="65">
        <v>45989</v>
      </c>
      <c r="C759" s="71">
        <v>45962</v>
      </c>
      <c r="D759" s="56" t="s">
        <v>2811</v>
      </c>
      <c r="E759" s="73" t="s">
        <v>1828</v>
      </c>
      <c r="F759" s="63" t="s">
        <v>6</v>
      </c>
      <c r="G759" s="56" t="s">
        <v>2899</v>
      </c>
      <c r="H759" s="56" t="s">
        <v>2900</v>
      </c>
    </row>
    <row r="760" spans="2:8" x14ac:dyDescent="0.3">
      <c r="B760" s="65">
        <v>45989</v>
      </c>
      <c r="C760" s="71">
        <v>45962</v>
      </c>
      <c r="D760" s="56" t="s">
        <v>2811</v>
      </c>
      <c r="E760" s="73" t="s">
        <v>1828</v>
      </c>
      <c r="F760" s="63" t="s">
        <v>6</v>
      </c>
      <c r="G760" s="56" t="s">
        <v>2814</v>
      </c>
      <c r="H760" s="56" t="s">
        <v>2815</v>
      </c>
    </row>
    <row r="761" spans="2:8" x14ac:dyDescent="0.3">
      <c r="B761" s="65">
        <v>45989</v>
      </c>
      <c r="C761" s="71">
        <v>45962</v>
      </c>
      <c r="D761" s="56" t="s">
        <v>2811</v>
      </c>
      <c r="E761" s="73" t="s">
        <v>1828</v>
      </c>
      <c r="F761" s="63" t="s">
        <v>6</v>
      </c>
      <c r="G761" s="56" t="s">
        <v>2816</v>
      </c>
      <c r="H761" s="56" t="s">
        <v>2817</v>
      </c>
    </row>
    <row r="762" spans="2:8" x14ac:dyDescent="0.3">
      <c r="B762" s="65">
        <v>45989</v>
      </c>
      <c r="C762" s="71">
        <v>45962</v>
      </c>
      <c r="D762" s="56" t="s">
        <v>2811</v>
      </c>
      <c r="E762" s="73" t="s">
        <v>1828</v>
      </c>
      <c r="F762" s="63" t="s">
        <v>6</v>
      </c>
      <c r="G762" s="56" t="s">
        <v>2818</v>
      </c>
      <c r="H762" s="56" t="s">
        <v>2819</v>
      </c>
    </row>
    <row r="763" spans="2:8" x14ac:dyDescent="0.3">
      <c r="B763" s="65">
        <v>45992</v>
      </c>
      <c r="C763" s="71">
        <v>45992</v>
      </c>
      <c r="D763" s="56" t="s">
        <v>2811</v>
      </c>
      <c r="E763" s="73" t="s">
        <v>1828</v>
      </c>
      <c r="F763" s="63" t="s">
        <v>6</v>
      </c>
      <c r="G763" s="56" t="s">
        <v>2870</v>
      </c>
      <c r="H763" s="56" t="s">
        <v>2870</v>
      </c>
    </row>
    <row r="764" spans="2:8" x14ac:dyDescent="0.3">
      <c r="B764" s="65">
        <v>45992</v>
      </c>
      <c r="C764" s="71">
        <v>45992</v>
      </c>
      <c r="D764" s="56" t="s">
        <v>2811</v>
      </c>
      <c r="E764" s="73" t="s">
        <v>1828</v>
      </c>
      <c r="F764" s="63" t="s">
        <v>6</v>
      </c>
      <c r="G764" s="56" t="s">
        <v>2814</v>
      </c>
      <c r="H764" s="56" t="s">
        <v>2815</v>
      </c>
    </row>
    <row r="765" spans="2:8" x14ac:dyDescent="0.3">
      <c r="B765" s="65">
        <v>45992</v>
      </c>
      <c r="C765" s="71">
        <v>45992</v>
      </c>
      <c r="D765" s="56" t="s">
        <v>2811</v>
      </c>
      <c r="E765" s="73" t="s">
        <v>1828</v>
      </c>
      <c r="F765" s="63" t="s">
        <v>6</v>
      </c>
      <c r="G765" s="56" t="s">
        <v>2816</v>
      </c>
      <c r="H765" s="56" t="s">
        <v>2817</v>
      </c>
    </row>
    <row r="766" spans="2:8" x14ac:dyDescent="0.3">
      <c r="B766" s="65">
        <v>45992</v>
      </c>
      <c r="C766" s="71">
        <v>45992</v>
      </c>
      <c r="D766" s="56" t="s">
        <v>2811</v>
      </c>
      <c r="E766" s="73" t="s">
        <v>1828</v>
      </c>
      <c r="F766" s="63" t="s">
        <v>6</v>
      </c>
      <c r="G766" s="56" t="s">
        <v>2818</v>
      </c>
      <c r="H766" s="56" t="s">
        <v>2819</v>
      </c>
    </row>
    <row r="767" spans="2:8" ht="31.5" x14ac:dyDescent="0.3">
      <c r="B767" s="105">
        <v>45992</v>
      </c>
      <c r="C767" s="166">
        <v>45992</v>
      </c>
      <c r="D767" s="106" t="s">
        <v>2811</v>
      </c>
      <c r="E767" s="73" t="s">
        <v>1828</v>
      </c>
      <c r="F767" s="137" t="s">
        <v>325</v>
      </c>
      <c r="G767" s="104" t="s">
        <v>2924</v>
      </c>
      <c r="H767" s="104" t="s">
        <v>2925</v>
      </c>
    </row>
    <row r="768" spans="2:8" x14ac:dyDescent="0.3">
      <c r="B768" s="65">
        <v>45993</v>
      </c>
      <c r="C768" s="71">
        <v>45992</v>
      </c>
      <c r="D768" s="56" t="s">
        <v>2811</v>
      </c>
      <c r="E768" s="73" t="s">
        <v>1828</v>
      </c>
      <c r="F768" s="63" t="s">
        <v>6</v>
      </c>
      <c r="G768" s="56" t="s">
        <v>2870</v>
      </c>
      <c r="H768" s="56" t="s">
        <v>2870</v>
      </c>
    </row>
    <row r="769" spans="2:8" x14ac:dyDescent="0.3">
      <c r="B769" s="65">
        <v>45993</v>
      </c>
      <c r="C769" s="71">
        <v>45992</v>
      </c>
      <c r="D769" s="56" t="s">
        <v>2811</v>
      </c>
      <c r="E769" s="73" t="s">
        <v>1828</v>
      </c>
      <c r="F769" s="63" t="s">
        <v>6</v>
      </c>
      <c r="G769" s="56" t="s">
        <v>2814</v>
      </c>
      <c r="H769" s="56" t="s">
        <v>2815</v>
      </c>
    </row>
    <row r="770" spans="2:8" x14ac:dyDescent="0.3">
      <c r="B770" s="65">
        <v>45993</v>
      </c>
      <c r="C770" s="71">
        <v>45992</v>
      </c>
      <c r="D770" s="56" t="s">
        <v>2811</v>
      </c>
      <c r="E770" s="73" t="s">
        <v>1828</v>
      </c>
      <c r="F770" s="63" t="s">
        <v>6</v>
      </c>
      <c r="G770" s="56" t="s">
        <v>2816</v>
      </c>
      <c r="H770" s="56" t="s">
        <v>2817</v>
      </c>
    </row>
    <row r="771" spans="2:8" x14ac:dyDescent="0.3">
      <c r="B771" s="65">
        <v>45993</v>
      </c>
      <c r="C771" s="71">
        <v>45992</v>
      </c>
      <c r="D771" s="56" t="s">
        <v>2811</v>
      </c>
      <c r="E771" s="73" t="s">
        <v>1828</v>
      </c>
      <c r="F771" s="63" t="s">
        <v>6</v>
      </c>
      <c r="G771" s="56" t="s">
        <v>2818</v>
      </c>
      <c r="H771" s="56" t="s">
        <v>2819</v>
      </c>
    </row>
    <row r="772" spans="2:8" x14ac:dyDescent="0.3">
      <c r="B772" s="65">
        <v>45994</v>
      </c>
      <c r="C772" s="71">
        <v>45992</v>
      </c>
      <c r="D772" s="56" t="s">
        <v>2811</v>
      </c>
      <c r="E772" s="73" t="s">
        <v>1828</v>
      </c>
      <c r="F772" s="63" t="s">
        <v>6</v>
      </c>
      <c r="G772" s="56" t="s">
        <v>2870</v>
      </c>
      <c r="H772" s="56" t="s">
        <v>2870</v>
      </c>
    </row>
    <row r="773" spans="2:8" x14ac:dyDescent="0.3">
      <c r="B773" s="65">
        <v>45994</v>
      </c>
      <c r="C773" s="71">
        <v>45992</v>
      </c>
      <c r="D773" s="56" t="s">
        <v>2811</v>
      </c>
      <c r="E773" s="73" t="s">
        <v>1828</v>
      </c>
      <c r="F773" s="63" t="s">
        <v>6</v>
      </c>
      <c r="G773" s="56" t="s">
        <v>2814</v>
      </c>
      <c r="H773" s="56" t="s">
        <v>2815</v>
      </c>
    </row>
    <row r="774" spans="2:8" x14ac:dyDescent="0.3">
      <c r="B774" s="65">
        <v>45994</v>
      </c>
      <c r="C774" s="71">
        <v>45992</v>
      </c>
      <c r="D774" s="56" t="s">
        <v>2811</v>
      </c>
      <c r="E774" s="73" t="s">
        <v>1828</v>
      </c>
      <c r="F774" s="63" t="s">
        <v>6</v>
      </c>
      <c r="G774" s="56" t="s">
        <v>2816</v>
      </c>
      <c r="H774" s="56" t="s">
        <v>2817</v>
      </c>
    </row>
    <row r="775" spans="2:8" x14ac:dyDescent="0.3">
      <c r="B775" s="65">
        <v>45994</v>
      </c>
      <c r="C775" s="71">
        <v>45992</v>
      </c>
      <c r="D775" s="56" t="s">
        <v>2811</v>
      </c>
      <c r="E775" s="73" t="s">
        <v>1828</v>
      </c>
      <c r="F775" s="63" t="s">
        <v>6</v>
      </c>
      <c r="G775" s="56" t="s">
        <v>2818</v>
      </c>
      <c r="H775" s="56" t="s">
        <v>2819</v>
      </c>
    </row>
    <row r="776" spans="2:8" ht="31.5" x14ac:dyDescent="0.3">
      <c r="B776" s="105">
        <v>45994</v>
      </c>
      <c r="C776" s="166">
        <v>45992</v>
      </c>
      <c r="D776" s="73" t="s">
        <v>2811</v>
      </c>
      <c r="E776" s="73" t="s">
        <v>1828</v>
      </c>
      <c r="F776" s="137" t="s">
        <v>325</v>
      </c>
      <c r="G776" s="104" t="s">
        <v>2926</v>
      </c>
      <c r="H776" s="104" t="s">
        <v>2927</v>
      </c>
    </row>
    <row r="777" spans="2:8" x14ac:dyDescent="0.3">
      <c r="B777" s="65">
        <v>45995</v>
      </c>
      <c r="C777" s="71">
        <v>45992</v>
      </c>
      <c r="D777" s="56" t="s">
        <v>2811</v>
      </c>
      <c r="E777" s="73" t="s">
        <v>1828</v>
      </c>
      <c r="F777" s="63" t="s">
        <v>6</v>
      </c>
      <c r="G777" s="56" t="s">
        <v>2870</v>
      </c>
      <c r="H777" s="56" t="s">
        <v>2870</v>
      </c>
    </row>
    <row r="778" spans="2:8" x14ac:dyDescent="0.3">
      <c r="B778" s="65">
        <v>45995</v>
      </c>
      <c r="C778" s="71">
        <v>45992</v>
      </c>
      <c r="D778" s="56" t="s">
        <v>2811</v>
      </c>
      <c r="E778" s="73" t="s">
        <v>1828</v>
      </c>
      <c r="F778" s="63" t="s">
        <v>6</v>
      </c>
      <c r="G778" s="56" t="s">
        <v>2814</v>
      </c>
      <c r="H778" s="56" t="s">
        <v>2815</v>
      </c>
    </row>
    <row r="779" spans="2:8" x14ac:dyDescent="0.3">
      <c r="B779" s="65">
        <v>45995</v>
      </c>
      <c r="C779" s="71">
        <v>45992</v>
      </c>
      <c r="D779" s="56" t="s">
        <v>2811</v>
      </c>
      <c r="E779" s="73" t="s">
        <v>1828</v>
      </c>
      <c r="F779" s="63" t="s">
        <v>6</v>
      </c>
      <c r="G779" s="56" t="s">
        <v>2816</v>
      </c>
      <c r="H779" s="56" t="s">
        <v>2817</v>
      </c>
    </row>
    <row r="780" spans="2:8" x14ac:dyDescent="0.3">
      <c r="B780" s="65">
        <v>45995</v>
      </c>
      <c r="C780" s="71">
        <v>45992</v>
      </c>
      <c r="D780" s="56" t="s">
        <v>2811</v>
      </c>
      <c r="E780" s="73" t="s">
        <v>1828</v>
      </c>
      <c r="F780" s="63" t="s">
        <v>6</v>
      </c>
      <c r="G780" s="56" t="s">
        <v>2818</v>
      </c>
      <c r="H780" s="56" t="s">
        <v>2819</v>
      </c>
    </row>
    <row r="781" spans="2:8" x14ac:dyDescent="0.3">
      <c r="B781" s="65">
        <v>45996</v>
      </c>
      <c r="C781" s="71">
        <v>45992</v>
      </c>
      <c r="D781" s="56" t="s">
        <v>2811</v>
      </c>
      <c r="E781" s="73" t="s">
        <v>1828</v>
      </c>
      <c r="F781" s="63" t="s">
        <v>6</v>
      </c>
      <c r="G781" s="56" t="s">
        <v>2870</v>
      </c>
      <c r="H781" s="56" t="s">
        <v>2870</v>
      </c>
    </row>
    <row r="782" spans="2:8" x14ac:dyDescent="0.3">
      <c r="B782" s="65">
        <v>45996</v>
      </c>
      <c r="C782" s="71">
        <v>45992</v>
      </c>
      <c r="D782" s="56" t="s">
        <v>2811</v>
      </c>
      <c r="E782" s="73" t="s">
        <v>1828</v>
      </c>
      <c r="F782" s="63" t="s">
        <v>6</v>
      </c>
      <c r="G782" s="56" t="s">
        <v>2814</v>
      </c>
      <c r="H782" s="56" t="s">
        <v>2815</v>
      </c>
    </row>
    <row r="783" spans="2:8" x14ac:dyDescent="0.3">
      <c r="B783" s="65">
        <v>45996</v>
      </c>
      <c r="C783" s="71">
        <v>45992</v>
      </c>
      <c r="D783" s="56" t="s">
        <v>2811</v>
      </c>
      <c r="E783" s="73" t="s">
        <v>1828</v>
      </c>
      <c r="F783" s="63" t="s">
        <v>6</v>
      </c>
      <c r="G783" s="56" t="s">
        <v>2816</v>
      </c>
      <c r="H783" s="56" t="s">
        <v>2817</v>
      </c>
    </row>
    <row r="784" spans="2:8" x14ac:dyDescent="0.3">
      <c r="B784" s="65">
        <v>45996</v>
      </c>
      <c r="C784" s="71">
        <v>45992</v>
      </c>
      <c r="D784" s="56" t="s">
        <v>2811</v>
      </c>
      <c r="E784" s="73" t="s">
        <v>1828</v>
      </c>
      <c r="F784" s="63" t="s">
        <v>6</v>
      </c>
      <c r="G784" s="56" t="s">
        <v>2818</v>
      </c>
      <c r="H784" s="56" t="s">
        <v>2819</v>
      </c>
    </row>
    <row r="785" spans="2:8" x14ac:dyDescent="0.3">
      <c r="B785" s="65">
        <v>46000</v>
      </c>
      <c r="C785" s="71">
        <v>45992</v>
      </c>
      <c r="D785" s="56" t="s">
        <v>2811</v>
      </c>
      <c r="E785" s="73" t="s">
        <v>1828</v>
      </c>
      <c r="F785" s="63" t="s">
        <v>6</v>
      </c>
      <c r="G785" s="56" t="s">
        <v>2870</v>
      </c>
      <c r="H785" s="56" t="s">
        <v>2870</v>
      </c>
    </row>
    <row r="786" spans="2:8" x14ac:dyDescent="0.3">
      <c r="B786" s="65">
        <v>46000</v>
      </c>
      <c r="C786" s="71">
        <v>45992</v>
      </c>
      <c r="D786" s="56" t="s">
        <v>2811</v>
      </c>
      <c r="E786" s="73" t="s">
        <v>1828</v>
      </c>
      <c r="F786" s="63" t="s">
        <v>6</v>
      </c>
      <c r="G786" s="56" t="s">
        <v>2814</v>
      </c>
      <c r="H786" s="56" t="s">
        <v>2815</v>
      </c>
    </row>
    <row r="787" spans="2:8" x14ac:dyDescent="0.3">
      <c r="B787" s="65">
        <v>46000</v>
      </c>
      <c r="C787" s="71">
        <v>45992</v>
      </c>
      <c r="D787" s="56" t="s">
        <v>2811</v>
      </c>
      <c r="E787" s="73" t="s">
        <v>1828</v>
      </c>
      <c r="F787" s="63" t="s">
        <v>6</v>
      </c>
      <c r="G787" s="56" t="s">
        <v>2816</v>
      </c>
      <c r="H787" s="56" t="s">
        <v>2817</v>
      </c>
    </row>
    <row r="788" spans="2:8" x14ac:dyDescent="0.3">
      <c r="B788" s="65">
        <v>46000</v>
      </c>
      <c r="C788" s="71">
        <v>45992</v>
      </c>
      <c r="D788" s="56" t="s">
        <v>2811</v>
      </c>
      <c r="E788" s="73" t="s">
        <v>1828</v>
      </c>
      <c r="F788" s="63" t="s">
        <v>6</v>
      </c>
      <c r="G788" s="56" t="s">
        <v>2818</v>
      </c>
      <c r="H788" s="56" t="s">
        <v>2819</v>
      </c>
    </row>
    <row r="789" spans="2:8" x14ac:dyDescent="0.3">
      <c r="B789" s="65">
        <v>46001</v>
      </c>
      <c r="C789" s="71">
        <v>45992</v>
      </c>
      <c r="D789" s="56" t="s">
        <v>2811</v>
      </c>
      <c r="E789" s="73" t="s">
        <v>1828</v>
      </c>
      <c r="F789" s="63" t="s">
        <v>6</v>
      </c>
      <c r="G789" s="56" t="s">
        <v>2870</v>
      </c>
      <c r="H789" s="56" t="s">
        <v>2870</v>
      </c>
    </row>
    <row r="790" spans="2:8" x14ac:dyDescent="0.3">
      <c r="B790" s="65">
        <v>46001</v>
      </c>
      <c r="C790" s="71">
        <v>45992</v>
      </c>
      <c r="D790" s="56" t="s">
        <v>2811</v>
      </c>
      <c r="E790" s="73" t="s">
        <v>1828</v>
      </c>
      <c r="F790" s="63" t="s">
        <v>6</v>
      </c>
      <c r="G790" s="56" t="s">
        <v>2814</v>
      </c>
      <c r="H790" s="56" t="s">
        <v>2815</v>
      </c>
    </row>
    <row r="791" spans="2:8" x14ac:dyDescent="0.3">
      <c r="B791" s="65">
        <v>46001</v>
      </c>
      <c r="C791" s="71">
        <v>45992</v>
      </c>
      <c r="D791" s="56" t="s">
        <v>2811</v>
      </c>
      <c r="E791" s="73" t="s">
        <v>1828</v>
      </c>
      <c r="F791" s="63" t="s">
        <v>6</v>
      </c>
      <c r="G791" s="56" t="s">
        <v>2816</v>
      </c>
      <c r="H791" s="56" t="s">
        <v>2817</v>
      </c>
    </row>
    <row r="792" spans="2:8" x14ac:dyDescent="0.3">
      <c r="B792" s="65">
        <v>46001</v>
      </c>
      <c r="C792" s="71">
        <v>45992</v>
      </c>
      <c r="D792" s="56" t="s">
        <v>2811</v>
      </c>
      <c r="E792" s="73" t="s">
        <v>1828</v>
      </c>
      <c r="F792" s="63" t="s">
        <v>6</v>
      </c>
      <c r="G792" s="56" t="s">
        <v>2818</v>
      </c>
      <c r="H792" s="56" t="s">
        <v>2819</v>
      </c>
    </row>
    <row r="793" spans="2:8" x14ac:dyDescent="0.3">
      <c r="B793" s="65">
        <v>46002</v>
      </c>
      <c r="C793" s="71">
        <v>45992</v>
      </c>
      <c r="D793" s="70" t="s">
        <v>2928</v>
      </c>
      <c r="E793" s="73" t="s">
        <v>1828</v>
      </c>
      <c r="F793" s="63" t="s">
        <v>6</v>
      </c>
      <c r="G793" s="56" t="s">
        <v>2870</v>
      </c>
      <c r="H793" s="56" t="s">
        <v>2870</v>
      </c>
    </row>
    <row r="794" spans="2:8" x14ac:dyDescent="0.3">
      <c r="B794" s="65">
        <v>46002</v>
      </c>
      <c r="C794" s="71">
        <v>45992</v>
      </c>
      <c r="D794" s="70" t="s">
        <v>2928</v>
      </c>
      <c r="E794" s="73" t="s">
        <v>1828</v>
      </c>
      <c r="F794" s="63" t="s">
        <v>6</v>
      </c>
      <c r="G794" s="56" t="s">
        <v>2814</v>
      </c>
      <c r="H794" s="56" t="s">
        <v>2815</v>
      </c>
    </row>
    <row r="795" spans="2:8" x14ac:dyDescent="0.3">
      <c r="B795" s="65">
        <v>46002</v>
      </c>
      <c r="C795" s="71">
        <v>45992</v>
      </c>
      <c r="D795" s="70" t="s">
        <v>2928</v>
      </c>
      <c r="E795" s="73" t="s">
        <v>1828</v>
      </c>
      <c r="F795" s="63" t="s">
        <v>6</v>
      </c>
      <c r="G795" s="56" t="s">
        <v>2816</v>
      </c>
      <c r="H795" s="56" t="s">
        <v>2817</v>
      </c>
    </row>
    <row r="796" spans="2:8" x14ac:dyDescent="0.3">
      <c r="B796" s="65">
        <v>46002</v>
      </c>
      <c r="C796" s="71">
        <v>45992</v>
      </c>
      <c r="D796" s="70" t="s">
        <v>2928</v>
      </c>
      <c r="E796" s="73" t="s">
        <v>1828</v>
      </c>
      <c r="F796" s="63" t="s">
        <v>6</v>
      </c>
      <c r="G796" s="56" t="s">
        <v>2818</v>
      </c>
      <c r="H796" s="56" t="s">
        <v>2819</v>
      </c>
    </row>
    <row r="797" spans="2:8" x14ac:dyDescent="0.3">
      <c r="B797" s="65">
        <v>46003</v>
      </c>
      <c r="C797" s="71">
        <v>45992</v>
      </c>
      <c r="D797" s="70" t="s">
        <v>2928</v>
      </c>
      <c r="E797" s="73" t="s">
        <v>1828</v>
      </c>
      <c r="F797" s="63" t="s">
        <v>6</v>
      </c>
      <c r="G797" s="56" t="s">
        <v>2870</v>
      </c>
      <c r="H797" s="56" t="s">
        <v>2870</v>
      </c>
    </row>
    <row r="798" spans="2:8" x14ac:dyDescent="0.3">
      <c r="B798" s="65">
        <v>46003</v>
      </c>
      <c r="C798" s="71">
        <v>45992</v>
      </c>
      <c r="D798" s="70" t="s">
        <v>2928</v>
      </c>
      <c r="E798" s="73" t="s">
        <v>1828</v>
      </c>
      <c r="F798" s="63" t="s">
        <v>6</v>
      </c>
      <c r="G798" s="56" t="s">
        <v>2814</v>
      </c>
      <c r="H798" s="56" t="s">
        <v>2815</v>
      </c>
    </row>
    <row r="799" spans="2:8" x14ac:dyDescent="0.3">
      <c r="B799" s="65">
        <v>46003</v>
      </c>
      <c r="C799" s="71">
        <v>45992</v>
      </c>
      <c r="D799" s="70" t="s">
        <v>2928</v>
      </c>
      <c r="E799" s="73" t="s">
        <v>1828</v>
      </c>
      <c r="F799" s="63" t="s">
        <v>6</v>
      </c>
      <c r="G799" s="56" t="s">
        <v>2816</v>
      </c>
      <c r="H799" s="56" t="s">
        <v>2817</v>
      </c>
    </row>
    <row r="800" spans="2:8" x14ac:dyDescent="0.3">
      <c r="B800" s="65">
        <v>46003</v>
      </c>
      <c r="C800" s="71">
        <v>45992</v>
      </c>
      <c r="D800" s="70" t="s">
        <v>2928</v>
      </c>
      <c r="E800" s="73" t="s">
        <v>1828</v>
      </c>
      <c r="F800" s="63" t="s">
        <v>6</v>
      </c>
      <c r="G800" s="56" t="s">
        <v>2818</v>
      </c>
      <c r="H800" s="56" t="s">
        <v>2819</v>
      </c>
    </row>
    <row r="801" spans="2:8" x14ac:dyDescent="0.3">
      <c r="B801" s="65">
        <v>46006</v>
      </c>
      <c r="C801" s="71">
        <v>45992</v>
      </c>
      <c r="D801" s="70" t="s">
        <v>2928</v>
      </c>
      <c r="E801" s="73" t="s">
        <v>1828</v>
      </c>
      <c r="F801" s="63" t="s">
        <v>6</v>
      </c>
      <c r="G801" s="56" t="s">
        <v>2870</v>
      </c>
      <c r="H801" s="56" t="s">
        <v>2870</v>
      </c>
    </row>
    <row r="802" spans="2:8" x14ac:dyDescent="0.3">
      <c r="B802" s="65">
        <v>46006</v>
      </c>
      <c r="C802" s="71">
        <v>45992</v>
      </c>
      <c r="D802" s="70" t="s">
        <v>2928</v>
      </c>
      <c r="E802" s="73" t="s">
        <v>1828</v>
      </c>
      <c r="F802" s="63" t="s">
        <v>6</v>
      </c>
      <c r="G802" s="56" t="s">
        <v>2814</v>
      </c>
      <c r="H802" s="56" t="s">
        <v>2815</v>
      </c>
    </row>
    <row r="803" spans="2:8" x14ac:dyDescent="0.3">
      <c r="B803" s="65">
        <v>46006</v>
      </c>
      <c r="C803" s="71">
        <v>45992</v>
      </c>
      <c r="D803" s="70" t="s">
        <v>2928</v>
      </c>
      <c r="E803" s="73" t="s">
        <v>1828</v>
      </c>
      <c r="F803" s="63" t="s">
        <v>6</v>
      </c>
      <c r="G803" s="56" t="s">
        <v>2816</v>
      </c>
      <c r="H803" s="56" t="s">
        <v>2817</v>
      </c>
    </row>
    <row r="804" spans="2:8" x14ac:dyDescent="0.3">
      <c r="B804" s="65">
        <v>46006</v>
      </c>
      <c r="C804" s="71">
        <v>45992</v>
      </c>
      <c r="D804" s="70" t="s">
        <v>2928</v>
      </c>
      <c r="E804" s="73" t="s">
        <v>1828</v>
      </c>
      <c r="F804" s="63" t="s">
        <v>6</v>
      </c>
      <c r="G804" s="56" t="s">
        <v>2818</v>
      </c>
      <c r="H804" s="56" t="s">
        <v>2819</v>
      </c>
    </row>
    <row r="805" spans="2:8" x14ac:dyDescent="0.3">
      <c r="B805" s="65">
        <v>46007</v>
      </c>
      <c r="C805" s="71">
        <v>45992</v>
      </c>
      <c r="D805" s="70" t="s">
        <v>2928</v>
      </c>
      <c r="E805" s="73" t="s">
        <v>1828</v>
      </c>
      <c r="F805" s="63" t="s">
        <v>6</v>
      </c>
      <c r="G805" s="56" t="s">
        <v>2870</v>
      </c>
      <c r="H805" s="56" t="s">
        <v>2870</v>
      </c>
    </row>
    <row r="806" spans="2:8" x14ac:dyDescent="0.3">
      <c r="B806" s="65">
        <v>46007</v>
      </c>
      <c r="C806" s="71">
        <v>45992</v>
      </c>
      <c r="D806" s="70" t="s">
        <v>2928</v>
      </c>
      <c r="E806" s="73" t="s">
        <v>1828</v>
      </c>
      <c r="F806" s="63" t="s">
        <v>6</v>
      </c>
      <c r="G806" s="56" t="s">
        <v>2814</v>
      </c>
      <c r="H806" s="56" t="s">
        <v>2815</v>
      </c>
    </row>
    <row r="807" spans="2:8" x14ac:dyDescent="0.3">
      <c r="B807" s="65">
        <v>46007</v>
      </c>
      <c r="C807" s="71">
        <v>45992</v>
      </c>
      <c r="D807" s="70" t="s">
        <v>2928</v>
      </c>
      <c r="E807" s="73" t="s">
        <v>1828</v>
      </c>
      <c r="F807" s="63" t="s">
        <v>6</v>
      </c>
      <c r="G807" s="56" t="s">
        <v>2816</v>
      </c>
      <c r="H807" s="56" t="s">
        <v>2817</v>
      </c>
    </row>
    <row r="808" spans="2:8" x14ac:dyDescent="0.3">
      <c r="B808" s="65">
        <v>46007</v>
      </c>
      <c r="C808" s="71">
        <v>45992</v>
      </c>
      <c r="D808" s="70" t="s">
        <v>2928</v>
      </c>
      <c r="E808" s="73" t="s">
        <v>1828</v>
      </c>
      <c r="F808" s="63" t="s">
        <v>6</v>
      </c>
      <c r="G808" s="56" t="s">
        <v>2818</v>
      </c>
      <c r="H808" s="56" t="s">
        <v>2819</v>
      </c>
    </row>
    <row r="809" spans="2:8" x14ac:dyDescent="0.3">
      <c r="B809" s="65">
        <v>46008</v>
      </c>
      <c r="C809" s="71">
        <v>45992</v>
      </c>
      <c r="D809" s="70" t="s">
        <v>2928</v>
      </c>
      <c r="E809" s="73" t="s">
        <v>1828</v>
      </c>
      <c r="F809" s="63" t="s">
        <v>6</v>
      </c>
      <c r="G809" s="56" t="s">
        <v>2870</v>
      </c>
      <c r="H809" s="56" t="s">
        <v>2870</v>
      </c>
    </row>
    <row r="810" spans="2:8" x14ac:dyDescent="0.3">
      <c r="B810" s="65">
        <v>46008</v>
      </c>
      <c r="C810" s="71">
        <v>45992</v>
      </c>
      <c r="D810" s="70" t="s">
        <v>2928</v>
      </c>
      <c r="E810" s="73" t="s">
        <v>1828</v>
      </c>
      <c r="F810" s="63" t="s">
        <v>6</v>
      </c>
      <c r="G810" s="56" t="s">
        <v>2814</v>
      </c>
      <c r="H810" s="56" t="s">
        <v>2815</v>
      </c>
    </row>
    <row r="811" spans="2:8" x14ac:dyDescent="0.3">
      <c r="B811" s="65">
        <v>46008</v>
      </c>
      <c r="C811" s="71">
        <v>45992</v>
      </c>
      <c r="D811" s="70" t="s">
        <v>2928</v>
      </c>
      <c r="E811" s="73" t="s">
        <v>1828</v>
      </c>
      <c r="F811" s="63" t="s">
        <v>6</v>
      </c>
      <c r="G811" s="56" t="s">
        <v>2816</v>
      </c>
      <c r="H811" s="56" t="s">
        <v>2817</v>
      </c>
    </row>
    <row r="812" spans="2:8" x14ac:dyDescent="0.3">
      <c r="B812" s="65">
        <v>46008</v>
      </c>
      <c r="C812" s="71">
        <v>45992</v>
      </c>
      <c r="D812" s="70" t="s">
        <v>2928</v>
      </c>
      <c r="E812" s="73" t="s">
        <v>1828</v>
      </c>
      <c r="F812" s="63" t="s">
        <v>6</v>
      </c>
      <c r="G812" s="56" t="s">
        <v>2818</v>
      </c>
      <c r="H812" s="56" t="s">
        <v>2819</v>
      </c>
    </row>
    <row r="813" spans="2:8" x14ac:dyDescent="0.3">
      <c r="B813" s="65">
        <v>46009</v>
      </c>
      <c r="C813" s="71">
        <v>45992</v>
      </c>
      <c r="D813" s="70" t="s">
        <v>2928</v>
      </c>
      <c r="E813" s="73" t="s">
        <v>1828</v>
      </c>
      <c r="F813" s="63" t="s">
        <v>6</v>
      </c>
      <c r="G813" s="56" t="s">
        <v>2870</v>
      </c>
      <c r="H813" s="56" t="s">
        <v>2870</v>
      </c>
    </row>
    <row r="814" spans="2:8" x14ac:dyDescent="0.3">
      <c r="B814" s="65">
        <v>46009</v>
      </c>
      <c r="C814" s="71">
        <v>45992</v>
      </c>
      <c r="D814" s="70" t="s">
        <v>2928</v>
      </c>
      <c r="E814" s="73" t="s">
        <v>1828</v>
      </c>
      <c r="F814" s="63" t="s">
        <v>6</v>
      </c>
      <c r="G814" s="56" t="s">
        <v>2814</v>
      </c>
      <c r="H814" s="56" t="s">
        <v>2815</v>
      </c>
    </row>
    <row r="815" spans="2:8" x14ac:dyDescent="0.3">
      <c r="B815" s="65">
        <v>46009</v>
      </c>
      <c r="C815" s="71">
        <v>45992</v>
      </c>
      <c r="D815" s="70" t="s">
        <v>2928</v>
      </c>
      <c r="E815" s="73" t="s">
        <v>1828</v>
      </c>
      <c r="F815" s="63" t="s">
        <v>6</v>
      </c>
      <c r="G815" s="56" t="s">
        <v>2816</v>
      </c>
      <c r="H815" s="56" t="s">
        <v>2817</v>
      </c>
    </row>
    <row r="816" spans="2:8" x14ac:dyDescent="0.3">
      <c r="B816" s="65">
        <v>46009</v>
      </c>
      <c r="C816" s="71">
        <v>45992</v>
      </c>
      <c r="D816" s="70" t="s">
        <v>2928</v>
      </c>
      <c r="E816" s="73" t="s">
        <v>1828</v>
      </c>
      <c r="F816" s="63" t="s">
        <v>6</v>
      </c>
      <c r="G816" s="56" t="s">
        <v>2818</v>
      </c>
      <c r="H816" s="56" t="s">
        <v>2819</v>
      </c>
    </row>
    <row r="817" spans="2:8" x14ac:dyDescent="0.3">
      <c r="B817" s="65">
        <v>46010</v>
      </c>
      <c r="C817" s="71">
        <v>45992</v>
      </c>
      <c r="D817" s="70" t="s">
        <v>2928</v>
      </c>
      <c r="E817" s="73" t="s">
        <v>1828</v>
      </c>
      <c r="F817" s="63" t="s">
        <v>6</v>
      </c>
      <c r="G817" s="56" t="s">
        <v>2870</v>
      </c>
      <c r="H817" s="56" t="s">
        <v>2870</v>
      </c>
    </row>
    <row r="818" spans="2:8" x14ac:dyDescent="0.3">
      <c r="B818" s="65">
        <v>46010</v>
      </c>
      <c r="C818" s="71">
        <v>45992</v>
      </c>
      <c r="D818" s="70" t="s">
        <v>2928</v>
      </c>
      <c r="E818" s="73" t="s">
        <v>1828</v>
      </c>
      <c r="F818" s="63" t="s">
        <v>6</v>
      </c>
      <c r="G818" s="56" t="s">
        <v>2814</v>
      </c>
      <c r="H818" s="56" t="s">
        <v>2815</v>
      </c>
    </row>
    <row r="819" spans="2:8" x14ac:dyDescent="0.3">
      <c r="B819" s="65">
        <v>46010</v>
      </c>
      <c r="C819" s="71">
        <v>45992</v>
      </c>
      <c r="D819" s="70" t="s">
        <v>2928</v>
      </c>
      <c r="E819" s="73" t="s">
        <v>1828</v>
      </c>
      <c r="F819" s="63" t="s">
        <v>6</v>
      </c>
      <c r="G819" s="56" t="s">
        <v>2816</v>
      </c>
      <c r="H819" s="56" t="s">
        <v>2817</v>
      </c>
    </row>
    <row r="820" spans="2:8" x14ac:dyDescent="0.3">
      <c r="B820" s="65">
        <v>46010</v>
      </c>
      <c r="C820" s="71">
        <v>45992</v>
      </c>
      <c r="D820" s="70" t="s">
        <v>2928</v>
      </c>
      <c r="E820" s="73" t="s">
        <v>1828</v>
      </c>
      <c r="F820" s="63" t="s">
        <v>6</v>
      </c>
      <c r="G820" s="56" t="s">
        <v>2818</v>
      </c>
      <c r="H820" s="56" t="s">
        <v>2819</v>
      </c>
    </row>
    <row r="821" spans="2:8" x14ac:dyDescent="0.3">
      <c r="B821" s="65">
        <v>46013</v>
      </c>
      <c r="C821" s="71">
        <v>45992</v>
      </c>
      <c r="D821" s="70" t="s">
        <v>2928</v>
      </c>
      <c r="E821" s="73" t="s">
        <v>1828</v>
      </c>
      <c r="F821" s="63" t="s">
        <v>6</v>
      </c>
      <c r="G821" s="56" t="s">
        <v>2870</v>
      </c>
      <c r="H821" s="56" t="s">
        <v>2870</v>
      </c>
    </row>
    <row r="822" spans="2:8" x14ac:dyDescent="0.3">
      <c r="B822" s="65">
        <v>46013</v>
      </c>
      <c r="C822" s="71">
        <v>45992</v>
      </c>
      <c r="D822" s="70" t="s">
        <v>2928</v>
      </c>
      <c r="E822" s="73" t="s">
        <v>1828</v>
      </c>
      <c r="F822" s="63" t="s">
        <v>6</v>
      </c>
      <c r="G822" s="56" t="s">
        <v>2814</v>
      </c>
      <c r="H822" s="56" t="s">
        <v>2815</v>
      </c>
    </row>
    <row r="823" spans="2:8" x14ac:dyDescent="0.3">
      <c r="B823" s="65">
        <v>46013</v>
      </c>
      <c r="C823" s="71">
        <v>45992</v>
      </c>
      <c r="D823" s="70" t="s">
        <v>2928</v>
      </c>
      <c r="E823" s="73" t="s">
        <v>1828</v>
      </c>
      <c r="F823" s="63" t="s">
        <v>6</v>
      </c>
      <c r="G823" s="56" t="s">
        <v>2816</v>
      </c>
      <c r="H823" s="56" t="s">
        <v>2817</v>
      </c>
    </row>
    <row r="824" spans="2:8" x14ac:dyDescent="0.3">
      <c r="B824" s="65">
        <v>46013</v>
      </c>
      <c r="C824" s="71">
        <v>45992</v>
      </c>
      <c r="D824" s="70" t="s">
        <v>2928</v>
      </c>
      <c r="E824" s="73" t="s">
        <v>1828</v>
      </c>
      <c r="F824" s="63" t="s">
        <v>6</v>
      </c>
      <c r="G824" s="56" t="s">
        <v>2818</v>
      </c>
      <c r="H824" s="56" t="s">
        <v>2819</v>
      </c>
    </row>
    <row r="825" spans="2:8" x14ac:dyDescent="0.3">
      <c r="B825" s="65">
        <v>46013</v>
      </c>
      <c r="C825" s="71">
        <v>45992</v>
      </c>
      <c r="D825" s="70" t="s">
        <v>2928</v>
      </c>
      <c r="E825" s="73" t="s">
        <v>1828</v>
      </c>
      <c r="F825" s="137" t="s">
        <v>325</v>
      </c>
      <c r="G825" s="56" t="s">
        <v>2929</v>
      </c>
      <c r="H825" s="56" t="s">
        <v>2930</v>
      </c>
    </row>
    <row r="826" spans="2:8" x14ac:dyDescent="0.3">
      <c r="B826" s="65">
        <v>46014</v>
      </c>
      <c r="C826" s="71">
        <v>45992</v>
      </c>
      <c r="D826" s="70" t="s">
        <v>2928</v>
      </c>
      <c r="E826" s="73" t="s">
        <v>1828</v>
      </c>
      <c r="F826" s="63" t="s">
        <v>6</v>
      </c>
      <c r="G826" s="56" t="s">
        <v>2870</v>
      </c>
      <c r="H826" s="56" t="s">
        <v>2870</v>
      </c>
    </row>
    <row r="827" spans="2:8" x14ac:dyDescent="0.3">
      <c r="B827" s="65">
        <v>46014</v>
      </c>
      <c r="C827" s="71">
        <v>45992</v>
      </c>
      <c r="D827" s="70" t="s">
        <v>2928</v>
      </c>
      <c r="E827" s="73" t="s">
        <v>1828</v>
      </c>
      <c r="F827" s="63" t="s">
        <v>6</v>
      </c>
      <c r="G827" s="56" t="s">
        <v>2814</v>
      </c>
      <c r="H827" s="56" t="s">
        <v>2815</v>
      </c>
    </row>
    <row r="828" spans="2:8" x14ac:dyDescent="0.3">
      <c r="B828" s="65">
        <v>46014</v>
      </c>
      <c r="C828" s="71">
        <v>45992</v>
      </c>
      <c r="D828" s="70" t="s">
        <v>2928</v>
      </c>
      <c r="E828" s="73" t="s">
        <v>1828</v>
      </c>
      <c r="F828" s="63" t="s">
        <v>6</v>
      </c>
      <c r="G828" s="56" t="s">
        <v>2816</v>
      </c>
      <c r="H828" s="56" t="s">
        <v>2817</v>
      </c>
    </row>
    <row r="829" spans="2:8" x14ac:dyDescent="0.3">
      <c r="B829" s="65">
        <v>46014</v>
      </c>
      <c r="C829" s="71">
        <v>45992</v>
      </c>
      <c r="D829" s="70" t="s">
        <v>2928</v>
      </c>
      <c r="E829" s="73" t="s">
        <v>1828</v>
      </c>
      <c r="F829" s="63" t="s">
        <v>6</v>
      </c>
      <c r="G829" s="56" t="s">
        <v>2818</v>
      </c>
      <c r="H829" s="56" t="s">
        <v>2819</v>
      </c>
    </row>
    <row r="830" spans="2:8" x14ac:dyDescent="0.3">
      <c r="B830" s="65">
        <v>46014</v>
      </c>
      <c r="C830" s="71">
        <v>45992</v>
      </c>
      <c r="D830" s="70" t="s">
        <v>2928</v>
      </c>
      <c r="E830" s="73" t="s">
        <v>1828</v>
      </c>
      <c r="F830" s="137" t="s">
        <v>325</v>
      </c>
      <c r="G830" s="56" t="s">
        <v>2931</v>
      </c>
      <c r="H830" s="56" t="s">
        <v>2932</v>
      </c>
    </row>
    <row r="831" spans="2:8" x14ac:dyDescent="0.3">
      <c r="B831" s="65">
        <v>46015</v>
      </c>
      <c r="C831" s="71">
        <v>45992</v>
      </c>
      <c r="D831" s="70" t="s">
        <v>2928</v>
      </c>
      <c r="E831" s="73" t="s">
        <v>1828</v>
      </c>
      <c r="F831" s="63" t="s">
        <v>6</v>
      </c>
      <c r="G831" s="56" t="s">
        <v>2870</v>
      </c>
      <c r="H831" s="56" t="s">
        <v>2870</v>
      </c>
    </row>
    <row r="832" spans="2:8" x14ac:dyDescent="0.3">
      <c r="B832" s="65">
        <v>46015</v>
      </c>
      <c r="C832" s="71">
        <v>45992</v>
      </c>
      <c r="D832" s="70" t="s">
        <v>2928</v>
      </c>
      <c r="E832" s="73" t="s">
        <v>1828</v>
      </c>
      <c r="F832" s="63" t="s">
        <v>6</v>
      </c>
      <c r="G832" s="56" t="s">
        <v>2814</v>
      </c>
      <c r="H832" s="56" t="s">
        <v>2815</v>
      </c>
    </row>
    <row r="833" spans="2:8" x14ac:dyDescent="0.3">
      <c r="B833" s="65">
        <v>46015</v>
      </c>
      <c r="C833" s="71">
        <v>45992</v>
      </c>
      <c r="D833" s="70" t="s">
        <v>2928</v>
      </c>
      <c r="E833" s="73" t="s">
        <v>1828</v>
      </c>
      <c r="F833" s="63" t="s">
        <v>6</v>
      </c>
      <c r="G833" s="56" t="s">
        <v>2816</v>
      </c>
      <c r="H833" s="56" t="s">
        <v>2817</v>
      </c>
    </row>
    <row r="834" spans="2:8" x14ac:dyDescent="0.3">
      <c r="B834" s="65">
        <v>46015</v>
      </c>
      <c r="C834" s="71">
        <v>45992</v>
      </c>
      <c r="D834" s="70" t="s">
        <v>2928</v>
      </c>
      <c r="E834" s="73" t="s">
        <v>1828</v>
      </c>
      <c r="F834" s="63" t="s">
        <v>6</v>
      </c>
      <c r="G834" s="56" t="s">
        <v>2818</v>
      </c>
      <c r="H834" s="56" t="s">
        <v>2819</v>
      </c>
    </row>
    <row r="835" spans="2:8" x14ac:dyDescent="0.3">
      <c r="B835" s="65">
        <v>46017</v>
      </c>
      <c r="C835" s="71">
        <v>45992</v>
      </c>
      <c r="D835" s="70" t="s">
        <v>2928</v>
      </c>
      <c r="E835" s="73" t="s">
        <v>1828</v>
      </c>
      <c r="F835" s="63" t="s">
        <v>6</v>
      </c>
      <c r="G835" s="56" t="s">
        <v>2870</v>
      </c>
      <c r="H835" s="56" t="s">
        <v>2870</v>
      </c>
    </row>
    <row r="836" spans="2:8" x14ac:dyDescent="0.3">
      <c r="B836" s="65">
        <v>46017</v>
      </c>
      <c r="C836" s="71">
        <v>45992</v>
      </c>
      <c r="D836" s="70" t="s">
        <v>2928</v>
      </c>
      <c r="E836" s="73" t="s">
        <v>1828</v>
      </c>
      <c r="F836" s="63" t="s">
        <v>6</v>
      </c>
      <c r="G836" s="56" t="s">
        <v>2814</v>
      </c>
      <c r="H836" s="56" t="s">
        <v>2815</v>
      </c>
    </row>
    <row r="837" spans="2:8" x14ac:dyDescent="0.3">
      <c r="B837" s="65">
        <v>46017</v>
      </c>
      <c r="C837" s="71">
        <v>45992</v>
      </c>
      <c r="D837" s="70" t="s">
        <v>2928</v>
      </c>
      <c r="E837" s="73" t="s">
        <v>1828</v>
      </c>
      <c r="F837" s="63" t="s">
        <v>6</v>
      </c>
      <c r="G837" s="56" t="s">
        <v>2816</v>
      </c>
      <c r="H837" s="56" t="s">
        <v>2817</v>
      </c>
    </row>
    <row r="838" spans="2:8" x14ac:dyDescent="0.3">
      <c r="B838" s="65">
        <v>46017</v>
      </c>
      <c r="C838" s="71">
        <v>45992</v>
      </c>
      <c r="D838" s="70" t="s">
        <v>2928</v>
      </c>
      <c r="E838" s="73" t="s">
        <v>1828</v>
      </c>
      <c r="F838" s="63" t="s">
        <v>6</v>
      </c>
      <c r="G838" s="56" t="s">
        <v>2818</v>
      </c>
      <c r="H838" s="56" t="s">
        <v>2819</v>
      </c>
    </row>
    <row r="839" spans="2:8" x14ac:dyDescent="0.3">
      <c r="B839" s="65">
        <v>46017</v>
      </c>
      <c r="C839" s="71">
        <v>45992</v>
      </c>
      <c r="D839" s="70" t="s">
        <v>2928</v>
      </c>
      <c r="E839" s="73" t="s">
        <v>1828</v>
      </c>
      <c r="F839" s="137" t="s">
        <v>325</v>
      </c>
      <c r="G839" s="56" t="s">
        <v>2933</v>
      </c>
      <c r="H839" s="56" t="s">
        <v>2934</v>
      </c>
    </row>
    <row r="840" spans="2:8" x14ac:dyDescent="0.3">
      <c r="B840" s="65">
        <v>46017</v>
      </c>
      <c r="C840" s="71">
        <v>45992</v>
      </c>
      <c r="D840" s="70" t="s">
        <v>2928</v>
      </c>
      <c r="E840" s="73" t="s">
        <v>1828</v>
      </c>
      <c r="F840" s="137" t="s">
        <v>325</v>
      </c>
      <c r="G840" s="56" t="s">
        <v>2935</v>
      </c>
      <c r="H840" s="56" t="s">
        <v>2936</v>
      </c>
    </row>
    <row r="841" spans="2:8" x14ac:dyDescent="0.3">
      <c r="B841" s="65">
        <v>46020</v>
      </c>
      <c r="C841" s="71">
        <v>45992</v>
      </c>
      <c r="D841" s="70" t="s">
        <v>2928</v>
      </c>
      <c r="E841" s="73" t="s">
        <v>1828</v>
      </c>
      <c r="F841" s="63" t="s">
        <v>6</v>
      </c>
      <c r="G841" s="56" t="s">
        <v>2870</v>
      </c>
      <c r="H841" s="56" t="s">
        <v>2870</v>
      </c>
    </row>
    <row r="842" spans="2:8" x14ac:dyDescent="0.3">
      <c r="B842" s="65">
        <v>46020</v>
      </c>
      <c r="C842" s="71">
        <v>45992</v>
      </c>
      <c r="D842" s="70" t="s">
        <v>2928</v>
      </c>
      <c r="E842" s="73" t="s">
        <v>1828</v>
      </c>
      <c r="F842" s="63" t="s">
        <v>6</v>
      </c>
      <c r="G842" s="56" t="s">
        <v>2814</v>
      </c>
      <c r="H842" s="56" t="s">
        <v>2815</v>
      </c>
    </row>
    <row r="843" spans="2:8" x14ac:dyDescent="0.3">
      <c r="B843" s="65">
        <v>46020</v>
      </c>
      <c r="C843" s="71">
        <v>45992</v>
      </c>
      <c r="D843" s="70" t="s">
        <v>2928</v>
      </c>
      <c r="E843" s="73" t="s">
        <v>1828</v>
      </c>
      <c r="F843" s="63" t="s">
        <v>6</v>
      </c>
      <c r="G843" s="56" t="s">
        <v>2816</v>
      </c>
      <c r="H843" s="56" t="s">
        <v>2817</v>
      </c>
    </row>
    <row r="844" spans="2:8" x14ac:dyDescent="0.3">
      <c r="B844" s="65">
        <v>46020</v>
      </c>
      <c r="C844" s="71">
        <v>45992</v>
      </c>
      <c r="D844" s="70" t="s">
        <v>2928</v>
      </c>
      <c r="E844" s="73" t="s">
        <v>1828</v>
      </c>
      <c r="F844" s="63" t="s">
        <v>6</v>
      </c>
      <c r="G844" s="56" t="s">
        <v>2818</v>
      </c>
      <c r="H844" s="56" t="s">
        <v>2819</v>
      </c>
    </row>
    <row r="845" spans="2:8" x14ac:dyDescent="0.3">
      <c r="B845" s="65">
        <v>46021</v>
      </c>
      <c r="C845" s="71">
        <v>45992</v>
      </c>
      <c r="D845" s="70" t="s">
        <v>2928</v>
      </c>
      <c r="E845" s="73" t="s">
        <v>1828</v>
      </c>
      <c r="F845" s="63" t="s">
        <v>6</v>
      </c>
      <c r="G845" s="56" t="s">
        <v>2870</v>
      </c>
      <c r="H845" s="56" t="s">
        <v>2870</v>
      </c>
    </row>
    <row r="846" spans="2:8" x14ac:dyDescent="0.3">
      <c r="B846" s="65">
        <v>46021</v>
      </c>
      <c r="C846" s="71">
        <v>45992</v>
      </c>
      <c r="D846" s="70" t="s">
        <v>2928</v>
      </c>
      <c r="E846" s="73" t="s">
        <v>1828</v>
      </c>
      <c r="F846" s="63" t="s">
        <v>6</v>
      </c>
      <c r="G846" s="56" t="s">
        <v>2814</v>
      </c>
      <c r="H846" s="56" t="s">
        <v>2815</v>
      </c>
    </row>
    <row r="847" spans="2:8" x14ac:dyDescent="0.3">
      <c r="B847" s="65">
        <v>46021</v>
      </c>
      <c r="C847" s="71">
        <v>45992</v>
      </c>
      <c r="D847" s="70" t="s">
        <v>2928</v>
      </c>
      <c r="E847" s="73" t="s">
        <v>1828</v>
      </c>
      <c r="F847" s="63" t="s">
        <v>6</v>
      </c>
      <c r="G847" s="56" t="s">
        <v>2816</v>
      </c>
      <c r="H847" s="56" t="s">
        <v>2817</v>
      </c>
    </row>
    <row r="848" spans="2:8" x14ac:dyDescent="0.3">
      <c r="B848" s="65">
        <v>46021</v>
      </c>
      <c r="C848" s="71">
        <v>45992</v>
      </c>
      <c r="D848" s="70" t="s">
        <v>2928</v>
      </c>
      <c r="E848" s="73" t="s">
        <v>1828</v>
      </c>
      <c r="F848" s="63" t="s">
        <v>6</v>
      </c>
      <c r="G848" s="56" t="s">
        <v>2818</v>
      </c>
      <c r="H848" s="56" t="s">
        <v>2819</v>
      </c>
    </row>
    <row r="849" spans="2:8" x14ac:dyDescent="0.3">
      <c r="B849" s="65">
        <v>46022</v>
      </c>
      <c r="C849" s="71">
        <v>45992</v>
      </c>
      <c r="D849" s="70" t="s">
        <v>2928</v>
      </c>
      <c r="E849" s="73" t="s">
        <v>1828</v>
      </c>
      <c r="F849" s="63" t="s">
        <v>6</v>
      </c>
      <c r="G849" s="56" t="s">
        <v>2870</v>
      </c>
      <c r="H849" s="56" t="s">
        <v>2870</v>
      </c>
    </row>
    <row r="850" spans="2:8" x14ac:dyDescent="0.3">
      <c r="B850" s="65">
        <v>46022</v>
      </c>
      <c r="C850" s="71">
        <v>45992</v>
      </c>
      <c r="D850" s="70" t="s">
        <v>2928</v>
      </c>
      <c r="E850" s="73" t="s">
        <v>1828</v>
      </c>
      <c r="F850" s="63" t="s">
        <v>6</v>
      </c>
      <c r="G850" s="56" t="s">
        <v>2814</v>
      </c>
      <c r="H850" s="56" t="s">
        <v>2815</v>
      </c>
    </row>
    <row r="851" spans="2:8" x14ac:dyDescent="0.3">
      <c r="B851" s="65">
        <v>46022</v>
      </c>
      <c r="C851" s="71">
        <v>45992</v>
      </c>
      <c r="D851" s="70" t="s">
        <v>2928</v>
      </c>
      <c r="E851" s="73" t="s">
        <v>1828</v>
      </c>
      <c r="F851" s="63" t="s">
        <v>6</v>
      </c>
      <c r="G851" s="56" t="s">
        <v>2816</v>
      </c>
      <c r="H851" s="56" t="s">
        <v>2817</v>
      </c>
    </row>
    <row r="852" spans="2:8" x14ac:dyDescent="0.3">
      <c r="B852" s="65">
        <v>46022</v>
      </c>
      <c r="C852" s="71">
        <v>45992</v>
      </c>
      <c r="D852" s="70" t="s">
        <v>2928</v>
      </c>
      <c r="E852" s="73" t="s">
        <v>1828</v>
      </c>
      <c r="F852" s="63" t="s">
        <v>6</v>
      </c>
      <c r="G852" s="56" t="s">
        <v>2818</v>
      </c>
      <c r="H852" s="56" t="s">
        <v>2819</v>
      </c>
    </row>
    <row r="853" spans="2:8" x14ac:dyDescent="0.3">
      <c r="B853" s="65">
        <v>46024</v>
      </c>
      <c r="C853" s="71">
        <v>46023</v>
      </c>
      <c r="D853" s="70" t="s">
        <v>2928</v>
      </c>
      <c r="E853" s="73" t="s">
        <v>1828</v>
      </c>
      <c r="F853" s="63" t="s">
        <v>6</v>
      </c>
      <c r="G853" s="56" t="s">
        <v>2870</v>
      </c>
      <c r="H853" s="56" t="s">
        <v>2870</v>
      </c>
    </row>
    <row r="854" spans="2:8" x14ac:dyDescent="0.3">
      <c r="B854" s="65">
        <v>46024</v>
      </c>
      <c r="C854" s="71">
        <v>46023</v>
      </c>
      <c r="D854" s="70" t="s">
        <v>2928</v>
      </c>
      <c r="E854" s="73" t="s">
        <v>1828</v>
      </c>
      <c r="F854" s="63" t="s">
        <v>6</v>
      </c>
      <c r="G854" s="56" t="s">
        <v>2814</v>
      </c>
      <c r="H854" s="56" t="s">
        <v>2815</v>
      </c>
    </row>
    <row r="855" spans="2:8" x14ac:dyDescent="0.3">
      <c r="B855" s="65">
        <v>46024</v>
      </c>
      <c r="C855" s="71">
        <v>46023</v>
      </c>
      <c r="D855" s="70" t="s">
        <v>2928</v>
      </c>
      <c r="E855" s="73" t="s">
        <v>1828</v>
      </c>
      <c r="F855" s="63" t="s">
        <v>6</v>
      </c>
      <c r="G855" s="56" t="s">
        <v>2816</v>
      </c>
      <c r="H855" s="56" t="s">
        <v>2817</v>
      </c>
    </row>
    <row r="856" spans="2:8" x14ac:dyDescent="0.3">
      <c r="B856" s="65">
        <v>46024</v>
      </c>
      <c r="C856" s="71">
        <v>46023</v>
      </c>
      <c r="D856" s="70" t="s">
        <v>2928</v>
      </c>
      <c r="E856" s="73" t="s">
        <v>1828</v>
      </c>
      <c r="F856" s="63" t="s">
        <v>6</v>
      </c>
      <c r="G856" s="56" t="s">
        <v>2818</v>
      </c>
      <c r="H856" s="56" t="s">
        <v>2819</v>
      </c>
    </row>
    <row r="857" spans="2:8" x14ac:dyDescent="0.3">
      <c r="B857" s="65">
        <v>46027</v>
      </c>
      <c r="C857" s="71">
        <v>46023</v>
      </c>
      <c r="D857" s="70" t="s">
        <v>2928</v>
      </c>
      <c r="E857" s="73" t="s">
        <v>1828</v>
      </c>
      <c r="F857" s="63" t="s">
        <v>6</v>
      </c>
      <c r="G857" s="56" t="s">
        <v>2870</v>
      </c>
      <c r="H857" s="56" t="s">
        <v>2870</v>
      </c>
    </row>
    <row r="858" spans="2:8" x14ac:dyDescent="0.3">
      <c r="B858" s="65">
        <v>46027</v>
      </c>
      <c r="C858" s="71">
        <v>46023</v>
      </c>
      <c r="D858" s="70" t="s">
        <v>2928</v>
      </c>
      <c r="E858" s="73" t="s">
        <v>1828</v>
      </c>
      <c r="F858" s="63" t="s">
        <v>6</v>
      </c>
      <c r="G858" s="56" t="s">
        <v>2814</v>
      </c>
      <c r="H858" s="56" t="s">
        <v>2815</v>
      </c>
    </row>
    <row r="859" spans="2:8" x14ac:dyDescent="0.3">
      <c r="B859" s="65">
        <v>46027</v>
      </c>
      <c r="C859" s="71">
        <v>46023</v>
      </c>
      <c r="D859" s="70" t="s">
        <v>2928</v>
      </c>
      <c r="E859" s="73" t="s">
        <v>1828</v>
      </c>
      <c r="F859" s="63" t="s">
        <v>6</v>
      </c>
      <c r="G859" s="56" t="s">
        <v>2816</v>
      </c>
      <c r="H859" s="56" t="s">
        <v>2817</v>
      </c>
    </row>
    <row r="860" spans="2:8" x14ac:dyDescent="0.3">
      <c r="B860" s="65">
        <v>46027</v>
      </c>
      <c r="C860" s="71">
        <v>46023</v>
      </c>
      <c r="D860" s="70" t="s">
        <v>2928</v>
      </c>
      <c r="E860" s="73" t="s">
        <v>1828</v>
      </c>
      <c r="F860" s="63" t="s">
        <v>6</v>
      </c>
      <c r="G860" s="56" t="s">
        <v>2818</v>
      </c>
      <c r="H860" s="56" t="s">
        <v>2819</v>
      </c>
    </row>
    <row r="861" spans="2:8" x14ac:dyDescent="0.3">
      <c r="B861" s="65">
        <v>46028</v>
      </c>
      <c r="C861" s="71">
        <v>46023</v>
      </c>
      <c r="D861" s="70" t="s">
        <v>2928</v>
      </c>
      <c r="E861" s="73" t="s">
        <v>1828</v>
      </c>
      <c r="F861" s="63" t="s">
        <v>6</v>
      </c>
      <c r="G861" s="56" t="s">
        <v>2870</v>
      </c>
      <c r="H861" s="56" t="s">
        <v>2870</v>
      </c>
    </row>
    <row r="862" spans="2:8" x14ac:dyDescent="0.3">
      <c r="B862" s="65">
        <v>46028</v>
      </c>
      <c r="C862" s="71">
        <v>46023</v>
      </c>
      <c r="D862" s="70" t="s">
        <v>2928</v>
      </c>
      <c r="E862" s="73" t="s">
        <v>1828</v>
      </c>
      <c r="F862" s="63" t="s">
        <v>6</v>
      </c>
      <c r="G862" s="56" t="s">
        <v>2814</v>
      </c>
      <c r="H862" s="56" t="s">
        <v>2815</v>
      </c>
    </row>
    <row r="863" spans="2:8" x14ac:dyDescent="0.3">
      <c r="B863" s="65">
        <v>46028</v>
      </c>
      <c r="C863" s="71">
        <v>46023</v>
      </c>
      <c r="D863" s="70" t="s">
        <v>2928</v>
      </c>
      <c r="E863" s="73" t="s">
        <v>1828</v>
      </c>
      <c r="F863" s="63" t="s">
        <v>6</v>
      </c>
      <c r="G863" s="56" t="s">
        <v>2816</v>
      </c>
      <c r="H863" s="56" t="s">
        <v>2817</v>
      </c>
    </row>
    <row r="864" spans="2:8" x14ac:dyDescent="0.3">
      <c r="B864" s="65">
        <v>46028</v>
      </c>
      <c r="C864" s="71">
        <v>46023</v>
      </c>
      <c r="D864" s="70" t="s">
        <v>2928</v>
      </c>
      <c r="E864" s="73" t="s">
        <v>1828</v>
      </c>
      <c r="F864" s="63" t="s">
        <v>6</v>
      </c>
      <c r="G864" s="56" t="s">
        <v>2818</v>
      </c>
      <c r="H864" s="56" t="s">
        <v>2819</v>
      </c>
    </row>
    <row r="865" spans="2:8" x14ac:dyDescent="0.3">
      <c r="B865" s="65">
        <v>46029</v>
      </c>
      <c r="C865" s="71">
        <v>46023</v>
      </c>
      <c r="D865" s="70" t="s">
        <v>2928</v>
      </c>
      <c r="E865" s="73" t="s">
        <v>1828</v>
      </c>
      <c r="F865" s="63" t="s">
        <v>6</v>
      </c>
      <c r="G865" s="56" t="s">
        <v>2870</v>
      </c>
      <c r="H865" s="56" t="s">
        <v>2870</v>
      </c>
    </row>
    <row r="866" spans="2:8" x14ac:dyDescent="0.3">
      <c r="B866" s="65">
        <v>46029</v>
      </c>
      <c r="C866" s="71">
        <v>46023</v>
      </c>
      <c r="D866" s="70" t="s">
        <v>2928</v>
      </c>
      <c r="E866" s="73" t="s">
        <v>1828</v>
      </c>
      <c r="F866" s="63" t="s">
        <v>6</v>
      </c>
      <c r="G866" s="56" t="s">
        <v>2814</v>
      </c>
      <c r="H866" s="56" t="s">
        <v>2815</v>
      </c>
    </row>
    <row r="867" spans="2:8" x14ac:dyDescent="0.3">
      <c r="B867" s="65">
        <v>46029</v>
      </c>
      <c r="C867" s="71">
        <v>46023</v>
      </c>
      <c r="D867" s="70" t="s">
        <v>2928</v>
      </c>
      <c r="E867" s="73" t="s">
        <v>1828</v>
      </c>
      <c r="F867" s="63" t="s">
        <v>6</v>
      </c>
      <c r="G867" s="56" t="s">
        <v>2816</v>
      </c>
      <c r="H867" s="56" t="s">
        <v>2817</v>
      </c>
    </row>
    <row r="868" spans="2:8" x14ac:dyDescent="0.3">
      <c r="B868" s="65">
        <v>46029</v>
      </c>
      <c r="C868" s="71">
        <v>46023</v>
      </c>
      <c r="D868" s="70" t="s">
        <v>2928</v>
      </c>
      <c r="E868" s="73" t="s">
        <v>1828</v>
      </c>
      <c r="F868" s="63" t="s">
        <v>6</v>
      </c>
      <c r="G868" s="56" t="s">
        <v>2818</v>
      </c>
      <c r="H868" s="56" t="s">
        <v>2819</v>
      </c>
    </row>
    <row r="869" spans="2:8" x14ac:dyDescent="0.3">
      <c r="B869" s="65">
        <v>46030</v>
      </c>
      <c r="C869" s="71">
        <v>46023</v>
      </c>
      <c r="D869" s="70" t="s">
        <v>2928</v>
      </c>
      <c r="E869" s="73" t="s">
        <v>1828</v>
      </c>
      <c r="F869" s="63" t="s">
        <v>6</v>
      </c>
      <c r="G869" s="56" t="s">
        <v>2870</v>
      </c>
      <c r="H869" s="56" t="s">
        <v>2870</v>
      </c>
    </row>
    <row r="870" spans="2:8" x14ac:dyDescent="0.3">
      <c r="B870" s="65">
        <v>46030</v>
      </c>
      <c r="C870" s="71">
        <v>46023</v>
      </c>
      <c r="D870" s="70" t="s">
        <v>2928</v>
      </c>
      <c r="E870" s="73" t="s">
        <v>1828</v>
      </c>
      <c r="F870" s="63" t="s">
        <v>6</v>
      </c>
      <c r="G870" s="56" t="s">
        <v>2814</v>
      </c>
      <c r="H870" s="56" t="s">
        <v>2815</v>
      </c>
    </row>
    <row r="871" spans="2:8" x14ac:dyDescent="0.3">
      <c r="B871" s="65">
        <v>46030</v>
      </c>
      <c r="C871" s="71">
        <v>46023</v>
      </c>
      <c r="D871" s="70" t="s">
        <v>2928</v>
      </c>
      <c r="E871" s="73" t="s">
        <v>1828</v>
      </c>
      <c r="F871" s="63" t="s">
        <v>6</v>
      </c>
      <c r="G871" s="56" t="s">
        <v>2816</v>
      </c>
      <c r="H871" s="56" t="s">
        <v>2817</v>
      </c>
    </row>
    <row r="872" spans="2:8" x14ac:dyDescent="0.3">
      <c r="B872" s="65">
        <v>46030</v>
      </c>
      <c r="C872" s="71">
        <v>46023</v>
      </c>
      <c r="D872" s="70" t="s">
        <v>2928</v>
      </c>
      <c r="E872" s="73" t="s">
        <v>1828</v>
      </c>
      <c r="F872" s="63" t="s">
        <v>6</v>
      </c>
      <c r="G872" s="56" t="s">
        <v>2818</v>
      </c>
      <c r="H872" s="56" t="s">
        <v>2819</v>
      </c>
    </row>
    <row r="873" spans="2:8" x14ac:dyDescent="0.3">
      <c r="B873" s="65">
        <v>46031</v>
      </c>
      <c r="C873" s="71">
        <v>46023</v>
      </c>
      <c r="D873" s="70" t="s">
        <v>2928</v>
      </c>
      <c r="E873" s="73" t="s">
        <v>1828</v>
      </c>
      <c r="F873" s="63" t="s">
        <v>6</v>
      </c>
      <c r="G873" s="56" t="s">
        <v>2870</v>
      </c>
      <c r="H873" s="56" t="s">
        <v>2870</v>
      </c>
    </row>
    <row r="874" spans="2:8" x14ac:dyDescent="0.3">
      <c r="B874" s="65">
        <v>46031</v>
      </c>
      <c r="C874" s="71">
        <v>46023</v>
      </c>
      <c r="D874" s="70" t="s">
        <v>2928</v>
      </c>
      <c r="E874" s="73" t="s">
        <v>1828</v>
      </c>
      <c r="F874" s="63" t="s">
        <v>6</v>
      </c>
      <c r="G874" s="56" t="s">
        <v>2814</v>
      </c>
      <c r="H874" s="56" t="s">
        <v>2815</v>
      </c>
    </row>
    <row r="875" spans="2:8" x14ac:dyDescent="0.3">
      <c r="B875" s="65">
        <v>46031</v>
      </c>
      <c r="C875" s="71">
        <v>46023</v>
      </c>
      <c r="D875" s="70" t="s">
        <v>2928</v>
      </c>
      <c r="E875" s="73" t="s">
        <v>1828</v>
      </c>
      <c r="F875" s="63" t="s">
        <v>6</v>
      </c>
      <c r="G875" s="56" t="s">
        <v>2816</v>
      </c>
      <c r="H875" s="56" t="s">
        <v>2817</v>
      </c>
    </row>
    <row r="876" spans="2:8" x14ac:dyDescent="0.3">
      <c r="B876" s="65">
        <v>46031</v>
      </c>
      <c r="C876" s="71">
        <v>46023</v>
      </c>
      <c r="D876" s="70" t="s">
        <v>2928</v>
      </c>
      <c r="E876" s="73" t="s">
        <v>1828</v>
      </c>
      <c r="F876" s="63" t="s">
        <v>6</v>
      </c>
      <c r="G876" s="56" t="s">
        <v>2818</v>
      </c>
      <c r="H876" s="56" t="s">
        <v>2819</v>
      </c>
    </row>
    <row r="877" spans="2:8" x14ac:dyDescent="0.3">
      <c r="B877" s="65">
        <v>46034</v>
      </c>
      <c r="C877" s="71">
        <v>46023</v>
      </c>
      <c r="D877" s="70" t="s">
        <v>2928</v>
      </c>
      <c r="E877" s="73" t="s">
        <v>1828</v>
      </c>
      <c r="F877" s="63" t="s">
        <v>6</v>
      </c>
      <c r="G877" s="56" t="s">
        <v>2870</v>
      </c>
      <c r="H877" s="56" t="s">
        <v>2870</v>
      </c>
    </row>
    <row r="878" spans="2:8" x14ac:dyDescent="0.3">
      <c r="B878" s="65">
        <v>46034</v>
      </c>
      <c r="C878" s="71">
        <v>46023</v>
      </c>
      <c r="D878" s="70" t="s">
        <v>2928</v>
      </c>
      <c r="E878" s="73" t="s">
        <v>1828</v>
      </c>
      <c r="F878" s="63" t="s">
        <v>6</v>
      </c>
      <c r="G878" s="56" t="s">
        <v>2814</v>
      </c>
      <c r="H878" s="56" t="s">
        <v>2815</v>
      </c>
    </row>
    <row r="879" spans="2:8" x14ac:dyDescent="0.3">
      <c r="B879" s="65">
        <v>46034</v>
      </c>
      <c r="C879" s="71">
        <v>46023</v>
      </c>
      <c r="D879" s="70" t="s">
        <v>2928</v>
      </c>
      <c r="E879" s="73" t="s">
        <v>1828</v>
      </c>
      <c r="F879" s="63" t="s">
        <v>6</v>
      </c>
      <c r="G879" s="56" t="s">
        <v>2816</v>
      </c>
      <c r="H879" s="56" t="s">
        <v>2817</v>
      </c>
    </row>
    <row r="880" spans="2:8" x14ac:dyDescent="0.3">
      <c r="B880" s="65">
        <v>46034</v>
      </c>
      <c r="C880" s="71">
        <v>46023</v>
      </c>
      <c r="D880" s="70" t="s">
        <v>2928</v>
      </c>
      <c r="E880" s="73" t="s">
        <v>1828</v>
      </c>
      <c r="F880" s="63" t="s">
        <v>6</v>
      </c>
      <c r="G880" s="56" t="s">
        <v>2818</v>
      </c>
      <c r="H880" s="56" t="s">
        <v>2819</v>
      </c>
    </row>
    <row r="881" spans="2:8" x14ac:dyDescent="0.3">
      <c r="B881" s="65">
        <v>46035</v>
      </c>
      <c r="C881" s="71">
        <v>46023</v>
      </c>
      <c r="D881" s="70" t="s">
        <v>2928</v>
      </c>
      <c r="E881" s="73" t="s">
        <v>1828</v>
      </c>
      <c r="F881" s="63" t="s">
        <v>6</v>
      </c>
      <c r="G881" s="56" t="s">
        <v>2870</v>
      </c>
      <c r="H881" s="56" t="s">
        <v>2870</v>
      </c>
    </row>
    <row r="882" spans="2:8" x14ac:dyDescent="0.3">
      <c r="B882" s="65">
        <v>46035</v>
      </c>
      <c r="C882" s="71">
        <v>46023</v>
      </c>
      <c r="D882" s="70" t="s">
        <v>2928</v>
      </c>
      <c r="E882" s="73" t="s">
        <v>1828</v>
      </c>
      <c r="F882" s="63" t="s">
        <v>6</v>
      </c>
      <c r="G882" s="56" t="s">
        <v>2899</v>
      </c>
      <c r="H882" s="56" t="s">
        <v>2900</v>
      </c>
    </row>
    <row r="883" spans="2:8" x14ac:dyDescent="0.3">
      <c r="B883" s="65">
        <v>46035</v>
      </c>
      <c r="C883" s="71">
        <v>46023</v>
      </c>
      <c r="D883" s="70" t="s">
        <v>2928</v>
      </c>
      <c r="E883" s="73" t="s">
        <v>1828</v>
      </c>
      <c r="F883" s="63" t="s">
        <v>6</v>
      </c>
      <c r="G883" s="56" t="s">
        <v>2814</v>
      </c>
      <c r="H883" s="56" t="s">
        <v>2815</v>
      </c>
    </row>
    <row r="884" spans="2:8" x14ac:dyDescent="0.3">
      <c r="B884" s="65">
        <v>46035</v>
      </c>
      <c r="C884" s="71">
        <v>46023</v>
      </c>
      <c r="D884" s="70" t="s">
        <v>2928</v>
      </c>
      <c r="E884" s="73" t="s">
        <v>1828</v>
      </c>
      <c r="F884" s="63" t="s">
        <v>6</v>
      </c>
      <c r="G884" s="56" t="s">
        <v>2816</v>
      </c>
      <c r="H884" s="56" t="s">
        <v>2817</v>
      </c>
    </row>
    <row r="885" spans="2:8" x14ac:dyDescent="0.3">
      <c r="B885" s="65">
        <v>46035</v>
      </c>
      <c r="C885" s="71">
        <v>46023</v>
      </c>
      <c r="D885" s="70" t="s">
        <v>2928</v>
      </c>
      <c r="E885" s="73" t="s">
        <v>1828</v>
      </c>
      <c r="F885" s="63" t="s">
        <v>6</v>
      </c>
      <c r="G885" s="56" t="s">
        <v>2818</v>
      </c>
      <c r="H885" s="56" t="s">
        <v>2819</v>
      </c>
    </row>
    <row r="886" spans="2:8" x14ac:dyDescent="0.3">
      <c r="B886" s="65">
        <v>46036</v>
      </c>
      <c r="C886" s="71">
        <v>46023</v>
      </c>
      <c r="D886" s="70" t="s">
        <v>2928</v>
      </c>
      <c r="E886" s="73" t="s">
        <v>1828</v>
      </c>
      <c r="F886" s="63" t="s">
        <v>6</v>
      </c>
      <c r="G886" s="56" t="s">
        <v>2870</v>
      </c>
      <c r="H886" s="56" t="s">
        <v>2870</v>
      </c>
    </row>
    <row r="887" spans="2:8" x14ac:dyDescent="0.3">
      <c r="B887" s="65">
        <v>46036</v>
      </c>
      <c r="C887" s="71">
        <v>46023</v>
      </c>
      <c r="D887" s="70" t="s">
        <v>2928</v>
      </c>
      <c r="E887" s="73" t="s">
        <v>1828</v>
      </c>
      <c r="F887" s="63" t="s">
        <v>6</v>
      </c>
      <c r="G887" s="56" t="s">
        <v>2899</v>
      </c>
      <c r="H887" s="56" t="s">
        <v>2900</v>
      </c>
    </row>
    <row r="888" spans="2:8" x14ac:dyDescent="0.3">
      <c r="B888" s="65">
        <v>46036</v>
      </c>
      <c r="C888" s="71">
        <v>46023</v>
      </c>
      <c r="D888" s="70" t="s">
        <v>2928</v>
      </c>
      <c r="E888" s="73" t="s">
        <v>1828</v>
      </c>
      <c r="F888" s="63" t="s">
        <v>6</v>
      </c>
      <c r="G888" s="56" t="s">
        <v>2814</v>
      </c>
      <c r="H888" s="56" t="s">
        <v>2815</v>
      </c>
    </row>
    <row r="889" spans="2:8" x14ac:dyDescent="0.3">
      <c r="B889" s="65">
        <v>46036</v>
      </c>
      <c r="C889" s="71">
        <v>46023</v>
      </c>
      <c r="D889" s="70" t="s">
        <v>2928</v>
      </c>
      <c r="E889" s="73" t="s">
        <v>1828</v>
      </c>
      <c r="F889" s="63" t="s">
        <v>6</v>
      </c>
      <c r="G889" s="56" t="s">
        <v>2816</v>
      </c>
      <c r="H889" s="56" t="s">
        <v>2817</v>
      </c>
    </row>
    <row r="890" spans="2:8" x14ac:dyDescent="0.3">
      <c r="B890" s="65">
        <v>46036</v>
      </c>
      <c r="C890" s="71">
        <v>46023</v>
      </c>
      <c r="D890" s="70" t="s">
        <v>2928</v>
      </c>
      <c r="E890" s="73" t="s">
        <v>1828</v>
      </c>
      <c r="F890" s="63" t="s">
        <v>6</v>
      </c>
      <c r="G890" s="56" t="s">
        <v>2818</v>
      </c>
      <c r="H890" s="56" t="s">
        <v>2819</v>
      </c>
    </row>
    <row r="891" spans="2:8" x14ac:dyDescent="0.3">
      <c r="B891" s="65">
        <v>46037</v>
      </c>
      <c r="C891" s="71">
        <v>46023</v>
      </c>
      <c r="D891" s="70" t="s">
        <v>2928</v>
      </c>
      <c r="E891" s="73" t="s">
        <v>1828</v>
      </c>
      <c r="F891" s="63" t="s">
        <v>6</v>
      </c>
      <c r="G891" s="56" t="s">
        <v>2870</v>
      </c>
      <c r="H891" s="56" t="s">
        <v>2870</v>
      </c>
    </row>
    <row r="892" spans="2:8" x14ac:dyDescent="0.3">
      <c r="B892" s="65">
        <v>46037</v>
      </c>
      <c r="C892" s="71">
        <v>46023</v>
      </c>
      <c r="D892" s="70" t="s">
        <v>2928</v>
      </c>
      <c r="E892" s="73" t="s">
        <v>1828</v>
      </c>
      <c r="F892" s="63" t="s">
        <v>6</v>
      </c>
      <c r="G892" s="56" t="s">
        <v>2899</v>
      </c>
      <c r="H892" s="56" t="s">
        <v>2900</v>
      </c>
    </row>
    <row r="893" spans="2:8" x14ac:dyDescent="0.3">
      <c r="B893" s="65">
        <v>46037</v>
      </c>
      <c r="C893" s="71">
        <v>46023</v>
      </c>
      <c r="D893" s="70" t="s">
        <v>2928</v>
      </c>
      <c r="E893" s="73" t="s">
        <v>1828</v>
      </c>
      <c r="F893" s="63" t="s">
        <v>6</v>
      </c>
      <c r="G893" s="56" t="s">
        <v>2814</v>
      </c>
      <c r="H893" s="56" t="s">
        <v>2815</v>
      </c>
    </row>
    <row r="894" spans="2:8" x14ac:dyDescent="0.3">
      <c r="B894" s="65">
        <v>46037</v>
      </c>
      <c r="C894" s="71">
        <v>46023</v>
      </c>
      <c r="D894" s="70" t="s">
        <v>2928</v>
      </c>
      <c r="E894" s="73" t="s">
        <v>1828</v>
      </c>
      <c r="F894" s="63" t="s">
        <v>6</v>
      </c>
      <c r="G894" s="56" t="s">
        <v>2816</v>
      </c>
      <c r="H894" s="56" t="s">
        <v>2817</v>
      </c>
    </row>
    <row r="895" spans="2:8" x14ac:dyDescent="0.3">
      <c r="B895" s="65">
        <v>46037</v>
      </c>
      <c r="C895" s="71">
        <v>46023</v>
      </c>
      <c r="D895" s="70" t="s">
        <v>2928</v>
      </c>
      <c r="E895" s="73" t="s">
        <v>1828</v>
      </c>
      <c r="F895" s="63" t="s">
        <v>6</v>
      </c>
      <c r="G895" s="56" t="s">
        <v>2818</v>
      </c>
      <c r="H895" s="56" t="s">
        <v>2819</v>
      </c>
    </row>
    <row r="896" spans="2:8" x14ac:dyDescent="0.3">
      <c r="B896" s="65">
        <v>46038</v>
      </c>
      <c r="C896" s="71">
        <v>46023</v>
      </c>
      <c r="D896" s="70" t="s">
        <v>2928</v>
      </c>
      <c r="E896" s="73" t="s">
        <v>1828</v>
      </c>
      <c r="F896" s="63" t="s">
        <v>6</v>
      </c>
      <c r="G896" s="56" t="s">
        <v>2870</v>
      </c>
      <c r="H896" s="56" t="s">
        <v>2870</v>
      </c>
    </row>
    <row r="897" spans="2:8" x14ac:dyDescent="0.3">
      <c r="B897" s="65">
        <v>46038</v>
      </c>
      <c r="C897" s="71">
        <v>46023</v>
      </c>
      <c r="D897" s="70" t="s">
        <v>2928</v>
      </c>
      <c r="E897" s="73" t="s">
        <v>1828</v>
      </c>
      <c r="F897" s="63" t="s">
        <v>6</v>
      </c>
      <c r="G897" s="56" t="s">
        <v>2899</v>
      </c>
      <c r="H897" s="56" t="s">
        <v>2900</v>
      </c>
    </row>
    <row r="898" spans="2:8" x14ac:dyDescent="0.3">
      <c r="B898" s="65">
        <v>46038</v>
      </c>
      <c r="C898" s="71">
        <v>46023</v>
      </c>
      <c r="D898" s="70" t="s">
        <v>2928</v>
      </c>
      <c r="E898" s="73" t="s">
        <v>1828</v>
      </c>
      <c r="F898" s="63" t="s">
        <v>6</v>
      </c>
      <c r="G898" s="56" t="s">
        <v>2814</v>
      </c>
      <c r="H898" s="56" t="s">
        <v>2815</v>
      </c>
    </row>
    <row r="899" spans="2:8" x14ac:dyDescent="0.3">
      <c r="B899" s="65">
        <v>46038</v>
      </c>
      <c r="C899" s="71">
        <v>46023</v>
      </c>
      <c r="D899" s="70" t="s">
        <v>2928</v>
      </c>
      <c r="E899" s="73" t="s">
        <v>1828</v>
      </c>
      <c r="F899" s="63" t="s">
        <v>6</v>
      </c>
      <c r="G899" s="56" t="s">
        <v>2816</v>
      </c>
      <c r="H899" s="56" t="s">
        <v>2817</v>
      </c>
    </row>
    <row r="900" spans="2:8" x14ac:dyDescent="0.3">
      <c r="B900" s="65">
        <v>46038</v>
      </c>
      <c r="C900" s="71">
        <v>46023</v>
      </c>
      <c r="D900" s="70" t="s">
        <v>2928</v>
      </c>
      <c r="E900" s="73" t="s">
        <v>1828</v>
      </c>
      <c r="F900" s="63" t="s">
        <v>6</v>
      </c>
      <c r="G900" s="56" t="s">
        <v>2818</v>
      </c>
      <c r="H900" s="56" t="s">
        <v>2819</v>
      </c>
    </row>
    <row r="901" spans="2:8" x14ac:dyDescent="0.3">
      <c r="B901" s="65">
        <v>46041</v>
      </c>
      <c r="C901" s="71">
        <v>46023</v>
      </c>
      <c r="D901" s="70" t="s">
        <v>2928</v>
      </c>
      <c r="E901" s="73" t="s">
        <v>1828</v>
      </c>
      <c r="F901" s="63" t="s">
        <v>6</v>
      </c>
      <c r="G901" s="56" t="s">
        <v>2870</v>
      </c>
      <c r="H901" s="56" t="s">
        <v>2870</v>
      </c>
    </row>
    <row r="902" spans="2:8" x14ac:dyDescent="0.3">
      <c r="B902" s="65">
        <v>46041</v>
      </c>
      <c r="C902" s="71">
        <v>46023</v>
      </c>
      <c r="D902" s="70" t="s">
        <v>2928</v>
      </c>
      <c r="E902" s="73" t="s">
        <v>1828</v>
      </c>
      <c r="F902" s="63" t="s">
        <v>6</v>
      </c>
      <c r="G902" s="56" t="s">
        <v>2899</v>
      </c>
      <c r="H902" s="56" t="s">
        <v>2900</v>
      </c>
    </row>
    <row r="903" spans="2:8" x14ac:dyDescent="0.3">
      <c r="B903" s="65">
        <v>46041</v>
      </c>
      <c r="C903" s="71">
        <v>46023</v>
      </c>
      <c r="D903" s="70" t="s">
        <v>2928</v>
      </c>
      <c r="E903" s="73" t="s">
        <v>1828</v>
      </c>
      <c r="F903" s="63" t="s">
        <v>6</v>
      </c>
      <c r="G903" s="56" t="s">
        <v>2814</v>
      </c>
      <c r="H903" s="56" t="s">
        <v>2815</v>
      </c>
    </row>
    <row r="904" spans="2:8" x14ac:dyDescent="0.3">
      <c r="B904" s="65">
        <v>46041</v>
      </c>
      <c r="C904" s="71">
        <v>46023</v>
      </c>
      <c r="D904" s="70" t="s">
        <v>2928</v>
      </c>
      <c r="E904" s="73" t="s">
        <v>1828</v>
      </c>
      <c r="F904" s="63" t="s">
        <v>6</v>
      </c>
      <c r="G904" s="56" t="s">
        <v>2816</v>
      </c>
      <c r="H904" s="56" t="s">
        <v>2817</v>
      </c>
    </row>
    <row r="905" spans="2:8" x14ac:dyDescent="0.3">
      <c r="B905" s="65">
        <v>46041</v>
      </c>
      <c r="C905" s="71">
        <v>46023</v>
      </c>
      <c r="D905" s="70" t="s">
        <v>2928</v>
      </c>
      <c r="E905" s="73" t="s">
        <v>1828</v>
      </c>
      <c r="F905" s="63" t="s">
        <v>6</v>
      </c>
      <c r="G905" s="56" t="s">
        <v>2818</v>
      </c>
      <c r="H905" s="56" t="s">
        <v>2819</v>
      </c>
    </row>
    <row r="906" spans="2:8" x14ac:dyDescent="0.3">
      <c r="B906" s="65">
        <v>46042</v>
      </c>
      <c r="C906" s="71">
        <v>46023</v>
      </c>
      <c r="D906" s="70" t="s">
        <v>2928</v>
      </c>
      <c r="E906" s="73" t="s">
        <v>1828</v>
      </c>
      <c r="F906" s="63" t="s">
        <v>6</v>
      </c>
      <c r="G906" s="56" t="s">
        <v>2870</v>
      </c>
      <c r="H906" s="56" t="s">
        <v>2870</v>
      </c>
    </row>
    <row r="907" spans="2:8" x14ac:dyDescent="0.3">
      <c r="B907" s="65">
        <v>46042</v>
      </c>
      <c r="C907" s="71">
        <v>46023</v>
      </c>
      <c r="D907" s="70" t="s">
        <v>2928</v>
      </c>
      <c r="E907" s="73" t="s">
        <v>1828</v>
      </c>
      <c r="F907" s="63" t="s">
        <v>6</v>
      </c>
      <c r="G907" s="56" t="s">
        <v>2899</v>
      </c>
      <c r="H907" s="56" t="s">
        <v>2900</v>
      </c>
    </row>
    <row r="908" spans="2:8" x14ac:dyDescent="0.3">
      <c r="B908" s="65">
        <v>46042</v>
      </c>
      <c r="C908" s="71">
        <v>46023</v>
      </c>
      <c r="D908" s="70" t="s">
        <v>2928</v>
      </c>
      <c r="E908" s="73" t="s">
        <v>1828</v>
      </c>
      <c r="F908" s="63" t="s">
        <v>6</v>
      </c>
      <c r="G908" s="56" t="s">
        <v>2814</v>
      </c>
      <c r="H908" s="56" t="s">
        <v>2815</v>
      </c>
    </row>
    <row r="909" spans="2:8" x14ac:dyDescent="0.3">
      <c r="B909" s="65">
        <v>46042</v>
      </c>
      <c r="C909" s="71">
        <v>46023</v>
      </c>
      <c r="D909" s="70" t="s">
        <v>2928</v>
      </c>
      <c r="E909" s="73" t="s">
        <v>1828</v>
      </c>
      <c r="F909" s="63" t="s">
        <v>6</v>
      </c>
      <c r="G909" s="56" t="s">
        <v>2816</v>
      </c>
      <c r="H909" s="56" t="s">
        <v>2817</v>
      </c>
    </row>
    <row r="910" spans="2:8" x14ac:dyDescent="0.3">
      <c r="B910" s="65">
        <v>46042</v>
      </c>
      <c r="C910" s="71">
        <v>46023</v>
      </c>
      <c r="D910" s="70" t="s">
        <v>2928</v>
      </c>
      <c r="E910" s="73" t="s">
        <v>1828</v>
      </c>
      <c r="F910" s="63" t="s">
        <v>6</v>
      </c>
      <c r="G910" s="56" t="s">
        <v>2818</v>
      </c>
      <c r="H910" s="56" t="s">
        <v>2819</v>
      </c>
    </row>
    <row r="911" spans="2:8" x14ac:dyDescent="0.3">
      <c r="B911" s="65">
        <v>46043</v>
      </c>
      <c r="C911" s="71">
        <v>46023</v>
      </c>
      <c r="D911" s="70" t="s">
        <v>2928</v>
      </c>
      <c r="E911" s="73" t="s">
        <v>1828</v>
      </c>
      <c r="F911" s="63" t="s">
        <v>6</v>
      </c>
      <c r="G911" s="56" t="s">
        <v>2870</v>
      </c>
      <c r="H911" s="56" t="s">
        <v>2870</v>
      </c>
    </row>
    <row r="912" spans="2:8" x14ac:dyDescent="0.3">
      <c r="B912" s="65">
        <v>46043</v>
      </c>
      <c r="C912" s="71">
        <v>46023</v>
      </c>
      <c r="D912" s="70" t="s">
        <v>2928</v>
      </c>
      <c r="E912" s="73" t="s">
        <v>1828</v>
      </c>
      <c r="F912" s="63" t="s">
        <v>6</v>
      </c>
      <c r="G912" s="56" t="s">
        <v>2899</v>
      </c>
      <c r="H912" s="56" t="s">
        <v>2900</v>
      </c>
    </row>
    <row r="913" spans="2:8" x14ac:dyDescent="0.3">
      <c r="B913" s="65">
        <v>46043</v>
      </c>
      <c r="C913" s="71">
        <v>46023</v>
      </c>
      <c r="D913" s="70" t="s">
        <v>2928</v>
      </c>
      <c r="E913" s="73" t="s">
        <v>1828</v>
      </c>
      <c r="F913" s="63" t="s">
        <v>6</v>
      </c>
      <c r="G913" s="56" t="s">
        <v>2814</v>
      </c>
      <c r="H913" s="56" t="s">
        <v>2815</v>
      </c>
    </row>
    <row r="914" spans="2:8" x14ac:dyDescent="0.3">
      <c r="B914" s="65">
        <v>46043</v>
      </c>
      <c r="C914" s="71">
        <v>46023</v>
      </c>
      <c r="D914" s="70" t="s">
        <v>2928</v>
      </c>
      <c r="E914" s="73" t="s">
        <v>1828</v>
      </c>
      <c r="F914" s="63" t="s">
        <v>6</v>
      </c>
      <c r="G914" s="56" t="s">
        <v>2816</v>
      </c>
      <c r="H914" s="56" t="s">
        <v>2817</v>
      </c>
    </row>
    <row r="915" spans="2:8" x14ac:dyDescent="0.3">
      <c r="B915" s="65">
        <v>46043</v>
      </c>
      <c r="C915" s="71">
        <v>46023</v>
      </c>
      <c r="D915" s="70" t="s">
        <v>2928</v>
      </c>
      <c r="E915" s="73" t="s">
        <v>1828</v>
      </c>
      <c r="F915" s="63" t="s">
        <v>6</v>
      </c>
      <c r="G915" s="56" t="s">
        <v>2818</v>
      </c>
      <c r="H915" s="56" t="s">
        <v>2819</v>
      </c>
    </row>
    <row r="916" spans="2:8" x14ac:dyDescent="0.3">
      <c r="B916" s="65">
        <v>46044</v>
      </c>
      <c r="C916" s="71">
        <v>46023</v>
      </c>
      <c r="D916" s="70" t="s">
        <v>2928</v>
      </c>
      <c r="E916" s="73" t="s">
        <v>1828</v>
      </c>
      <c r="F916" s="63" t="s">
        <v>6</v>
      </c>
      <c r="G916" s="56" t="s">
        <v>2870</v>
      </c>
      <c r="H916" s="56" t="s">
        <v>2870</v>
      </c>
    </row>
    <row r="917" spans="2:8" x14ac:dyDescent="0.3">
      <c r="B917" s="65">
        <v>46044</v>
      </c>
      <c r="C917" s="71">
        <v>46023</v>
      </c>
      <c r="D917" s="70" t="s">
        <v>2928</v>
      </c>
      <c r="E917" s="73" t="s">
        <v>1828</v>
      </c>
      <c r="F917" s="63" t="s">
        <v>6</v>
      </c>
      <c r="G917" s="56" t="s">
        <v>2899</v>
      </c>
      <c r="H917" s="56" t="s">
        <v>2900</v>
      </c>
    </row>
    <row r="918" spans="2:8" x14ac:dyDescent="0.3">
      <c r="B918" s="65">
        <v>46044</v>
      </c>
      <c r="C918" s="71">
        <v>46023</v>
      </c>
      <c r="D918" s="70" t="s">
        <v>2928</v>
      </c>
      <c r="E918" s="73" t="s">
        <v>1828</v>
      </c>
      <c r="F918" s="63" t="s">
        <v>6</v>
      </c>
      <c r="G918" s="56" t="s">
        <v>2814</v>
      </c>
      <c r="H918" s="56" t="s">
        <v>2815</v>
      </c>
    </row>
    <row r="919" spans="2:8" x14ac:dyDescent="0.3">
      <c r="B919" s="65">
        <v>46044</v>
      </c>
      <c r="C919" s="71">
        <v>46023</v>
      </c>
      <c r="D919" s="70" t="s">
        <v>2928</v>
      </c>
      <c r="E919" s="73" t="s">
        <v>1828</v>
      </c>
      <c r="F919" s="63" t="s">
        <v>6</v>
      </c>
      <c r="G919" s="56" t="s">
        <v>2816</v>
      </c>
      <c r="H919" s="56" t="s">
        <v>2817</v>
      </c>
    </row>
    <row r="920" spans="2:8" x14ac:dyDescent="0.3">
      <c r="B920" s="65">
        <v>46044</v>
      </c>
      <c r="C920" s="71">
        <v>46023</v>
      </c>
      <c r="D920" s="70" t="s">
        <v>2928</v>
      </c>
      <c r="E920" s="73" t="s">
        <v>1828</v>
      </c>
      <c r="F920" s="63" t="s">
        <v>6</v>
      </c>
      <c r="G920" s="56" t="s">
        <v>2818</v>
      </c>
      <c r="H920" s="56" t="s">
        <v>2819</v>
      </c>
    </row>
    <row r="921" spans="2:8" x14ac:dyDescent="0.3">
      <c r="B921" s="65">
        <v>46045</v>
      </c>
      <c r="C921" s="71">
        <v>46023</v>
      </c>
      <c r="D921" s="70" t="s">
        <v>2928</v>
      </c>
      <c r="E921" s="73" t="s">
        <v>1828</v>
      </c>
      <c r="F921" s="63" t="s">
        <v>6</v>
      </c>
      <c r="G921" s="56" t="s">
        <v>2870</v>
      </c>
      <c r="H921" s="56" t="s">
        <v>2870</v>
      </c>
    </row>
    <row r="922" spans="2:8" x14ac:dyDescent="0.3">
      <c r="B922" s="65">
        <v>46045</v>
      </c>
      <c r="C922" s="71">
        <v>46023</v>
      </c>
      <c r="D922" s="70" t="s">
        <v>2928</v>
      </c>
      <c r="E922" s="73" t="s">
        <v>1828</v>
      </c>
      <c r="F922" s="63" t="s">
        <v>6</v>
      </c>
      <c r="G922" s="56" t="s">
        <v>2899</v>
      </c>
      <c r="H922" s="56" t="s">
        <v>2900</v>
      </c>
    </row>
    <row r="923" spans="2:8" x14ac:dyDescent="0.3">
      <c r="B923" s="65">
        <v>46045</v>
      </c>
      <c r="C923" s="71">
        <v>46023</v>
      </c>
      <c r="D923" s="70" t="s">
        <v>2928</v>
      </c>
      <c r="E923" s="73" t="s">
        <v>1828</v>
      </c>
      <c r="F923" s="63" t="s">
        <v>6</v>
      </c>
      <c r="G923" s="56" t="s">
        <v>2814</v>
      </c>
      <c r="H923" s="56" t="s">
        <v>2815</v>
      </c>
    </row>
    <row r="924" spans="2:8" x14ac:dyDescent="0.3">
      <c r="B924" s="65">
        <v>46045</v>
      </c>
      <c r="C924" s="71">
        <v>46023</v>
      </c>
      <c r="D924" s="70" t="s">
        <v>2928</v>
      </c>
      <c r="E924" s="73" t="s">
        <v>1828</v>
      </c>
      <c r="F924" s="63" t="s">
        <v>6</v>
      </c>
      <c r="G924" s="56" t="s">
        <v>2816</v>
      </c>
      <c r="H924" s="56" t="s">
        <v>2817</v>
      </c>
    </row>
    <row r="925" spans="2:8" x14ac:dyDescent="0.3">
      <c r="B925" s="65">
        <v>46045</v>
      </c>
      <c r="C925" s="71">
        <v>46023</v>
      </c>
      <c r="D925" s="70" t="s">
        <v>2928</v>
      </c>
      <c r="E925" s="73" t="s">
        <v>1828</v>
      </c>
      <c r="F925" s="63" t="s">
        <v>6</v>
      </c>
      <c r="G925" s="56" t="s">
        <v>2818</v>
      </c>
      <c r="H925" s="56" t="s">
        <v>2819</v>
      </c>
    </row>
    <row r="926" spans="2:8" x14ac:dyDescent="0.3">
      <c r="B926" s="65">
        <v>46048</v>
      </c>
      <c r="C926" s="71">
        <v>46023</v>
      </c>
      <c r="D926" s="70" t="s">
        <v>2928</v>
      </c>
      <c r="E926" s="73" t="s">
        <v>1828</v>
      </c>
      <c r="F926" s="63" t="s">
        <v>6</v>
      </c>
      <c r="G926" s="56" t="s">
        <v>2870</v>
      </c>
      <c r="H926" s="56" t="s">
        <v>2870</v>
      </c>
    </row>
    <row r="927" spans="2:8" x14ac:dyDescent="0.3">
      <c r="B927" s="65">
        <v>46048</v>
      </c>
      <c r="C927" s="71">
        <v>46023</v>
      </c>
      <c r="D927" s="70" t="s">
        <v>2928</v>
      </c>
      <c r="E927" s="73" t="s">
        <v>1828</v>
      </c>
      <c r="F927" s="63" t="s">
        <v>6</v>
      </c>
      <c r="G927" s="56" t="s">
        <v>2899</v>
      </c>
      <c r="H927" s="56" t="s">
        <v>2900</v>
      </c>
    </row>
    <row r="928" spans="2:8" x14ac:dyDescent="0.3">
      <c r="B928" s="65">
        <v>46048</v>
      </c>
      <c r="C928" s="71">
        <v>46023</v>
      </c>
      <c r="D928" s="70" t="s">
        <v>2928</v>
      </c>
      <c r="E928" s="73" t="s">
        <v>1828</v>
      </c>
      <c r="F928" s="63" t="s">
        <v>6</v>
      </c>
      <c r="G928" s="56" t="s">
        <v>2814</v>
      </c>
      <c r="H928" s="56" t="s">
        <v>2815</v>
      </c>
    </row>
    <row r="929" spans="2:8" x14ac:dyDescent="0.3">
      <c r="B929" s="65">
        <v>46048</v>
      </c>
      <c r="C929" s="71">
        <v>46023</v>
      </c>
      <c r="D929" s="70" t="s">
        <v>2928</v>
      </c>
      <c r="E929" s="73" t="s">
        <v>1828</v>
      </c>
      <c r="F929" s="63" t="s">
        <v>6</v>
      </c>
      <c r="G929" s="56" t="s">
        <v>2816</v>
      </c>
      <c r="H929" s="56" t="s">
        <v>2817</v>
      </c>
    </row>
    <row r="930" spans="2:8" x14ac:dyDescent="0.3">
      <c r="B930" s="65">
        <v>46048</v>
      </c>
      <c r="C930" s="71">
        <v>46023</v>
      </c>
      <c r="D930" s="70" t="s">
        <v>2928</v>
      </c>
      <c r="E930" s="73" t="s">
        <v>1828</v>
      </c>
      <c r="F930" s="63" t="s">
        <v>6</v>
      </c>
      <c r="G930" s="56" t="s">
        <v>2818</v>
      </c>
      <c r="H930" s="56" t="s">
        <v>2819</v>
      </c>
    </row>
    <row r="931" spans="2:8" x14ac:dyDescent="0.3">
      <c r="B931" s="65">
        <v>46049</v>
      </c>
      <c r="C931" s="71">
        <v>46023</v>
      </c>
      <c r="D931" s="70" t="s">
        <v>2928</v>
      </c>
      <c r="E931" s="73" t="s">
        <v>1828</v>
      </c>
      <c r="F931" s="63" t="s">
        <v>6</v>
      </c>
      <c r="G931" s="56" t="s">
        <v>2870</v>
      </c>
      <c r="H931" s="56" t="s">
        <v>2870</v>
      </c>
    </row>
    <row r="932" spans="2:8" x14ac:dyDescent="0.3">
      <c r="B932" s="65">
        <v>46049</v>
      </c>
      <c r="C932" s="71">
        <v>46023</v>
      </c>
      <c r="D932" s="70" t="s">
        <v>2928</v>
      </c>
      <c r="E932" s="73" t="s">
        <v>1828</v>
      </c>
      <c r="F932" s="63" t="s">
        <v>6</v>
      </c>
      <c r="G932" s="56" t="s">
        <v>2899</v>
      </c>
      <c r="H932" s="56" t="s">
        <v>2900</v>
      </c>
    </row>
    <row r="933" spans="2:8" x14ac:dyDescent="0.3">
      <c r="B933" s="65">
        <v>46049</v>
      </c>
      <c r="C933" s="71">
        <v>46023</v>
      </c>
      <c r="D933" s="70" t="s">
        <v>2928</v>
      </c>
      <c r="E933" s="73" t="s">
        <v>1828</v>
      </c>
      <c r="F933" s="63" t="s">
        <v>6</v>
      </c>
      <c r="G933" s="56" t="s">
        <v>2814</v>
      </c>
      <c r="H933" s="56" t="s">
        <v>2815</v>
      </c>
    </row>
    <row r="934" spans="2:8" x14ac:dyDescent="0.3">
      <c r="B934" s="65">
        <v>46049</v>
      </c>
      <c r="C934" s="71">
        <v>46023</v>
      </c>
      <c r="D934" s="70" t="s">
        <v>2928</v>
      </c>
      <c r="E934" s="73" t="s">
        <v>1828</v>
      </c>
      <c r="F934" s="63" t="s">
        <v>6</v>
      </c>
      <c r="G934" s="56" t="s">
        <v>2816</v>
      </c>
      <c r="H934" s="56" t="s">
        <v>2817</v>
      </c>
    </row>
    <row r="935" spans="2:8" x14ac:dyDescent="0.3">
      <c r="B935" s="65">
        <v>46049</v>
      </c>
      <c r="C935" s="71">
        <v>46023</v>
      </c>
      <c r="D935" s="70" t="s">
        <v>2928</v>
      </c>
      <c r="E935" s="73" t="s">
        <v>1828</v>
      </c>
      <c r="F935" s="63" t="s">
        <v>6</v>
      </c>
      <c r="G935" s="56" t="s">
        <v>2818</v>
      </c>
      <c r="H935" s="56" t="s">
        <v>2819</v>
      </c>
    </row>
    <row r="936" spans="2:8" x14ac:dyDescent="0.3">
      <c r="B936" s="65">
        <v>46050</v>
      </c>
      <c r="C936" s="71">
        <v>46023</v>
      </c>
      <c r="D936" s="70" t="s">
        <v>2928</v>
      </c>
      <c r="E936" s="73" t="s">
        <v>1828</v>
      </c>
      <c r="F936" s="63" t="s">
        <v>6</v>
      </c>
      <c r="G936" s="56" t="s">
        <v>2870</v>
      </c>
      <c r="H936" s="56" t="s">
        <v>2870</v>
      </c>
    </row>
    <row r="937" spans="2:8" x14ac:dyDescent="0.3">
      <c r="B937" s="65">
        <v>46050</v>
      </c>
      <c r="C937" s="71">
        <v>46023</v>
      </c>
      <c r="D937" s="70" t="s">
        <v>2928</v>
      </c>
      <c r="E937" s="73" t="s">
        <v>1828</v>
      </c>
      <c r="F937" s="63" t="s">
        <v>6</v>
      </c>
      <c r="G937" s="56" t="s">
        <v>2899</v>
      </c>
      <c r="H937" s="56" t="s">
        <v>2900</v>
      </c>
    </row>
    <row r="938" spans="2:8" x14ac:dyDescent="0.3">
      <c r="B938" s="65">
        <v>46050</v>
      </c>
      <c r="C938" s="71">
        <v>46023</v>
      </c>
      <c r="D938" s="70" t="s">
        <v>2928</v>
      </c>
      <c r="E938" s="73" t="s">
        <v>1828</v>
      </c>
      <c r="F938" s="63" t="s">
        <v>6</v>
      </c>
      <c r="G938" s="56" t="s">
        <v>2814</v>
      </c>
      <c r="H938" s="56" t="s">
        <v>2815</v>
      </c>
    </row>
    <row r="939" spans="2:8" x14ac:dyDescent="0.3">
      <c r="B939" s="65">
        <v>46050</v>
      </c>
      <c r="C939" s="71">
        <v>46023</v>
      </c>
      <c r="D939" s="70" t="s">
        <v>2928</v>
      </c>
      <c r="E939" s="73" t="s">
        <v>1828</v>
      </c>
      <c r="F939" s="63" t="s">
        <v>6</v>
      </c>
      <c r="G939" s="56" t="s">
        <v>2816</v>
      </c>
      <c r="H939" s="56" t="s">
        <v>2817</v>
      </c>
    </row>
    <row r="940" spans="2:8" x14ac:dyDescent="0.3">
      <c r="B940" s="65">
        <v>46050</v>
      </c>
      <c r="C940" s="71">
        <v>46023</v>
      </c>
      <c r="D940" s="70" t="s">
        <v>2928</v>
      </c>
      <c r="E940" s="73" t="s">
        <v>1828</v>
      </c>
      <c r="F940" s="63" t="s">
        <v>6</v>
      </c>
      <c r="G940" s="56" t="s">
        <v>2818</v>
      </c>
      <c r="H940" s="56" t="s">
        <v>2819</v>
      </c>
    </row>
    <row r="941" spans="2:8" x14ac:dyDescent="0.3">
      <c r="B941" s="65">
        <v>46051</v>
      </c>
      <c r="C941" s="71">
        <v>46023</v>
      </c>
      <c r="D941" s="70" t="s">
        <v>2928</v>
      </c>
      <c r="E941" s="73" t="s">
        <v>1828</v>
      </c>
      <c r="F941" s="63" t="s">
        <v>6</v>
      </c>
      <c r="G941" s="56" t="s">
        <v>2870</v>
      </c>
      <c r="H941" s="56" t="s">
        <v>2870</v>
      </c>
    </row>
    <row r="942" spans="2:8" x14ac:dyDescent="0.3">
      <c r="B942" s="65">
        <v>46051</v>
      </c>
      <c r="C942" s="71">
        <v>46023</v>
      </c>
      <c r="D942" s="70" t="s">
        <v>2928</v>
      </c>
      <c r="E942" s="73" t="s">
        <v>1828</v>
      </c>
      <c r="F942" s="63" t="s">
        <v>6</v>
      </c>
      <c r="G942" s="56" t="s">
        <v>2899</v>
      </c>
      <c r="H942" s="56" t="s">
        <v>2900</v>
      </c>
    </row>
    <row r="943" spans="2:8" x14ac:dyDescent="0.3">
      <c r="B943" s="65">
        <v>46051</v>
      </c>
      <c r="C943" s="71">
        <v>46023</v>
      </c>
      <c r="D943" s="70" t="s">
        <v>2928</v>
      </c>
      <c r="E943" s="73" t="s">
        <v>1828</v>
      </c>
      <c r="F943" s="63" t="s">
        <v>6</v>
      </c>
      <c r="G943" s="56" t="s">
        <v>2814</v>
      </c>
      <c r="H943" s="56" t="s">
        <v>2815</v>
      </c>
    </row>
    <row r="944" spans="2:8" x14ac:dyDescent="0.3">
      <c r="B944" s="65">
        <v>46051</v>
      </c>
      <c r="C944" s="71">
        <v>46023</v>
      </c>
      <c r="D944" s="70" t="s">
        <v>2928</v>
      </c>
      <c r="E944" s="73" t="s">
        <v>1828</v>
      </c>
      <c r="F944" s="63" t="s">
        <v>6</v>
      </c>
      <c r="G944" s="56" t="s">
        <v>2816</v>
      </c>
      <c r="H944" s="56" t="s">
        <v>2817</v>
      </c>
    </row>
    <row r="945" spans="2:8" x14ac:dyDescent="0.3">
      <c r="B945" s="65">
        <v>46051</v>
      </c>
      <c r="C945" s="71">
        <v>46023</v>
      </c>
      <c r="D945" s="70" t="s">
        <v>2928</v>
      </c>
      <c r="E945" s="73" t="s">
        <v>1828</v>
      </c>
      <c r="F945" s="63" t="s">
        <v>6</v>
      </c>
      <c r="G945" s="56" t="s">
        <v>2818</v>
      </c>
      <c r="H945" s="56" t="s">
        <v>2819</v>
      </c>
    </row>
    <row r="946" spans="2:8" x14ac:dyDescent="0.3">
      <c r="B946" s="65">
        <v>46052</v>
      </c>
      <c r="C946" s="71">
        <v>46023</v>
      </c>
      <c r="D946" s="70" t="s">
        <v>2928</v>
      </c>
      <c r="E946" s="73" t="s">
        <v>1828</v>
      </c>
      <c r="F946" s="63" t="s">
        <v>6</v>
      </c>
      <c r="G946" s="56" t="s">
        <v>2870</v>
      </c>
      <c r="H946" s="56" t="s">
        <v>2870</v>
      </c>
    </row>
    <row r="947" spans="2:8" x14ac:dyDescent="0.3">
      <c r="B947" s="65">
        <v>46052</v>
      </c>
      <c r="C947" s="71">
        <v>46023</v>
      </c>
      <c r="D947" s="70" t="s">
        <v>2928</v>
      </c>
      <c r="E947" s="73" t="s">
        <v>1828</v>
      </c>
      <c r="F947" s="63" t="s">
        <v>6</v>
      </c>
      <c r="G947" s="56" t="s">
        <v>2899</v>
      </c>
      <c r="H947" s="56" t="s">
        <v>2900</v>
      </c>
    </row>
    <row r="948" spans="2:8" x14ac:dyDescent="0.3">
      <c r="B948" s="65">
        <v>46052</v>
      </c>
      <c r="C948" s="71">
        <v>46023</v>
      </c>
      <c r="D948" s="70" t="s">
        <v>2928</v>
      </c>
      <c r="E948" s="73" t="s">
        <v>1828</v>
      </c>
      <c r="F948" s="63" t="s">
        <v>6</v>
      </c>
      <c r="G948" s="56" t="s">
        <v>2814</v>
      </c>
      <c r="H948" s="56" t="s">
        <v>2815</v>
      </c>
    </row>
    <row r="949" spans="2:8" x14ac:dyDescent="0.3">
      <c r="B949" s="65">
        <v>46052</v>
      </c>
      <c r="C949" s="71">
        <v>46023</v>
      </c>
      <c r="D949" s="70" t="s">
        <v>2928</v>
      </c>
      <c r="E949" s="73" t="s">
        <v>1828</v>
      </c>
      <c r="F949" s="63" t="s">
        <v>6</v>
      </c>
      <c r="G949" s="56" t="s">
        <v>2816</v>
      </c>
      <c r="H949" s="56" t="s">
        <v>2817</v>
      </c>
    </row>
    <row r="950" spans="2:8" x14ac:dyDescent="0.3">
      <c r="B950" s="65">
        <v>46052</v>
      </c>
      <c r="C950" s="71">
        <v>46023</v>
      </c>
      <c r="D950" s="70" t="s">
        <v>2928</v>
      </c>
      <c r="E950" s="73" t="s">
        <v>1828</v>
      </c>
      <c r="F950" s="63" t="s">
        <v>6</v>
      </c>
      <c r="G950" s="56" t="s">
        <v>2818</v>
      </c>
      <c r="H950" s="56" t="s">
        <v>2819</v>
      </c>
    </row>
    <row r="951" spans="2:8" x14ac:dyDescent="0.3">
      <c r="B951" s="65">
        <v>46055</v>
      </c>
      <c r="C951" s="71">
        <v>46054</v>
      </c>
      <c r="D951" s="70" t="s">
        <v>2928</v>
      </c>
      <c r="E951" s="73" t="s">
        <v>1828</v>
      </c>
      <c r="F951" s="63" t="s">
        <v>6</v>
      </c>
      <c r="G951" s="56" t="s">
        <v>2870</v>
      </c>
      <c r="H951" s="56" t="s">
        <v>2870</v>
      </c>
    </row>
    <row r="952" spans="2:8" x14ac:dyDescent="0.3">
      <c r="B952" s="65">
        <v>46055</v>
      </c>
      <c r="C952" s="71">
        <v>46054</v>
      </c>
      <c r="D952" s="70" t="s">
        <v>2928</v>
      </c>
      <c r="E952" s="73" t="s">
        <v>1828</v>
      </c>
      <c r="F952" s="63" t="s">
        <v>6</v>
      </c>
      <c r="G952" s="56" t="s">
        <v>2899</v>
      </c>
      <c r="H952" s="56" t="s">
        <v>2900</v>
      </c>
    </row>
    <row r="953" spans="2:8" x14ac:dyDescent="0.3">
      <c r="B953" s="65">
        <v>46055</v>
      </c>
      <c r="C953" s="71">
        <v>46054</v>
      </c>
      <c r="D953" s="70" t="s">
        <v>2928</v>
      </c>
      <c r="E953" s="73" t="s">
        <v>1828</v>
      </c>
      <c r="F953" s="63" t="s">
        <v>6</v>
      </c>
      <c r="G953" s="56" t="s">
        <v>2814</v>
      </c>
      <c r="H953" s="56" t="s">
        <v>2815</v>
      </c>
    </row>
    <row r="954" spans="2:8" x14ac:dyDescent="0.3">
      <c r="B954" s="65">
        <v>46055</v>
      </c>
      <c r="C954" s="71">
        <v>46054</v>
      </c>
      <c r="D954" s="70" t="s">
        <v>2928</v>
      </c>
      <c r="E954" s="73" t="s">
        <v>1828</v>
      </c>
      <c r="F954" s="63" t="s">
        <v>6</v>
      </c>
      <c r="G954" s="56" t="s">
        <v>2816</v>
      </c>
      <c r="H954" s="56" t="s">
        <v>2817</v>
      </c>
    </row>
    <row r="955" spans="2:8" x14ac:dyDescent="0.3">
      <c r="B955" s="65">
        <v>46055</v>
      </c>
      <c r="C955" s="71">
        <v>46054</v>
      </c>
      <c r="D955" s="70" t="s">
        <v>2928</v>
      </c>
      <c r="E955" s="73" t="s">
        <v>1828</v>
      </c>
      <c r="F955" s="63" t="s">
        <v>6</v>
      </c>
      <c r="G955" s="56" t="s">
        <v>2818</v>
      </c>
      <c r="H955" s="56" t="s">
        <v>2819</v>
      </c>
    </row>
    <row r="956" spans="2:8" x14ac:dyDescent="0.3">
      <c r="B956" s="65">
        <v>46055</v>
      </c>
      <c r="C956" s="71">
        <v>46054</v>
      </c>
      <c r="D956" s="70" t="s">
        <v>2928</v>
      </c>
      <c r="E956" s="73" t="s">
        <v>1828</v>
      </c>
      <c r="F956" s="137" t="s">
        <v>325</v>
      </c>
      <c r="G956" s="56" t="s">
        <v>2937</v>
      </c>
      <c r="H956" s="56" t="s">
        <v>2938</v>
      </c>
    </row>
    <row r="957" spans="2:8" x14ac:dyDescent="0.3">
      <c r="B957" s="65">
        <v>46056</v>
      </c>
      <c r="C957" s="71">
        <v>46054</v>
      </c>
      <c r="D957" s="70" t="s">
        <v>2928</v>
      </c>
      <c r="E957" s="73" t="s">
        <v>1828</v>
      </c>
      <c r="F957" s="63" t="s">
        <v>6</v>
      </c>
      <c r="G957" s="56" t="s">
        <v>2899</v>
      </c>
      <c r="H957" s="56" t="s">
        <v>2900</v>
      </c>
    </row>
    <row r="958" spans="2:8" x14ac:dyDescent="0.3">
      <c r="B958" s="65">
        <v>46056</v>
      </c>
      <c r="C958" s="71">
        <v>46054</v>
      </c>
      <c r="D958" s="70" t="s">
        <v>2928</v>
      </c>
      <c r="E958" s="73" t="s">
        <v>1828</v>
      </c>
      <c r="F958" s="63" t="s">
        <v>6</v>
      </c>
      <c r="G958" s="56" t="s">
        <v>2814</v>
      </c>
      <c r="H958" s="56" t="s">
        <v>2815</v>
      </c>
    </row>
    <row r="959" spans="2:8" x14ac:dyDescent="0.3">
      <c r="B959" s="65">
        <v>46056</v>
      </c>
      <c r="C959" s="71">
        <v>46054</v>
      </c>
      <c r="D959" s="70" t="s">
        <v>2928</v>
      </c>
      <c r="E959" s="73" t="s">
        <v>1828</v>
      </c>
      <c r="F959" s="63" t="s">
        <v>6</v>
      </c>
      <c r="G959" s="56" t="s">
        <v>2816</v>
      </c>
      <c r="H959" s="56" t="s">
        <v>2817</v>
      </c>
    </row>
    <row r="960" spans="2:8" x14ac:dyDescent="0.3">
      <c r="B960" s="65">
        <v>46056</v>
      </c>
      <c r="C960" s="71">
        <v>46054</v>
      </c>
      <c r="D960" s="70" t="s">
        <v>2928</v>
      </c>
      <c r="E960" s="73" t="s">
        <v>1828</v>
      </c>
      <c r="F960" s="63" t="s">
        <v>6</v>
      </c>
      <c r="G960" s="56" t="s">
        <v>2818</v>
      </c>
      <c r="H960" s="56" t="s">
        <v>2819</v>
      </c>
    </row>
    <row r="961" spans="2:8" x14ac:dyDescent="0.3">
      <c r="B961" s="65">
        <v>46056</v>
      </c>
      <c r="C961" s="71">
        <v>46054</v>
      </c>
      <c r="D961" s="70" t="s">
        <v>2928</v>
      </c>
      <c r="E961" s="73" t="s">
        <v>1828</v>
      </c>
      <c r="F961" s="137" t="s">
        <v>325</v>
      </c>
      <c r="G961" s="56" t="s">
        <v>2939</v>
      </c>
      <c r="H961" s="56" t="s">
        <v>2940</v>
      </c>
    </row>
    <row r="962" spans="2:8" x14ac:dyDescent="0.3">
      <c r="B962" s="65">
        <v>46057</v>
      </c>
      <c r="C962" s="71">
        <v>46054</v>
      </c>
      <c r="D962" s="70" t="s">
        <v>2928</v>
      </c>
      <c r="E962" s="73" t="s">
        <v>1828</v>
      </c>
      <c r="F962" s="63" t="s">
        <v>6</v>
      </c>
      <c r="G962" s="56" t="s">
        <v>2899</v>
      </c>
      <c r="H962" s="56" t="s">
        <v>2900</v>
      </c>
    </row>
    <row r="963" spans="2:8" x14ac:dyDescent="0.3">
      <c r="B963" s="65">
        <v>46057</v>
      </c>
      <c r="C963" s="71">
        <v>46054</v>
      </c>
      <c r="D963" s="70" t="s">
        <v>2928</v>
      </c>
      <c r="E963" s="73" t="s">
        <v>1828</v>
      </c>
      <c r="F963" s="63" t="s">
        <v>6</v>
      </c>
      <c r="G963" s="56" t="s">
        <v>2814</v>
      </c>
      <c r="H963" s="56" t="s">
        <v>2815</v>
      </c>
    </row>
    <row r="964" spans="2:8" x14ac:dyDescent="0.3">
      <c r="B964" s="65">
        <v>46057</v>
      </c>
      <c r="C964" s="71">
        <v>46054</v>
      </c>
      <c r="D964" s="70" t="s">
        <v>2928</v>
      </c>
      <c r="E964" s="73" t="s">
        <v>1828</v>
      </c>
      <c r="F964" s="63" t="s">
        <v>6</v>
      </c>
      <c r="G964" s="56" t="s">
        <v>2816</v>
      </c>
      <c r="H964" s="56" t="s">
        <v>2817</v>
      </c>
    </row>
    <row r="965" spans="2:8" x14ac:dyDescent="0.3">
      <c r="B965" s="65">
        <v>46057</v>
      </c>
      <c r="C965" s="71">
        <v>46054</v>
      </c>
      <c r="D965" s="70" t="s">
        <v>2928</v>
      </c>
      <c r="E965" s="73" t="s">
        <v>1828</v>
      </c>
      <c r="F965" s="63" t="s">
        <v>6</v>
      </c>
      <c r="G965" s="56" t="s">
        <v>2818</v>
      </c>
      <c r="H965" s="56" t="s">
        <v>2819</v>
      </c>
    </row>
    <row r="966" spans="2:8" x14ac:dyDescent="0.3">
      <c r="B966" s="65">
        <v>46057</v>
      </c>
      <c r="C966" s="71">
        <v>46054</v>
      </c>
      <c r="D966" s="70" t="s">
        <v>2928</v>
      </c>
      <c r="E966" s="73" t="s">
        <v>1828</v>
      </c>
      <c r="F966" s="137" t="s">
        <v>325</v>
      </c>
      <c r="G966" s="56" t="s">
        <v>2941</v>
      </c>
      <c r="H966" s="56" t="s">
        <v>2942</v>
      </c>
    </row>
    <row r="967" spans="2:8" x14ac:dyDescent="0.3">
      <c r="B967" s="65">
        <v>46058</v>
      </c>
      <c r="C967" s="71">
        <v>46054</v>
      </c>
      <c r="D967" s="70" t="s">
        <v>2928</v>
      </c>
      <c r="E967" s="73" t="s">
        <v>1828</v>
      </c>
      <c r="F967" s="63" t="s">
        <v>6</v>
      </c>
      <c r="G967" s="56" t="s">
        <v>2899</v>
      </c>
      <c r="H967" s="56" t="s">
        <v>2900</v>
      </c>
    </row>
    <row r="968" spans="2:8" x14ac:dyDescent="0.3">
      <c r="B968" s="65">
        <v>46058</v>
      </c>
      <c r="C968" s="71">
        <v>46054</v>
      </c>
      <c r="D968" s="70" t="s">
        <v>2928</v>
      </c>
      <c r="E968" s="73" t="s">
        <v>1828</v>
      </c>
      <c r="F968" s="63" t="s">
        <v>6</v>
      </c>
      <c r="G968" s="56" t="s">
        <v>2814</v>
      </c>
      <c r="H968" s="56" t="s">
        <v>2815</v>
      </c>
    </row>
    <row r="969" spans="2:8" x14ac:dyDescent="0.3">
      <c r="B969" s="65">
        <v>46058</v>
      </c>
      <c r="C969" s="71">
        <v>46054</v>
      </c>
      <c r="D969" s="70" t="s">
        <v>2928</v>
      </c>
      <c r="E969" s="73" t="s">
        <v>1828</v>
      </c>
      <c r="F969" s="63" t="s">
        <v>6</v>
      </c>
      <c r="G969" s="56" t="s">
        <v>2816</v>
      </c>
      <c r="H969" s="56" t="s">
        <v>2817</v>
      </c>
    </row>
    <row r="970" spans="2:8" x14ac:dyDescent="0.3">
      <c r="B970" s="65">
        <v>46058</v>
      </c>
      <c r="C970" s="71">
        <v>46054</v>
      </c>
      <c r="D970" s="70" t="s">
        <v>2928</v>
      </c>
      <c r="E970" s="73" t="s">
        <v>1828</v>
      </c>
      <c r="F970" s="63" t="s">
        <v>6</v>
      </c>
      <c r="G970" s="56" t="s">
        <v>2818</v>
      </c>
      <c r="H970" s="56" t="s">
        <v>2819</v>
      </c>
    </row>
    <row r="971" spans="2:8" x14ac:dyDescent="0.3">
      <c r="B971" s="65">
        <v>46058</v>
      </c>
      <c r="C971" s="71">
        <v>46054</v>
      </c>
      <c r="D971" s="70" t="s">
        <v>2928</v>
      </c>
      <c r="E971" s="73" t="s">
        <v>1828</v>
      </c>
      <c r="F971" s="419" t="s">
        <v>4</v>
      </c>
      <c r="G971" s="56" t="s">
        <v>2943</v>
      </c>
      <c r="H971" s="56" t="s">
        <v>2944</v>
      </c>
    </row>
    <row r="972" spans="2:8" x14ac:dyDescent="0.3">
      <c r="B972" s="65">
        <v>46058</v>
      </c>
      <c r="C972" s="71">
        <v>46054</v>
      </c>
      <c r="D972" s="70" t="s">
        <v>2928</v>
      </c>
      <c r="E972" s="73" t="s">
        <v>1828</v>
      </c>
      <c r="F972" s="420"/>
      <c r="G972" s="56" t="s">
        <v>2945</v>
      </c>
      <c r="H972" s="56" t="s">
        <v>2946</v>
      </c>
    </row>
    <row r="973" spans="2:8" ht="110.25" x14ac:dyDescent="0.3">
      <c r="B973" s="65">
        <v>46058</v>
      </c>
      <c r="C973" s="166">
        <v>46054</v>
      </c>
      <c r="D973" s="167" t="s">
        <v>2928</v>
      </c>
      <c r="E973" s="73" t="s">
        <v>1828</v>
      </c>
      <c r="F973" s="421"/>
      <c r="G973" s="20" t="s">
        <v>2947</v>
      </c>
      <c r="H973" s="104" t="s">
        <v>2948</v>
      </c>
    </row>
    <row r="974" spans="2:8" x14ac:dyDescent="0.3">
      <c r="B974" s="65">
        <v>46059</v>
      </c>
      <c r="C974" s="71">
        <v>46054</v>
      </c>
      <c r="D974" s="70" t="s">
        <v>2928</v>
      </c>
      <c r="E974" s="73" t="s">
        <v>1828</v>
      </c>
      <c r="F974" s="63" t="s">
        <v>6</v>
      </c>
      <c r="G974" s="56" t="s">
        <v>2899</v>
      </c>
      <c r="H974" s="56" t="s">
        <v>2900</v>
      </c>
    </row>
    <row r="975" spans="2:8" x14ac:dyDescent="0.3">
      <c r="B975" s="65">
        <v>46059</v>
      </c>
      <c r="C975" s="71">
        <v>46054</v>
      </c>
      <c r="D975" s="70" t="s">
        <v>2928</v>
      </c>
      <c r="E975" s="73" t="s">
        <v>1828</v>
      </c>
      <c r="F975" s="63" t="s">
        <v>6</v>
      </c>
      <c r="G975" s="56" t="s">
        <v>2814</v>
      </c>
      <c r="H975" s="56" t="s">
        <v>2815</v>
      </c>
    </row>
    <row r="976" spans="2:8" x14ac:dyDescent="0.3">
      <c r="B976" s="65">
        <v>46059</v>
      </c>
      <c r="C976" s="71">
        <v>46054</v>
      </c>
      <c r="D976" s="70" t="s">
        <v>2928</v>
      </c>
      <c r="E976" s="73" t="s">
        <v>1828</v>
      </c>
      <c r="F976" s="63" t="s">
        <v>6</v>
      </c>
      <c r="G976" s="56" t="s">
        <v>2816</v>
      </c>
      <c r="H976" s="56" t="s">
        <v>2817</v>
      </c>
    </row>
    <row r="977" spans="2:8" x14ac:dyDescent="0.3">
      <c r="B977" s="65">
        <v>46059</v>
      </c>
      <c r="C977" s="71">
        <v>46054</v>
      </c>
      <c r="D977" s="70" t="s">
        <v>2928</v>
      </c>
      <c r="E977" s="73" t="s">
        <v>1828</v>
      </c>
      <c r="F977" s="63" t="s">
        <v>6</v>
      </c>
      <c r="G977" s="56" t="s">
        <v>2818</v>
      </c>
      <c r="H977" s="56" t="s">
        <v>2819</v>
      </c>
    </row>
    <row r="978" spans="2:8" x14ac:dyDescent="0.3">
      <c r="B978" s="65">
        <v>46062</v>
      </c>
      <c r="C978" s="71">
        <v>46054</v>
      </c>
      <c r="D978" s="70" t="s">
        <v>2928</v>
      </c>
      <c r="E978" s="73" t="s">
        <v>1828</v>
      </c>
      <c r="F978" s="63" t="s">
        <v>6</v>
      </c>
      <c r="G978" s="56" t="s">
        <v>2870</v>
      </c>
      <c r="H978" s="56" t="s">
        <v>2870</v>
      </c>
    </row>
    <row r="979" spans="2:8" x14ac:dyDescent="0.3">
      <c r="B979" s="65">
        <v>46062</v>
      </c>
      <c r="C979" s="71">
        <v>46054</v>
      </c>
      <c r="D979" s="70" t="s">
        <v>2928</v>
      </c>
      <c r="E979" s="73" t="s">
        <v>1828</v>
      </c>
      <c r="F979" s="63" t="s">
        <v>6</v>
      </c>
      <c r="G979" s="56" t="s">
        <v>2899</v>
      </c>
      <c r="H979" s="56" t="s">
        <v>2900</v>
      </c>
    </row>
    <row r="980" spans="2:8" x14ac:dyDescent="0.3">
      <c r="B980" s="65">
        <v>46062</v>
      </c>
      <c r="C980" s="71">
        <v>46054</v>
      </c>
      <c r="D980" s="70" t="s">
        <v>2928</v>
      </c>
      <c r="E980" s="73" t="s">
        <v>1828</v>
      </c>
      <c r="F980" s="63" t="s">
        <v>6</v>
      </c>
      <c r="G980" s="56" t="s">
        <v>2814</v>
      </c>
      <c r="H980" s="56" t="s">
        <v>2815</v>
      </c>
    </row>
    <row r="981" spans="2:8" x14ac:dyDescent="0.3">
      <c r="B981" s="65">
        <v>46062</v>
      </c>
      <c r="C981" s="71">
        <v>46054</v>
      </c>
      <c r="D981" s="70" t="s">
        <v>2928</v>
      </c>
      <c r="E981" s="73" t="s">
        <v>1828</v>
      </c>
      <c r="F981" s="63" t="s">
        <v>6</v>
      </c>
      <c r="G981" s="56" t="s">
        <v>2816</v>
      </c>
      <c r="H981" s="56" t="s">
        <v>2817</v>
      </c>
    </row>
    <row r="982" spans="2:8" x14ac:dyDescent="0.3">
      <c r="B982" s="65">
        <v>46062</v>
      </c>
      <c r="C982" s="71">
        <v>46054</v>
      </c>
      <c r="D982" s="70" t="s">
        <v>2928</v>
      </c>
      <c r="E982" s="73" t="s">
        <v>1828</v>
      </c>
      <c r="F982" s="63" t="s">
        <v>6</v>
      </c>
      <c r="G982" s="56" t="s">
        <v>2818</v>
      </c>
      <c r="H982" s="56" t="s">
        <v>2819</v>
      </c>
    </row>
    <row r="983" spans="2:8" x14ac:dyDescent="0.3">
      <c r="B983" s="65">
        <v>46063</v>
      </c>
      <c r="C983" s="71">
        <v>46054</v>
      </c>
      <c r="D983" s="70" t="s">
        <v>2928</v>
      </c>
      <c r="E983" s="73" t="s">
        <v>1828</v>
      </c>
      <c r="F983" s="63" t="s">
        <v>6</v>
      </c>
      <c r="G983" s="56" t="s">
        <v>2870</v>
      </c>
      <c r="H983" s="56" t="s">
        <v>2870</v>
      </c>
    </row>
    <row r="984" spans="2:8" x14ac:dyDescent="0.3">
      <c r="B984" s="65">
        <v>46063</v>
      </c>
      <c r="C984" s="71">
        <v>46054</v>
      </c>
      <c r="D984" s="70" t="s">
        <v>2928</v>
      </c>
      <c r="E984" s="73" t="s">
        <v>1828</v>
      </c>
      <c r="F984" s="63" t="s">
        <v>6</v>
      </c>
      <c r="G984" s="56" t="s">
        <v>2899</v>
      </c>
      <c r="H984" s="56" t="s">
        <v>2900</v>
      </c>
    </row>
    <row r="985" spans="2:8" x14ac:dyDescent="0.3">
      <c r="B985" s="65">
        <v>46063</v>
      </c>
      <c r="C985" s="71">
        <v>46054</v>
      </c>
      <c r="D985" s="70" t="s">
        <v>2928</v>
      </c>
      <c r="E985" s="73" t="s">
        <v>1828</v>
      </c>
      <c r="F985" s="63" t="s">
        <v>6</v>
      </c>
      <c r="G985" s="56" t="s">
        <v>2814</v>
      </c>
      <c r="H985" s="56" t="s">
        <v>2815</v>
      </c>
    </row>
    <row r="986" spans="2:8" x14ac:dyDescent="0.3">
      <c r="B986" s="65">
        <v>46063</v>
      </c>
      <c r="C986" s="71">
        <v>46054</v>
      </c>
      <c r="D986" s="70" t="s">
        <v>2928</v>
      </c>
      <c r="E986" s="73" t="s">
        <v>1828</v>
      </c>
      <c r="F986" s="63" t="s">
        <v>6</v>
      </c>
      <c r="G986" s="56" t="s">
        <v>2816</v>
      </c>
      <c r="H986" s="56" t="s">
        <v>2817</v>
      </c>
    </row>
    <row r="987" spans="2:8" x14ac:dyDescent="0.3">
      <c r="B987" s="65">
        <v>46063</v>
      </c>
      <c r="C987" s="71">
        <v>46054</v>
      </c>
      <c r="D987" s="70" t="s">
        <v>2928</v>
      </c>
      <c r="E987" s="73" t="s">
        <v>1828</v>
      </c>
      <c r="F987" s="63" t="s">
        <v>6</v>
      </c>
      <c r="G987" s="56" t="s">
        <v>2818</v>
      </c>
      <c r="H987" s="56" t="s">
        <v>2819</v>
      </c>
    </row>
    <row r="988" spans="2:8" x14ac:dyDescent="0.3">
      <c r="B988" s="65">
        <v>46064</v>
      </c>
      <c r="C988" s="71">
        <v>46054</v>
      </c>
      <c r="D988" s="70" t="s">
        <v>2928</v>
      </c>
      <c r="E988" s="73" t="s">
        <v>1828</v>
      </c>
      <c r="F988" s="63" t="s">
        <v>6</v>
      </c>
      <c r="G988" s="56" t="s">
        <v>2870</v>
      </c>
      <c r="H988" s="56" t="s">
        <v>2870</v>
      </c>
    </row>
    <row r="989" spans="2:8" x14ac:dyDescent="0.3">
      <c r="B989" s="65">
        <v>46064</v>
      </c>
      <c r="C989" s="71">
        <v>46054</v>
      </c>
      <c r="D989" s="70" t="s">
        <v>2928</v>
      </c>
      <c r="E989" s="73" t="s">
        <v>1828</v>
      </c>
      <c r="F989" s="63" t="s">
        <v>6</v>
      </c>
      <c r="G989" s="56" t="s">
        <v>2899</v>
      </c>
      <c r="H989" s="56" t="s">
        <v>2900</v>
      </c>
    </row>
    <row r="990" spans="2:8" x14ac:dyDescent="0.3">
      <c r="B990" s="65">
        <v>46064</v>
      </c>
      <c r="C990" s="71">
        <v>46054</v>
      </c>
      <c r="D990" s="70" t="s">
        <v>2928</v>
      </c>
      <c r="E990" s="73" t="s">
        <v>1828</v>
      </c>
      <c r="F990" s="63" t="s">
        <v>6</v>
      </c>
      <c r="G990" s="56" t="s">
        <v>2814</v>
      </c>
      <c r="H990" s="56" t="s">
        <v>2815</v>
      </c>
    </row>
    <row r="991" spans="2:8" x14ac:dyDescent="0.3">
      <c r="B991" s="65">
        <v>46064</v>
      </c>
      <c r="C991" s="71">
        <v>46054</v>
      </c>
      <c r="D991" s="70" t="s">
        <v>2928</v>
      </c>
      <c r="E991" s="73" t="s">
        <v>1828</v>
      </c>
      <c r="F991" s="63" t="s">
        <v>6</v>
      </c>
      <c r="G991" s="56" t="s">
        <v>2816</v>
      </c>
      <c r="H991" s="56" t="s">
        <v>2817</v>
      </c>
    </row>
    <row r="992" spans="2:8" x14ac:dyDescent="0.3">
      <c r="B992" s="65">
        <v>46064</v>
      </c>
      <c r="C992" s="71">
        <v>46054</v>
      </c>
      <c r="D992" s="70" t="s">
        <v>2928</v>
      </c>
      <c r="E992" s="73" t="s">
        <v>1828</v>
      </c>
      <c r="F992" s="63" t="s">
        <v>6</v>
      </c>
      <c r="G992" s="56" t="s">
        <v>2818</v>
      </c>
      <c r="H992" s="56" t="s">
        <v>2819</v>
      </c>
    </row>
    <row r="993" spans="2:8" x14ac:dyDescent="0.3">
      <c r="B993" s="65">
        <v>46065</v>
      </c>
      <c r="C993" s="71">
        <v>46054</v>
      </c>
      <c r="D993" s="70" t="s">
        <v>2928</v>
      </c>
      <c r="E993" s="73" t="s">
        <v>1828</v>
      </c>
      <c r="F993" s="63" t="s">
        <v>6</v>
      </c>
      <c r="G993" s="56" t="s">
        <v>2870</v>
      </c>
      <c r="H993" s="56" t="s">
        <v>2870</v>
      </c>
    </row>
    <row r="994" spans="2:8" x14ac:dyDescent="0.3">
      <c r="B994" s="65">
        <v>46065</v>
      </c>
      <c r="C994" s="71">
        <v>46054</v>
      </c>
      <c r="D994" s="70" t="s">
        <v>2928</v>
      </c>
      <c r="E994" s="73" t="s">
        <v>1828</v>
      </c>
      <c r="F994" s="63" t="s">
        <v>6</v>
      </c>
      <c r="G994" s="56" t="s">
        <v>2899</v>
      </c>
      <c r="H994" s="56" t="s">
        <v>2900</v>
      </c>
    </row>
    <row r="995" spans="2:8" x14ac:dyDescent="0.3">
      <c r="B995" s="65">
        <v>46065</v>
      </c>
      <c r="C995" s="71">
        <v>46054</v>
      </c>
      <c r="D995" s="70" t="s">
        <v>2928</v>
      </c>
      <c r="E995" s="73" t="s">
        <v>1828</v>
      </c>
      <c r="F995" s="63" t="s">
        <v>6</v>
      </c>
      <c r="G995" s="56" t="s">
        <v>2814</v>
      </c>
      <c r="H995" s="56" t="s">
        <v>2815</v>
      </c>
    </row>
    <row r="996" spans="2:8" x14ac:dyDescent="0.3">
      <c r="B996" s="65">
        <v>46065</v>
      </c>
      <c r="C996" s="71">
        <v>46054</v>
      </c>
      <c r="D996" s="70" t="s">
        <v>2928</v>
      </c>
      <c r="E996" s="73" t="s">
        <v>1828</v>
      </c>
      <c r="F996" s="63" t="s">
        <v>6</v>
      </c>
      <c r="G996" s="56" t="s">
        <v>2816</v>
      </c>
      <c r="H996" s="56" t="s">
        <v>2817</v>
      </c>
    </row>
    <row r="997" spans="2:8" x14ac:dyDescent="0.3">
      <c r="B997" s="65">
        <v>46065</v>
      </c>
      <c r="C997" s="71">
        <v>46054</v>
      </c>
      <c r="D997" s="70" t="s">
        <v>2928</v>
      </c>
      <c r="E997" s="73" t="s">
        <v>1828</v>
      </c>
      <c r="F997" s="63" t="s">
        <v>6</v>
      </c>
      <c r="G997" s="56" t="s">
        <v>2818</v>
      </c>
      <c r="H997" s="56" t="s">
        <v>2819</v>
      </c>
    </row>
    <row r="998" spans="2:8" x14ac:dyDescent="0.3">
      <c r="B998" s="65">
        <v>46066</v>
      </c>
      <c r="C998" s="71">
        <v>46054</v>
      </c>
      <c r="D998" s="70" t="s">
        <v>2928</v>
      </c>
      <c r="E998" s="73" t="s">
        <v>1828</v>
      </c>
      <c r="F998" s="63" t="s">
        <v>6</v>
      </c>
      <c r="G998" s="56" t="s">
        <v>2870</v>
      </c>
      <c r="H998" s="56" t="s">
        <v>2870</v>
      </c>
    </row>
    <row r="999" spans="2:8" x14ac:dyDescent="0.3">
      <c r="B999" s="65">
        <v>46066</v>
      </c>
      <c r="C999" s="71">
        <v>46054</v>
      </c>
      <c r="D999" s="70" t="s">
        <v>2928</v>
      </c>
      <c r="E999" s="73" t="s">
        <v>1828</v>
      </c>
      <c r="F999" s="63" t="s">
        <v>6</v>
      </c>
      <c r="G999" s="56" t="s">
        <v>2899</v>
      </c>
      <c r="H999" s="56" t="s">
        <v>2900</v>
      </c>
    </row>
    <row r="1000" spans="2:8" x14ac:dyDescent="0.3">
      <c r="B1000" s="65">
        <v>46066</v>
      </c>
      <c r="C1000" s="71">
        <v>46054</v>
      </c>
      <c r="D1000" s="70" t="s">
        <v>2928</v>
      </c>
      <c r="E1000" s="73" t="s">
        <v>1828</v>
      </c>
      <c r="F1000" s="63" t="s">
        <v>6</v>
      </c>
      <c r="G1000" s="56" t="s">
        <v>2814</v>
      </c>
      <c r="H1000" s="56" t="s">
        <v>2815</v>
      </c>
    </row>
    <row r="1001" spans="2:8" x14ac:dyDescent="0.3">
      <c r="B1001" s="65">
        <v>46066</v>
      </c>
      <c r="C1001" s="71">
        <v>46054</v>
      </c>
      <c r="D1001" s="70" t="s">
        <v>2928</v>
      </c>
      <c r="E1001" s="73" t="s">
        <v>1828</v>
      </c>
      <c r="F1001" s="63" t="s">
        <v>6</v>
      </c>
      <c r="G1001" s="56" t="s">
        <v>2816</v>
      </c>
      <c r="H1001" s="56" t="s">
        <v>2817</v>
      </c>
    </row>
    <row r="1002" spans="2:8" x14ac:dyDescent="0.3">
      <c r="B1002" s="65">
        <v>46066</v>
      </c>
      <c r="C1002" s="71">
        <v>46054</v>
      </c>
      <c r="D1002" s="70" t="s">
        <v>2928</v>
      </c>
      <c r="E1002" s="73" t="s">
        <v>1828</v>
      </c>
      <c r="F1002" s="63" t="s">
        <v>6</v>
      </c>
      <c r="G1002" s="56" t="s">
        <v>2818</v>
      </c>
      <c r="H1002" s="56" t="s">
        <v>2819</v>
      </c>
    </row>
    <row r="1003" spans="2:8" x14ac:dyDescent="0.3">
      <c r="B1003" s="65">
        <v>46069</v>
      </c>
      <c r="C1003" s="71">
        <v>46054</v>
      </c>
      <c r="D1003" s="70" t="s">
        <v>2928</v>
      </c>
      <c r="E1003" s="73" t="s">
        <v>1828</v>
      </c>
      <c r="F1003" s="63" t="s">
        <v>6</v>
      </c>
      <c r="G1003" s="56" t="s">
        <v>2870</v>
      </c>
      <c r="H1003" s="56" t="s">
        <v>2870</v>
      </c>
    </row>
    <row r="1004" spans="2:8" x14ac:dyDescent="0.3">
      <c r="B1004" s="65">
        <v>46069</v>
      </c>
      <c r="C1004" s="71">
        <v>46054</v>
      </c>
      <c r="D1004" s="70" t="s">
        <v>2928</v>
      </c>
      <c r="E1004" s="73" t="s">
        <v>1828</v>
      </c>
      <c r="F1004" s="63" t="s">
        <v>6</v>
      </c>
      <c r="G1004" s="56" t="s">
        <v>2899</v>
      </c>
      <c r="H1004" s="56" t="s">
        <v>2900</v>
      </c>
    </row>
    <row r="1005" spans="2:8" x14ac:dyDescent="0.3">
      <c r="B1005" s="65">
        <v>46069</v>
      </c>
      <c r="C1005" s="71">
        <v>46054</v>
      </c>
      <c r="D1005" s="70" t="s">
        <v>2928</v>
      </c>
      <c r="E1005" s="73" t="s">
        <v>1828</v>
      </c>
      <c r="F1005" s="63" t="s">
        <v>6</v>
      </c>
      <c r="G1005" s="56" t="s">
        <v>2814</v>
      </c>
      <c r="H1005" s="56" t="s">
        <v>2815</v>
      </c>
    </row>
    <row r="1006" spans="2:8" x14ac:dyDescent="0.3">
      <c r="B1006" s="65">
        <v>46069</v>
      </c>
      <c r="C1006" s="71">
        <v>46054</v>
      </c>
      <c r="D1006" s="70" t="s">
        <v>2928</v>
      </c>
      <c r="E1006" s="73" t="s">
        <v>1828</v>
      </c>
      <c r="F1006" s="63" t="s">
        <v>6</v>
      </c>
      <c r="G1006" s="56" t="s">
        <v>2816</v>
      </c>
      <c r="H1006" s="56" t="s">
        <v>2817</v>
      </c>
    </row>
    <row r="1007" spans="2:8" x14ac:dyDescent="0.3">
      <c r="B1007" s="65">
        <v>46069</v>
      </c>
      <c r="C1007" s="71">
        <v>46054</v>
      </c>
      <c r="D1007" s="70" t="s">
        <v>2928</v>
      </c>
      <c r="E1007" s="73" t="s">
        <v>1828</v>
      </c>
      <c r="F1007" s="63" t="s">
        <v>6</v>
      </c>
      <c r="G1007" s="56" t="s">
        <v>2818</v>
      </c>
      <c r="H1007" s="56" t="s">
        <v>2819</v>
      </c>
    </row>
    <row r="1008" spans="2:8" x14ac:dyDescent="0.3">
      <c r="B1008" s="65">
        <v>46070</v>
      </c>
      <c r="C1008" s="71">
        <v>46054</v>
      </c>
      <c r="D1008" s="70" t="s">
        <v>2928</v>
      </c>
      <c r="E1008" s="73" t="s">
        <v>1828</v>
      </c>
      <c r="F1008" s="63" t="s">
        <v>6</v>
      </c>
      <c r="G1008" s="56" t="s">
        <v>2870</v>
      </c>
      <c r="H1008" s="56" t="s">
        <v>2870</v>
      </c>
    </row>
    <row r="1009" spans="2:8" x14ac:dyDescent="0.3">
      <c r="B1009" s="65">
        <v>46070</v>
      </c>
      <c r="C1009" s="71">
        <v>46054</v>
      </c>
      <c r="D1009" s="70" t="s">
        <v>2928</v>
      </c>
      <c r="E1009" s="73" t="s">
        <v>1828</v>
      </c>
      <c r="F1009" s="63" t="s">
        <v>6</v>
      </c>
      <c r="G1009" s="56" t="s">
        <v>2899</v>
      </c>
      <c r="H1009" s="56" t="s">
        <v>2900</v>
      </c>
    </row>
    <row r="1010" spans="2:8" x14ac:dyDescent="0.3">
      <c r="B1010" s="65">
        <v>46070</v>
      </c>
      <c r="C1010" s="71">
        <v>46054</v>
      </c>
      <c r="D1010" s="70" t="s">
        <v>2928</v>
      </c>
      <c r="E1010" s="73" t="s">
        <v>1828</v>
      </c>
      <c r="F1010" s="63" t="s">
        <v>6</v>
      </c>
      <c r="G1010" s="56" t="s">
        <v>2814</v>
      </c>
      <c r="H1010" s="56" t="s">
        <v>2815</v>
      </c>
    </row>
    <row r="1011" spans="2:8" x14ac:dyDescent="0.3">
      <c r="B1011" s="65">
        <v>46070</v>
      </c>
      <c r="C1011" s="71">
        <v>46054</v>
      </c>
      <c r="D1011" s="70" t="s">
        <v>2928</v>
      </c>
      <c r="E1011" s="73" t="s">
        <v>1828</v>
      </c>
      <c r="F1011" s="63" t="s">
        <v>6</v>
      </c>
      <c r="G1011" s="56" t="s">
        <v>2816</v>
      </c>
      <c r="H1011" s="56" t="s">
        <v>2817</v>
      </c>
    </row>
    <row r="1012" spans="2:8" x14ac:dyDescent="0.3">
      <c r="B1012" s="65">
        <v>46070</v>
      </c>
      <c r="C1012" s="71">
        <v>46054</v>
      </c>
      <c r="D1012" s="70" t="s">
        <v>2928</v>
      </c>
      <c r="E1012" s="73" t="s">
        <v>1828</v>
      </c>
      <c r="F1012" s="63" t="s">
        <v>6</v>
      </c>
      <c r="G1012" s="56" t="s">
        <v>2818</v>
      </c>
      <c r="H1012" s="56" t="s">
        <v>2819</v>
      </c>
    </row>
    <row r="1013" spans="2:8" x14ac:dyDescent="0.3">
      <c r="B1013" s="65">
        <v>46071</v>
      </c>
      <c r="C1013" s="71">
        <v>46054</v>
      </c>
      <c r="D1013" s="70" t="s">
        <v>2928</v>
      </c>
      <c r="E1013" s="73" t="s">
        <v>1828</v>
      </c>
      <c r="F1013" s="63" t="s">
        <v>6</v>
      </c>
      <c r="G1013" s="56" t="s">
        <v>2870</v>
      </c>
      <c r="H1013" s="56" t="s">
        <v>2870</v>
      </c>
    </row>
    <row r="1014" spans="2:8" x14ac:dyDescent="0.3">
      <c r="B1014" s="65">
        <v>46071</v>
      </c>
      <c r="C1014" s="71">
        <v>46054</v>
      </c>
      <c r="D1014" s="70" t="s">
        <v>2928</v>
      </c>
      <c r="E1014" s="73" t="s">
        <v>1828</v>
      </c>
      <c r="F1014" s="63" t="s">
        <v>6</v>
      </c>
      <c r="G1014" s="56" t="s">
        <v>2899</v>
      </c>
      <c r="H1014" s="56" t="s">
        <v>2900</v>
      </c>
    </row>
    <row r="1015" spans="2:8" x14ac:dyDescent="0.3">
      <c r="B1015" s="65">
        <v>46071</v>
      </c>
      <c r="C1015" s="71">
        <v>46054</v>
      </c>
      <c r="D1015" s="70" t="s">
        <v>2928</v>
      </c>
      <c r="E1015" s="73" t="s">
        <v>1828</v>
      </c>
      <c r="F1015" s="63" t="s">
        <v>6</v>
      </c>
      <c r="G1015" s="56" t="s">
        <v>2814</v>
      </c>
      <c r="H1015" s="56" t="s">
        <v>2815</v>
      </c>
    </row>
    <row r="1016" spans="2:8" x14ac:dyDescent="0.3">
      <c r="B1016" s="65">
        <v>46071</v>
      </c>
      <c r="C1016" s="71">
        <v>46054</v>
      </c>
      <c r="D1016" s="70" t="s">
        <v>2928</v>
      </c>
      <c r="E1016" s="73" t="s">
        <v>1828</v>
      </c>
      <c r="F1016" s="63" t="s">
        <v>6</v>
      </c>
      <c r="G1016" s="56" t="s">
        <v>2816</v>
      </c>
      <c r="H1016" s="56" t="s">
        <v>2817</v>
      </c>
    </row>
    <row r="1017" spans="2:8" x14ac:dyDescent="0.3">
      <c r="B1017" s="65">
        <v>46071</v>
      </c>
      <c r="C1017" s="71">
        <v>46054</v>
      </c>
      <c r="D1017" s="70" t="s">
        <v>2928</v>
      </c>
      <c r="E1017" s="73" t="s">
        <v>1828</v>
      </c>
      <c r="F1017" s="63" t="s">
        <v>6</v>
      </c>
      <c r="G1017" s="56" t="s">
        <v>2818</v>
      </c>
      <c r="H1017" s="56" t="s">
        <v>2819</v>
      </c>
    </row>
    <row r="1018" spans="2:8" x14ac:dyDescent="0.3">
      <c r="B1018" s="65">
        <v>46072</v>
      </c>
      <c r="C1018" s="71">
        <v>46054</v>
      </c>
      <c r="D1018" s="70" t="s">
        <v>2928</v>
      </c>
      <c r="E1018" s="73" t="s">
        <v>1828</v>
      </c>
      <c r="F1018" s="63" t="s">
        <v>6</v>
      </c>
      <c r="G1018" s="56" t="s">
        <v>2870</v>
      </c>
      <c r="H1018" s="56" t="s">
        <v>2870</v>
      </c>
    </row>
    <row r="1019" spans="2:8" x14ac:dyDescent="0.3">
      <c r="B1019" s="65">
        <v>46072</v>
      </c>
      <c r="C1019" s="71">
        <v>46054</v>
      </c>
      <c r="D1019" s="70" t="s">
        <v>2928</v>
      </c>
      <c r="E1019" s="73" t="s">
        <v>1828</v>
      </c>
      <c r="F1019" s="63" t="s">
        <v>6</v>
      </c>
      <c r="G1019" s="56" t="s">
        <v>2899</v>
      </c>
      <c r="H1019" s="56" t="s">
        <v>2900</v>
      </c>
    </row>
    <row r="1020" spans="2:8" x14ac:dyDescent="0.3">
      <c r="B1020" s="65">
        <v>46072</v>
      </c>
      <c r="C1020" s="71">
        <v>46054</v>
      </c>
      <c r="D1020" s="70" t="s">
        <v>2928</v>
      </c>
      <c r="E1020" s="73" t="s">
        <v>1828</v>
      </c>
      <c r="F1020" s="63" t="s">
        <v>6</v>
      </c>
      <c r="G1020" s="56" t="s">
        <v>2814</v>
      </c>
      <c r="H1020" s="56" t="s">
        <v>2815</v>
      </c>
    </row>
    <row r="1021" spans="2:8" x14ac:dyDescent="0.3">
      <c r="B1021" s="65">
        <v>46072</v>
      </c>
      <c r="C1021" s="71">
        <v>46054</v>
      </c>
      <c r="D1021" s="70" t="s">
        <v>2928</v>
      </c>
      <c r="E1021" s="73" t="s">
        <v>1828</v>
      </c>
      <c r="F1021" s="63" t="s">
        <v>6</v>
      </c>
      <c r="G1021" s="56" t="s">
        <v>2816</v>
      </c>
      <c r="H1021" s="56" t="s">
        <v>2817</v>
      </c>
    </row>
    <row r="1022" spans="2:8" x14ac:dyDescent="0.3">
      <c r="B1022" s="65">
        <v>46072</v>
      </c>
      <c r="C1022" s="71">
        <v>46054</v>
      </c>
      <c r="D1022" s="70" t="s">
        <v>2928</v>
      </c>
      <c r="E1022" s="73" t="s">
        <v>1828</v>
      </c>
      <c r="F1022" s="63" t="s">
        <v>6</v>
      </c>
      <c r="G1022" s="56" t="s">
        <v>2818</v>
      </c>
      <c r="H1022" s="56" t="s">
        <v>2819</v>
      </c>
    </row>
    <row r="1023" spans="2:8" x14ac:dyDescent="0.3">
      <c r="B1023" s="65">
        <v>46073</v>
      </c>
      <c r="C1023" s="71">
        <v>46054</v>
      </c>
      <c r="D1023" s="70" t="s">
        <v>2928</v>
      </c>
      <c r="E1023" s="73" t="s">
        <v>1828</v>
      </c>
      <c r="F1023" s="63" t="s">
        <v>6</v>
      </c>
      <c r="G1023" s="56" t="s">
        <v>2870</v>
      </c>
      <c r="H1023" s="56" t="s">
        <v>2870</v>
      </c>
    </row>
    <row r="1024" spans="2:8" x14ac:dyDescent="0.3">
      <c r="B1024" s="65">
        <v>46073</v>
      </c>
      <c r="C1024" s="71">
        <v>46054</v>
      </c>
      <c r="D1024" s="70" t="s">
        <v>2928</v>
      </c>
      <c r="E1024" s="73" t="s">
        <v>1828</v>
      </c>
      <c r="F1024" s="63" t="s">
        <v>6</v>
      </c>
      <c r="G1024" s="56" t="s">
        <v>2899</v>
      </c>
      <c r="H1024" s="56" t="s">
        <v>2900</v>
      </c>
    </row>
    <row r="1025" spans="2:8" x14ac:dyDescent="0.3">
      <c r="B1025" s="65">
        <v>46073</v>
      </c>
      <c r="C1025" s="71">
        <v>46054</v>
      </c>
      <c r="D1025" s="70" t="s">
        <v>2928</v>
      </c>
      <c r="E1025" s="73" t="s">
        <v>1828</v>
      </c>
      <c r="F1025" s="63" t="s">
        <v>6</v>
      </c>
      <c r="G1025" s="56" t="s">
        <v>2814</v>
      </c>
      <c r="H1025" s="56" t="s">
        <v>2815</v>
      </c>
    </row>
    <row r="1026" spans="2:8" x14ac:dyDescent="0.3">
      <c r="B1026" s="65">
        <v>46073</v>
      </c>
      <c r="C1026" s="71">
        <v>46054</v>
      </c>
      <c r="D1026" s="70" t="s">
        <v>2928</v>
      </c>
      <c r="E1026" s="73" t="s">
        <v>1828</v>
      </c>
      <c r="F1026" s="63" t="s">
        <v>6</v>
      </c>
      <c r="G1026" s="56" t="s">
        <v>2816</v>
      </c>
      <c r="H1026" s="56" t="s">
        <v>2817</v>
      </c>
    </row>
    <row r="1027" spans="2:8" x14ac:dyDescent="0.3">
      <c r="B1027" s="65">
        <v>46073</v>
      </c>
      <c r="C1027" s="71">
        <v>46054</v>
      </c>
      <c r="D1027" s="70" t="s">
        <v>2928</v>
      </c>
      <c r="E1027" s="73" t="s">
        <v>1828</v>
      </c>
      <c r="F1027" s="63" t="s">
        <v>6</v>
      </c>
      <c r="G1027" s="56" t="s">
        <v>2818</v>
      </c>
      <c r="H1027" s="56" t="s">
        <v>2819</v>
      </c>
    </row>
    <row r="1028" spans="2:8" x14ac:dyDescent="0.3">
      <c r="B1028" s="65">
        <v>46076</v>
      </c>
      <c r="C1028" s="71">
        <v>46054</v>
      </c>
      <c r="D1028" s="70" t="s">
        <v>2928</v>
      </c>
      <c r="E1028" s="73" t="s">
        <v>1828</v>
      </c>
      <c r="F1028" s="63" t="s">
        <v>6</v>
      </c>
      <c r="G1028" s="56" t="s">
        <v>2870</v>
      </c>
      <c r="H1028" s="56" t="s">
        <v>2870</v>
      </c>
    </row>
    <row r="1029" spans="2:8" x14ac:dyDescent="0.3">
      <c r="B1029" s="65">
        <v>46076</v>
      </c>
      <c r="C1029" s="71">
        <v>46054</v>
      </c>
      <c r="D1029" s="70" t="s">
        <v>2928</v>
      </c>
      <c r="E1029" s="73" t="s">
        <v>1828</v>
      </c>
      <c r="F1029" s="63" t="s">
        <v>6</v>
      </c>
      <c r="G1029" s="56" t="s">
        <v>2899</v>
      </c>
      <c r="H1029" s="56" t="s">
        <v>2900</v>
      </c>
    </row>
    <row r="1030" spans="2:8" x14ac:dyDescent="0.3">
      <c r="B1030" s="65">
        <v>46076</v>
      </c>
      <c r="C1030" s="71">
        <v>46054</v>
      </c>
      <c r="D1030" s="70" t="s">
        <v>2928</v>
      </c>
      <c r="E1030" s="73" t="s">
        <v>1828</v>
      </c>
      <c r="F1030" s="63" t="s">
        <v>6</v>
      </c>
      <c r="G1030" s="56" t="s">
        <v>2949</v>
      </c>
      <c r="H1030" s="56" t="s">
        <v>2950</v>
      </c>
    </row>
    <row r="1031" spans="2:8" x14ac:dyDescent="0.3">
      <c r="B1031" s="65">
        <v>46076</v>
      </c>
      <c r="C1031" s="71">
        <v>46054</v>
      </c>
      <c r="D1031" s="70" t="s">
        <v>2928</v>
      </c>
      <c r="E1031" s="73" t="s">
        <v>1828</v>
      </c>
      <c r="F1031" s="63" t="s">
        <v>6</v>
      </c>
      <c r="G1031" s="56" t="s">
        <v>2814</v>
      </c>
      <c r="H1031" s="56" t="s">
        <v>2815</v>
      </c>
    </row>
    <row r="1032" spans="2:8" x14ac:dyDescent="0.3">
      <c r="B1032" s="65">
        <v>46076</v>
      </c>
      <c r="C1032" s="71">
        <v>46054</v>
      </c>
      <c r="D1032" s="70" t="s">
        <v>2928</v>
      </c>
      <c r="E1032" s="73" t="s">
        <v>1828</v>
      </c>
      <c r="F1032" s="63" t="s">
        <v>6</v>
      </c>
      <c r="G1032" s="56" t="s">
        <v>2816</v>
      </c>
      <c r="H1032" s="56" t="s">
        <v>2817</v>
      </c>
    </row>
    <row r="1033" spans="2:8" x14ac:dyDescent="0.3">
      <c r="B1033" s="65">
        <v>46076</v>
      </c>
      <c r="C1033" s="71">
        <v>46054</v>
      </c>
      <c r="D1033" s="70" t="s">
        <v>2928</v>
      </c>
      <c r="E1033" s="73" t="s">
        <v>1828</v>
      </c>
      <c r="F1033" s="63" t="s">
        <v>6</v>
      </c>
      <c r="G1033" s="56" t="s">
        <v>2818</v>
      </c>
      <c r="H1033" s="56" t="s">
        <v>2819</v>
      </c>
    </row>
    <row r="1034" spans="2:8" x14ac:dyDescent="0.3">
      <c r="B1034" s="65">
        <v>46076</v>
      </c>
      <c r="C1034" s="71">
        <v>46054</v>
      </c>
      <c r="D1034" s="70" t="s">
        <v>2928</v>
      </c>
      <c r="E1034" s="73" t="s">
        <v>1828</v>
      </c>
      <c r="F1034" s="186" t="s">
        <v>325</v>
      </c>
      <c r="G1034" s="56" t="s">
        <v>2951</v>
      </c>
      <c r="H1034" s="56" t="s">
        <v>2952</v>
      </c>
    </row>
    <row r="1035" spans="2:8" x14ac:dyDescent="0.3">
      <c r="B1035" s="65">
        <v>46077</v>
      </c>
      <c r="C1035" s="71">
        <v>46054</v>
      </c>
      <c r="D1035" s="70" t="s">
        <v>2928</v>
      </c>
      <c r="E1035" s="73" t="s">
        <v>1828</v>
      </c>
      <c r="F1035" s="63" t="s">
        <v>6</v>
      </c>
      <c r="G1035" s="56" t="s">
        <v>2870</v>
      </c>
      <c r="H1035" s="56" t="s">
        <v>2870</v>
      </c>
    </row>
    <row r="1036" spans="2:8" x14ac:dyDescent="0.3">
      <c r="B1036" s="65">
        <v>46077</v>
      </c>
      <c r="C1036" s="71">
        <v>46054</v>
      </c>
      <c r="D1036" s="70" t="s">
        <v>2928</v>
      </c>
      <c r="E1036" s="73" t="s">
        <v>1828</v>
      </c>
      <c r="F1036" s="63" t="s">
        <v>6</v>
      </c>
      <c r="G1036" s="56" t="s">
        <v>2899</v>
      </c>
      <c r="H1036" s="56" t="s">
        <v>2900</v>
      </c>
    </row>
    <row r="1037" spans="2:8" x14ac:dyDescent="0.3">
      <c r="B1037" s="65">
        <v>46077</v>
      </c>
      <c r="C1037" s="71">
        <v>46054</v>
      </c>
      <c r="D1037" s="70" t="s">
        <v>2928</v>
      </c>
      <c r="E1037" s="73" t="s">
        <v>1828</v>
      </c>
      <c r="F1037" s="63" t="s">
        <v>6</v>
      </c>
      <c r="G1037" s="56" t="s">
        <v>2949</v>
      </c>
      <c r="H1037" s="56" t="s">
        <v>2950</v>
      </c>
    </row>
    <row r="1038" spans="2:8" x14ac:dyDescent="0.3">
      <c r="B1038" s="65">
        <v>46077</v>
      </c>
      <c r="C1038" s="71">
        <v>46054</v>
      </c>
      <c r="D1038" s="70" t="s">
        <v>2928</v>
      </c>
      <c r="E1038" s="73" t="s">
        <v>1828</v>
      </c>
      <c r="F1038" s="63" t="s">
        <v>6</v>
      </c>
      <c r="G1038" s="56" t="s">
        <v>2814</v>
      </c>
      <c r="H1038" s="56" t="s">
        <v>2815</v>
      </c>
    </row>
    <row r="1039" spans="2:8" x14ac:dyDescent="0.3">
      <c r="B1039" s="65">
        <v>46077</v>
      </c>
      <c r="C1039" s="71">
        <v>46054</v>
      </c>
      <c r="D1039" s="70" t="s">
        <v>2928</v>
      </c>
      <c r="E1039" s="73" t="s">
        <v>1828</v>
      </c>
      <c r="F1039" s="63" t="s">
        <v>6</v>
      </c>
      <c r="G1039" s="56" t="s">
        <v>2816</v>
      </c>
      <c r="H1039" s="56" t="s">
        <v>2817</v>
      </c>
    </row>
    <row r="1040" spans="2:8" x14ac:dyDescent="0.3">
      <c r="B1040" s="65">
        <v>46077</v>
      </c>
      <c r="C1040" s="71">
        <v>46054</v>
      </c>
      <c r="D1040" s="70" t="s">
        <v>2928</v>
      </c>
      <c r="E1040" s="73" t="s">
        <v>1828</v>
      </c>
      <c r="F1040" s="63" t="s">
        <v>6</v>
      </c>
      <c r="G1040" s="56" t="s">
        <v>2818</v>
      </c>
      <c r="H1040" s="56" t="s">
        <v>2819</v>
      </c>
    </row>
    <row r="1041" spans="2:8" x14ac:dyDescent="0.3">
      <c r="B1041" s="65">
        <v>46078</v>
      </c>
      <c r="C1041" s="71">
        <v>46054</v>
      </c>
      <c r="D1041" s="70" t="s">
        <v>2928</v>
      </c>
      <c r="E1041" s="73" t="s">
        <v>1828</v>
      </c>
      <c r="F1041" s="63" t="s">
        <v>6</v>
      </c>
      <c r="G1041" s="56" t="s">
        <v>2870</v>
      </c>
      <c r="H1041" s="56" t="s">
        <v>2870</v>
      </c>
    </row>
    <row r="1042" spans="2:8" x14ac:dyDescent="0.3">
      <c r="B1042" s="65">
        <v>46078</v>
      </c>
      <c r="C1042" s="71">
        <v>46054</v>
      </c>
      <c r="D1042" s="70" t="s">
        <v>2928</v>
      </c>
      <c r="E1042" s="73" t="s">
        <v>1828</v>
      </c>
      <c r="F1042" s="63" t="s">
        <v>6</v>
      </c>
      <c r="G1042" s="56" t="s">
        <v>2949</v>
      </c>
      <c r="H1042" s="56" t="s">
        <v>2950</v>
      </c>
    </row>
    <row r="1043" spans="2:8" x14ac:dyDescent="0.3">
      <c r="B1043" s="65">
        <v>46078</v>
      </c>
      <c r="C1043" s="71">
        <v>46054</v>
      </c>
      <c r="D1043" s="70" t="s">
        <v>2928</v>
      </c>
      <c r="E1043" s="73" t="s">
        <v>1828</v>
      </c>
      <c r="F1043" s="63" t="s">
        <v>6</v>
      </c>
      <c r="G1043" s="56" t="s">
        <v>2899</v>
      </c>
      <c r="H1043" s="56" t="s">
        <v>2900</v>
      </c>
    </row>
    <row r="1044" spans="2:8" x14ac:dyDescent="0.3">
      <c r="B1044" s="65">
        <v>46078</v>
      </c>
      <c r="C1044" s="71">
        <v>46054</v>
      </c>
      <c r="D1044" s="70" t="s">
        <v>2928</v>
      </c>
      <c r="E1044" s="73" t="s">
        <v>1828</v>
      </c>
      <c r="F1044" s="63" t="s">
        <v>6</v>
      </c>
      <c r="G1044" s="56" t="s">
        <v>2814</v>
      </c>
      <c r="H1044" s="56" t="s">
        <v>2815</v>
      </c>
    </row>
    <row r="1045" spans="2:8" x14ac:dyDescent="0.3">
      <c r="B1045" s="65">
        <v>46078</v>
      </c>
      <c r="C1045" s="71">
        <v>46054</v>
      </c>
      <c r="D1045" s="70" t="s">
        <v>2928</v>
      </c>
      <c r="E1045" s="73" t="s">
        <v>1828</v>
      </c>
      <c r="F1045" s="63" t="s">
        <v>6</v>
      </c>
      <c r="G1045" s="56" t="s">
        <v>2816</v>
      </c>
      <c r="H1045" s="56" t="s">
        <v>2817</v>
      </c>
    </row>
    <row r="1046" spans="2:8" x14ac:dyDescent="0.3">
      <c r="B1046" s="65">
        <v>46078</v>
      </c>
      <c r="C1046" s="71">
        <v>46054</v>
      </c>
      <c r="D1046" s="70" t="s">
        <v>2928</v>
      </c>
      <c r="E1046" s="73" t="s">
        <v>1828</v>
      </c>
      <c r="F1046" s="63" t="s">
        <v>6</v>
      </c>
      <c r="G1046" s="56" t="s">
        <v>2818</v>
      </c>
      <c r="H1046" s="56" t="s">
        <v>2819</v>
      </c>
    </row>
    <row r="1047" spans="2:8" x14ac:dyDescent="0.3">
      <c r="B1047" s="65">
        <v>46079</v>
      </c>
      <c r="C1047" s="71">
        <v>46054</v>
      </c>
      <c r="D1047" s="70" t="s">
        <v>2928</v>
      </c>
      <c r="E1047" s="73" t="s">
        <v>1828</v>
      </c>
      <c r="F1047" s="63" t="s">
        <v>6</v>
      </c>
      <c r="G1047" s="56" t="s">
        <v>2870</v>
      </c>
      <c r="H1047" s="56" t="s">
        <v>2870</v>
      </c>
    </row>
    <row r="1048" spans="2:8" x14ac:dyDescent="0.3">
      <c r="B1048" s="65">
        <v>46079</v>
      </c>
      <c r="C1048" s="71">
        <v>46054</v>
      </c>
      <c r="D1048" s="70" t="s">
        <v>2928</v>
      </c>
      <c r="E1048" s="73" t="s">
        <v>1828</v>
      </c>
      <c r="F1048" s="63" t="s">
        <v>6</v>
      </c>
      <c r="G1048" s="56" t="s">
        <v>2949</v>
      </c>
      <c r="H1048" s="56" t="s">
        <v>2950</v>
      </c>
    </row>
    <row r="1049" spans="2:8" x14ac:dyDescent="0.3">
      <c r="B1049" s="65">
        <v>46079</v>
      </c>
      <c r="C1049" s="71">
        <v>46054</v>
      </c>
      <c r="D1049" s="70" t="s">
        <v>2928</v>
      </c>
      <c r="E1049" s="73" t="s">
        <v>1828</v>
      </c>
      <c r="F1049" s="63" t="s">
        <v>6</v>
      </c>
      <c r="G1049" s="56" t="s">
        <v>2899</v>
      </c>
      <c r="H1049" s="56" t="s">
        <v>2900</v>
      </c>
    </row>
    <row r="1050" spans="2:8" x14ac:dyDescent="0.3">
      <c r="B1050" s="65">
        <v>46079</v>
      </c>
      <c r="C1050" s="71">
        <v>46054</v>
      </c>
      <c r="D1050" s="70" t="s">
        <v>2928</v>
      </c>
      <c r="E1050" s="73" t="s">
        <v>1828</v>
      </c>
      <c r="F1050" s="63" t="s">
        <v>6</v>
      </c>
      <c r="G1050" s="56" t="s">
        <v>2814</v>
      </c>
      <c r="H1050" s="56" t="s">
        <v>2815</v>
      </c>
    </row>
    <row r="1051" spans="2:8" x14ac:dyDescent="0.3">
      <c r="B1051" s="65">
        <v>46079</v>
      </c>
      <c r="C1051" s="71">
        <v>46054</v>
      </c>
      <c r="D1051" s="70" t="s">
        <v>2928</v>
      </c>
      <c r="E1051" s="73" t="s">
        <v>1828</v>
      </c>
      <c r="F1051" s="63" t="s">
        <v>6</v>
      </c>
      <c r="G1051" s="56" t="s">
        <v>2816</v>
      </c>
      <c r="H1051" s="56" t="s">
        <v>2817</v>
      </c>
    </row>
    <row r="1052" spans="2:8" x14ac:dyDescent="0.3">
      <c r="B1052" s="65">
        <v>46079</v>
      </c>
      <c r="C1052" s="71">
        <v>46054</v>
      </c>
      <c r="D1052" s="70" t="s">
        <v>2928</v>
      </c>
      <c r="E1052" s="73" t="s">
        <v>1828</v>
      </c>
      <c r="F1052" s="63" t="s">
        <v>6</v>
      </c>
      <c r="G1052" s="56" t="s">
        <v>2818</v>
      </c>
      <c r="H1052" s="56" t="s">
        <v>2819</v>
      </c>
    </row>
    <row r="1053" spans="2:8" ht="31.5" x14ac:dyDescent="0.3">
      <c r="B1053" s="105">
        <v>46079</v>
      </c>
      <c r="C1053" s="166">
        <v>46054</v>
      </c>
      <c r="D1053" s="167" t="s">
        <v>2928</v>
      </c>
      <c r="E1053" s="73" t="s">
        <v>1828</v>
      </c>
      <c r="F1053" s="186" t="s">
        <v>325</v>
      </c>
      <c r="G1053" s="106" t="s">
        <v>2953</v>
      </c>
      <c r="H1053" s="190" t="s">
        <v>2954</v>
      </c>
    </row>
    <row r="1054" spans="2:8" x14ac:dyDescent="0.3">
      <c r="B1054" s="105">
        <v>46079</v>
      </c>
      <c r="C1054" s="166">
        <v>46054</v>
      </c>
      <c r="D1054" s="167" t="s">
        <v>2928</v>
      </c>
      <c r="E1054" s="73" t="s">
        <v>1828</v>
      </c>
      <c r="F1054" s="186" t="s">
        <v>325</v>
      </c>
      <c r="G1054" s="189" t="s">
        <v>2955</v>
      </c>
      <c r="H1054" s="191" t="s">
        <v>2956</v>
      </c>
    </row>
    <row r="1055" spans="2:8" x14ac:dyDescent="0.3">
      <c r="B1055" s="105">
        <v>46079</v>
      </c>
      <c r="C1055" s="166">
        <v>46054</v>
      </c>
      <c r="D1055" s="167" t="s">
        <v>2928</v>
      </c>
      <c r="E1055" s="73" t="s">
        <v>1828</v>
      </c>
      <c r="F1055" s="186" t="s">
        <v>325</v>
      </c>
      <c r="G1055" s="187" t="s">
        <v>2957</v>
      </c>
      <c r="H1055" s="188" t="s">
        <v>2958</v>
      </c>
    </row>
    <row r="1056" spans="2:8" x14ac:dyDescent="0.3">
      <c r="B1056" s="65">
        <v>46080</v>
      </c>
      <c r="C1056" s="71">
        <v>46054</v>
      </c>
      <c r="D1056" s="70" t="s">
        <v>2928</v>
      </c>
      <c r="E1056" s="73" t="s">
        <v>1828</v>
      </c>
      <c r="F1056" s="63" t="s">
        <v>6</v>
      </c>
      <c r="G1056" s="56" t="s">
        <v>2870</v>
      </c>
      <c r="H1056" s="192" t="s">
        <v>2870</v>
      </c>
    </row>
    <row r="1057" spans="2:8" x14ac:dyDescent="0.3">
      <c r="B1057" s="65">
        <v>46080</v>
      </c>
      <c r="C1057" s="71">
        <v>46054</v>
      </c>
      <c r="D1057" s="70" t="s">
        <v>2928</v>
      </c>
      <c r="E1057" s="73" t="s">
        <v>1828</v>
      </c>
      <c r="F1057" s="63" t="s">
        <v>6</v>
      </c>
      <c r="G1057" s="56" t="s">
        <v>2949</v>
      </c>
      <c r="H1057" s="56" t="s">
        <v>2950</v>
      </c>
    </row>
    <row r="1058" spans="2:8" x14ac:dyDescent="0.3">
      <c r="B1058" s="65">
        <v>46080</v>
      </c>
      <c r="C1058" s="71">
        <v>46054</v>
      </c>
      <c r="D1058" s="70" t="s">
        <v>2928</v>
      </c>
      <c r="E1058" s="73" t="s">
        <v>1828</v>
      </c>
      <c r="F1058" s="63" t="s">
        <v>6</v>
      </c>
      <c r="G1058" s="56" t="s">
        <v>2899</v>
      </c>
      <c r="H1058" s="56" t="s">
        <v>2900</v>
      </c>
    </row>
    <row r="1059" spans="2:8" x14ac:dyDescent="0.3">
      <c r="B1059" s="65">
        <v>46080</v>
      </c>
      <c r="C1059" s="71">
        <v>46054</v>
      </c>
      <c r="D1059" s="70" t="s">
        <v>2928</v>
      </c>
      <c r="E1059" s="73" t="s">
        <v>1828</v>
      </c>
      <c r="F1059" s="63" t="s">
        <v>6</v>
      </c>
      <c r="G1059" s="56" t="s">
        <v>2814</v>
      </c>
      <c r="H1059" s="56" t="s">
        <v>2815</v>
      </c>
    </row>
    <row r="1060" spans="2:8" x14ac:dyDescent="0.3">
      <c r="B1060" s="65">
        <v>46080</v>
      </c>
      <c r="C1060" s="71">
        <v>46054</v>
      </c>
      <c r="D1060" s="70" t="s">
        <v>2928</v>
      </c>
      <c r="E1060" s="73" t="s">
        <v>1828</v>
      </c>
      <c r="F1060" s="63" t="s">
        <v>6</v>
      </c>
      <c r="G1060" s="56" t="s">
        <v>2816</v>
      </c>
      <c r="H1060" s="56" t="s">
        <v>2817</v>
      </c>
    </row>
    <row r="1061" spans="2:8" x14ac:dyDescent="0.3">
      <c r="B1061" s="65">
        <v>46080</v>
      </c>
      <c r="C1061" s="71">
        <v>46054</v>
      </c>
      <c r="D1061" s="70" t="s">
        <v>2928</v>
      </c>
      <c r="E1061" s="73" t="s">
        <v>1828</v>
      </c>
      <c r="F1061" s="63" t="s">
        <v>6</v>
      </c>
      <c r="G1061" s="56" t="s">
        <v>2818</v>
      </c>
      <c r="H1061" s="56" t="s">
        <v>2819</v>
      </c>
    </row>
    <row r="1062" spans="2:8" x14ac:dyDescent="0.3">
      <c r="B1062" s="65">
        <v>46083</v>
      </c>
      <c r="C1062" s="71">
        <v>46082</v>
      </c>
      <c r="D1062" s="70" t="s">
        <v>2928</v>
      </c>
      <c r="E1062" s="73" t="s">
        <v>1828</v>
      </c>
      <c r="F1062" s="63" t="s">
        <v>6</v>
      </c>
      <c r="G1062" s="56" t="s">
        <v>2870</v>
      </c>
      <c r="H1062" s="56" t="s">
        <v>2870</v>
      </c>
    </row>
    <row r="1063" spans="2:8" x14ac:dyDescent="0.3">
      <c r="B1063" s="65">
        <v>46083</v>
      </c>
      <c r="C1063" s="71">
        <v>46082</v>
      </c>
      <c r="D1063" s="70" t="s">
        <v>2928</v>
      </c>
      <c r="E1063" s="73" t="s">
        <v>1828</v>
      </c>
      <c r="F1063" s="63" t="s">
        <v>6</v>
      </c>
      <c r="G1063" s="56" t="s">
        <v>2899</v>
      </c>
      <c r="H1063" s="56" t="s">
        <v>2900</v>
      </c>
    </row>
    <row r="1064" spans="2:8" x14ac:dyDescent="0.3">
      <c r="B1064" s="65">
        <v>46083</v>
      </c>
      <c r="C1064" s="71">
        <v>46082</v>
      </c>
      <c r="D1064" s="70" t="s">
        <v>2928</v>
      </c>
      <c r="E1064" s="73" t="s">
        <v>1828</v>
      </c>
      <c r="F1064" s="63" t="s">
        <v>6</v>
      </c>
      <c r="G1064" s="56" t="s">
        <v>2814</v>
      </c>
      <c r="H1064" s="56" t="s">
        <v>2815</v>
      </c>
    </row>
    <row r="1065" spans="2:8" x14ac:dyDescent="0.3">
      <c r="B1065" s="65">
        <v>46083</v>
      </c>
      <c r="C1065" s="71">
        <v>46082</v>
      </c>
      <c r="D1065" s="70" t="s">
        <v>2928</v>
      </c>
      <c r="E1065" s="73" t="s">
        <v>1828</v>
      </c>
      <c r="F1065" s="63" t="s">
        <v>6</v>
      </c>
      <c r="G1065" s="56" t="s">
        <v>2816</v>
      </c>
      <c r="H1065" s="56" t="s">
        <v>2817</v>
      </c>
    </row>
    <row r="1066" spans="2:8" x14ac:dyDescent="0.3">
      <c r="B1066" s="65">
        <v>46083</v>
      </c>
      <c r="C1066" s="71">
        <v>46082</v>
      </c>
      <c r="D1066" s="70" t="s">
        <v>2928</v>
      </c>
      <c r="E1066" s="73" t="s">
        <v>1828</v>
      </c>
      <c r="F1066" s="63" t="s">
        <v>6</v>
      </c>
      <c r="G1066" s="56" t="s">
        <v>2818</v>
      </c>
      <c r="H1066" s="56" t="s">
        <v>2819</v>
      </c>
    </row>
    <row r="1067" spans="2:8" x14ac:dyDescent="0.3">
      <c r="B1067" s="65">
        <v>46084</v>
      </c>
      <c r="C1067" s="71">
        <v>46082</v>
      </c>
      <c r="D1067" s="70" t="s">
        <v>2928</v>
      </c>
      <c r="E1067" s="73" t="s">
        <v>1828</v>
      </c>
      <c r="F1067" s="63" t="s">
        <v>6</v>
      </c>
      <c r="G1067" s="56" t="s">
        <v>2870</v>
      </c>
      <c r="H1067" s="56" t="s">
        <v>2870</v>
      </c>
    </row>
    <row r="1068" spans="2:8" x14ac:dyDescent="0.3">
      <c r="B1068" s="65">
        <v>46084</v>
      </c>
      <c r="C1068" s="71">
        <v>46082</v>
      </c>
      <c r="D1068" s="70" t="s">
        <v>2928</v>
      </c>
      <c r="E1068" s="73" t="s">
        <v>1828</v>
      </c>
      <c r="F1068" s="63" t="s">
        <v>6</v>
      </c>
      <c r="G1068" s="56" t="s">
        <v>2899</v>
      </c>
      <c r="H1068" s="56" t="s">
        <v>2900</v>
      </c>
    </row>
    <row r="1069" spans="2:8" x14ac:dyDescent="0.3">
      <c r="B1069" s="65">
        <v>46084</v>
      </c>
      <c r="C1069" s="71">
        <v>46082</v>
      </c>
      <c r="D1069" s="70" t="s">
        <v>2928</v>
      </c>
      <c r="E1069" s="73" t="s">
        <v>1828</v>
      </c>
      <c r="F1069" s="63" t="s">
        <v>6</v>
      </c>
      <c r="G1069" s="56" t="s">
        <v>2814</v>
      </c>
      <c r="H1069" s="56" t="s">
        <v>2815</v>
      </c>
    </row>
    <row r="1070" spans="2:8" x14ac:dyDescent="0.3">
      <c r="B1070" s="65">
        <v>46084</v>
      </c>
      <c r="C1070" s="71">
        <v>46082</v>
      </c>
      <c r="D1070" s="70" t="s">
        <v>2928</v>
      </c>
      <c r="E1070" s="73" t="s">
        <v>1828</v>
      </c>
      <c r="F1070" s="63" t="s">
        <v>6</v>
      </c>
      <c r="G1070" s="56" t="s">
        <v>2816</v>
      </c>
      <c r="H1070" s="56" t="s">
        <v>2817</v>
      </c>
    </row>
    <row r="1071" spans="2:8" x14ac:dyDescent="0.3">
      <c r="B1071" s="65">
        <v>46084</v>
      </c>
      <c r="C1071" s="71">
        <v>46082</v>
      </c>
      <c r="D1071" s="70" t="s">
        <v>2928</v>
      </c>
      <c r="E1071" s="73" t="s">
        <v>1828</v>
      </c>
      <c r="F1071" s="63" t="s">
        <v>6</v>
      </c>
      <c r="G1071" s="56" t="s">
        <v>2818</v>
      </c>
      <c r="H1071" s="56" t="s">
        <v>2819</v>
      </c>
    </row>
    <row r="1072" spans="2:8" x14ac:dyDescent="0.3">
      <c r="B1072" s="65">
        <v>46085</v>
      </c>
      <c r="C1072" s="71">
        <v>46082</v>
      </c>
      <c r="D1072" s="70" t="s">
        <v>2928</v>
      </c>
      <c r="E1072" s="73" t="s">
        <v>1828</v>
      </c>
      <c r="F1072" s="63" t="s">
        <v>6</v>
      </c>
      <c r="G1072" s="56" t="s">
        <v>2870</v>
      </c>
      <c r="H1072" s="56" t="s">
        <v>2870</v>
      </c>
    </row>
    <row r="1073" spans="2:8" x14ac:dyDescent="0.3">
      <c r="B1073" s="65">
        <v>46085</v>
      </c>
      <c r="C1073" s="71">
        <v>46082</v>
      </c>
      <c r="D1073" s="70" t="s">
        <v>2928</v>
      </c>
      <c r="E1073" s="73" t="s">
        <v>1828</v>
      </c>
      <c r="F1073" s="63" t="s">
        <v>6</v>
      </c>
      <c r="G1073" s="56" t="s">
        <v>2899</v>
      </c>
      <c r="H1073" s="56" t="s">
        <v>2900</v>
      </c>
    </row>
    <row r="1074" spans="2:8" x14ac:dyDescent="0.3">
      <c r="B1074" s="65">
        <v>46085</v>
      </c>
      <c r="C1074" s="71">
        <v>46082</v>
      </c>
      <c r="D1074" s="70" t="s">
        <v>2928</v>
      </c>
      <c r="E1074" s="73" t="s">
        <v>1828</v>
      </c>
      <c r="F1074" s="63" t="s">
        <v>6</v>
      </c>
      <c r="G1074" s="56" t="s">
        <v>2814</v>
      </c>
      <c r="H1074" s="56" t="s">
        <v>2815</v>
      </c>
    </row>
    <row r="1075" spans="2:8" x14ac:dyDescent="0.3">
      <c r="B1075" s="65">
        <v>46085</v>
      </c>
      <c r="C1075" s="71">
        <v>46082</v>
      </c>
      <c r="D1075" s="70" t="s">
        <v>2928</v>
      </c>
      <c r="E1075" s="73" t="s">
        <v>1828</v>
      </c>
      <c r="F1075" s="63" t="s">
        <v>6</v>
      </c>
      <c r="G1075" s="56" t="s">
        <v>2816</v>
      </c>
      <c r="H1075" s="56" t="s">
        <v>2817</v>
      </c>
    </row>
    <row r="1076" spans="2:8" x14ac:dyDescent="0.3">
      <c r="B1076" s="65">
        <v>46085</v>
      </c>
      <c r="C1076" s="71">
        <v>46082</v>
      </c>
      <c r="D1076" s="70" t="s">
        <v>2928</v>
      </c>
      <c r="E1076" s="73" t="s">
        <v>1828</v>
      </c>
      <c r="F1076" s="63" t="s">
        <v>6</v>
      </c>
      <c r="G1076" s="56" t="s">
        <v>2818</v>
      </c>
      <c r="H1076" s="56" t="s">
        <v>2819</v>
      </c>
    </row>
    <row r="1077" spans="2:8" x14ac:dyDescent="0.3">
      <c r="B1077" s="65">
        <v>46086</v>
      </c>
      <c r="C1077" s="71">
        <v>46082</v>
      </c>
      <c r="D1077" s="70" t="s">
        <v>2928</v>
      </c>
      <c r="E1077" s="73" t="s">
        <v>1828</v>
      </c>
      <c r="F1077" s="63" t="s">
        <v>6</v>
      </c>
      <c r="G1077" s="56" t="s">
        <v>2870</v>
      </c>
      <c r="H1077" s="56" t="s">
        <v>2870</v>
      </c>
    </row>
    <row r="1078" spans="2:8" x14ac:dyDescent="0.3">
      <c r="B1078" s="65">
        <v>46086</v>
      </c>
      <c r="C1078" s="71">
        <v>46082</v>
      </c>
      <c r="D1078" s="70" t="s">
        <v>2928</v>
      </c>
      <c r="E1078" s="73" t="s">
        <v>1828</v>
      </c>
      <c r="F1078" s="63" t="s">
        <v>6</v>
      </c>
      <c r="G1078" s="56" t="s">
        <v>2899</v>
      </c>
      <c r="H1078" s="56" t="s">
        <v>2900</v>
      </c>
    </row>
    <row r="1079" spans="2:8" x14ac:dyDescent="0.3">
      <c r="B1079" s="65">
        <v>46086</v>
      </c>
      <c r="C1079" s="71">
        <v>46082</v>
      </c>
      <c r="D1079" s="70" t="s">
        <v>2928</v>
      </c>
      <c r="E1079" s="73" t="s">
        <v>1828</v>
      </c>
      <c r="F1079" s="63" t="s">
        <v>6</v>
      </c>
      <c r="G1079" s="56" t="s">
        <v>2814</v>
      </c>
      <c r="H1079" s="56" t="s">
        <v>2815</v>
      </c>
    </row>
    <row r="1080" spans="2:8" x14ac:dyDescent="0.3">
      <c r="B1080" s="65">
        <v>46086</v>
      </c>
      <c r="C1080" s="71">
        <v>46082</v>
      </c>
      <c r="D1080" s="70" t="s">
        <v>2928</v>
      </c>
      <c r="E1080" s="73" t="s">
        <v>1828</v>
      </c>
      <c r="F1080" s="63" t="s">
        <v>6</v>
      </c>
      <c r="G1080" s="56" t="s">
        <v>2816</v>
      </c>
      <c r="H1080" s="56" t="s">
        <v>2817</v>
      </c>
    </row>
    <row r="1081" spans="2:8" x14ac:dyDescent="0.3">
      <c r="B1081" s="65">
        <v>46086</v>
      </c>
      <c r="C1081" s="71">
        <v>46082</v>
      </c>
      <c r="D1081" s="70" t="s">
        <v>2928</v>
      </c>
      <c r="E1081" s="73" t="s">
        <v>1828</v>
      </c>
      <c r="F1081" s="63" t="s">
        <v>6</v>
      </c>
      <c r="G1081" s="56" t="s">
        <v>2818</v>
      </c>
      <c r="H1081" s="56" t="s">
        <v>2819</v>
      </c>
    </row>
    <row r="1082" spans="2:8" x14ac:dyDescent="0.3">
      <c r="B1082" s="65">
        <v>46087</v>
      </c>
      <c r="C1082" s="71">
        <v>46082</v>
      </c>
      <c r="D1082" s="70" t="s">
        <v>2928</v>
      </c>
      <c r="E1082" s="73" t="s">
        <v>1828</v>
      </c>
      <c r="F1082" s="63" t="s">
        <v>6</v>
      </c>
      <c r="G1082" s="56" t="s">
        <v>2870</v>
      </c>
      <c r="H1082" s="56" t="s">
        <v>2870</v>
      </c>
    </row>
    <row r="1083" spans="2:8" x14ac:dyDescent="0.3">
      <c r="B1083" s="65">
        <v>46087</v>
      </c>
      <c r="C1083" s="71">
        <v>46082</v>
      </c>
      <c r="D1083" s="70" t="s">
        <v>2928</v>
      </c>
      <c r="E1083" s="73" t="s">
        <v>1828</v>
      </c>
      <c r="F1083" s="63" t="s">
        <v>6</v>
      </c>
      <c r="G1083" s="56" t="s">
        <v>2899</v>
      </c>
      <c r="H1083" s="56" t="s">
        <v>2900</v>
      </c>
    </row>
    <row r="1084" spans="2:8" x14ac:dyDescent="0.3">
      <c r="B1084" s="65">
        <v>46087</v>
      </c>
      <c r="C1084" s="71">
        <v>46082</v>
      </c>
      <c r="D1084" s="70" t="s">
        <v>2928</v>
      </c>
      <c r="E1084" s="73" t="s">
        <v>1828</v>
      </c>
      <c r="F1084" s="63" t="s">
        <v>6</v>
      </c>
      <c r="G1084" s="56" t="s">
        <v>2814</v>
      </c>
      <c r="H1084" s="56" t="s">
        <v>2815</v>
      </c>
    </row>
    <row r="1085" spans="2:8" x14ac:dyDescent="0.3">
      <c r="B1085" s="65">
        <v>46087</v>
      </c>
      <c r="C1085" s="71">
        <v>46082</v>
      </c>
      <c r="D1085" s="70" t="s">
        <v>2928</v>
      </c>
      <c r="E1085" s="73" t="s">
        <v>1828</v>
      </c>
      <c r="F1085" s="63" t="s">
        <v>6</v>
      </c>
      <c r="G1085" s="56" t="s">
        <v>2816</v>
      </c>
      <c r="H1085" s="56" t="s">
        <v>2817</v>
      </c>
    </row>
    <row r="1086" spans="2:8" x14ac:dyDescent="0.3">
      <c r="B1086" s="65">
        <v>46087</v>
      </c>
      <c r="C1086" s="71">
        <v>46082</v>
      </c>
      <c r="D1086" s="70" t="s">
        <v>2928</v>
      </c>
      <c r="E1086" s="73" t="s">
        <v>1828</v>
      </c>
      <c r="F1086" s="63" t="s">
        <v>6</v>
      </c>
      <c r="G1086" s="56" t="s">
        <v>2818</v>
      </c>
      <c r="H1086" s="56" t="s">
        <v>2819</v>
      </c>
    </row>
    <row r="1087" spans="2:8" ht="31.5" x14ac:dyDescent="0.3">
      <c r="B1087" s="105">
        <v>46087</v>
      </c>
      <c r="C1087" s="166">
        <v>46082</v>
      </c>
      <c r="D1087" s="167" t="s">
        <v>2928</v>
      </c>
      <c r="E1087" s="73" t="s">
        <v>1828</v>
      </c>
      <c r="F1087" s="193" t="s">
        <v>6</v>
      </c>
      <c r="G1087" s="106" t="s">
        <v>2959</v>
      </c>
      <c r="H1087" s="190" t="s">
        <v>2960</v>
      </c>
    </row>
    <row r="1088" spans="2:8" x14ac:dyDescent="0.3">
      <c r="B1088" s="65">
        <v>46090</v>
      </c>
      <c r="C1088" s="71">
        <v>46082</v>
      </c>
      <c r="D1088" s="70" t="s">
        <v>2928</v>
      </c>
      <c r="E1088" s="73" t="s">
        <v>1828</v>
      </c>
      <c r="F1088" s="63" t="s">
        <v>6</v>
      </c>
      <c r="G1088" s="56" t="s">
        <v>2870</v>
      </c>
      <c r="H1088" s="56" t="s">
        <v>2870</v>
      </c>
    </row>
    <row r="1089" spans="2:10" x14ac:dyDescent="0.3">
      <c r="B1089" s="65">
        <v>46090</v>
      </c>
      <c r="C1089" s="71">
        <v>46082</v>
      </c>
      <c r="D1089" s="70" t="s">
        <v>2928</v>
      </c>
      <c r="E1089" s="73" t="s">
        <v>1828</v>
      </c>
      <c r="F1089" s="63" t="s">
        <v>6</v>
      </c>
      <c r="G1089" s="56" t="s">
        <v>2899</v>
      </c>
      <c r="H1089" s="56" t="s">
        <v>2900</v>
      </c>
    </row>
    <row r="1090" spans="2:10" x14ac:dyDescent="0.3">
      <c r="B1090" s="65">
        <v>46090</v>
      </c>
      <c r="C1090" s="71">
        <v>46082</v>
      </c>
      <c r="D1090" s="70" t="s">
        <v>2928</v>
      </c>
      <c r="E1090" s="73" t="s">
        <v>1828</v>
      </c>
      <c r="F1090" s="63" t="s">
        <v>6</v>
      </c>
      <c r="G1090" s="56" t="s">
        <v>2814</v>
      </c>
      <c r="H1090" s="56" t="s">
        <v>2815</v>
      </c>
    </row>
    <row r="1091" spans="2:10" x14ac:dyDescent="0.3">
      <c r="B1091" s="65">
        <v>46090</v>
      </c>
      <c r="C1091" s="71">
        <v>46082</v>
      </c>
      <c r="D1091" s="70" t="s">
        <v>2928</v>
      </c>
      <c r="E1091" s="73" t="s">
        <v>1828</v>
      </c>
      <c r="F1091" s="63" t="s">
        <v>6</v>
      </c>
      <c r="G1091" s="56" t="s">
        <v>2816</v>
      </c>
      <c r="H1091" s="56" t="s">
        <v>2817</v>
      </c>
    </row>
    <row r="1092" spans="2:10" x14ac:dyDescent="0.3">
      <c r="B1092" s="65">
        <v>46090</v>
      </c>
      <c r="C1092" s="71">
        <v>46082</v>
      </c>
      <c r="D1092" s="70" t="s">
        <v>2928</v>
      </c>
      <c r="E1092" s="73" t="s">
        <v>1828</v>
      </c>
      <c r="F1092" s="63" t="s">
        <v>6</v>
      </c>
      <c r="G1092" s="56" t="s">
        <v>2818</v>
      </c>
      <c r="H1092" s="56" t="s">
        <v>2819</v>
      </c>
    </row>
    <row r="1093" spans="2:10" ht="31.5" x14ac:dyDescent="0.3">
      <c r="B1093" s="65">
        <v>46090</v>
      </c>
      <c r="C1093" s="166">
        <v>46082</v>
      </c>
      <c r="D1093" s="167" t="s">
        <v>2928</v>
      </c>
      <c r="E1093" s="73" t="s">
        <v>1828</v>
      </c>
      <c r="F1093" s="193" t="s">
        <v>6</v>
      </c>
      <c r="G1093" s="106" t="s">
        <v>2959</v>
      </c>
      <c r="H1093" s="190" t="s">
        <v>2961</v>
      </c>
    </row>
    <row r="1094" spans="2:10" x14ac:dyDescent="0.3">
      <c r="B1094" s="65">
        <v>46091</v>
      </c>
      <c r="C1094" s="71">
        <v>46082</v>
      </c>
      <c r="D1094" s="70" t="s">
        <v>2928</v>
      </c>
      <c r="E1094" s="73" t="s">
        <v>1828</v>
      </c>
      <c r="F1094" s="63" t="s">
        <v>6</v>
      </c>
      <c r="G1094" s="56" t="s">
        <v>2870</v>
      </c>
      <c r="H1094" s="56" t="s">
        <v>2870</v>
      </c>
    </row>
    <row r="1095" spans="2:10" x14ac:dyDescent="0.3">
      <c r="B1095" s="65">
        <v>46091</v>
      </c>
      <c r="C1095" s="71">
        <v>46082</v>
      </c>
      <c r="D1095" s="70" t="s">
        <v>2928</v>
      </c>
      <c r="E1095" s="73" t="s">
        <v>1828</v>
      </c>
      <c r="F1095" s="63" t="s">
        <v>6</v>
      </c>
      <c r="G1095" s="56" t="s">
        <v>2899</v>
      </c>
      <c r="H1095" s="56" t="s">
        <v>2900</v>
      </c>
    </row>
    <row r="1096" spans="2:10" x14ac:dyDescent="0.3">
      <c r="B1096" s="65">
        <v>46091</v>
      </c>
      <c r="C1096" s="71">
        <v>46082</v>
      </c>
      <c r="D1096" s="70" t="s">
        <v>2928</v>
      </c>
      <c r="E1096" s="73" t="s">
        <v>1828</v>
      </c>
      <c r="F1096" s="63" t="s">
        <v>6</v>
      </c>
      <c r="G1096" s="56" t="s">
        <v>2814</v>
      </c>
      <c r="H1096" s="56" t="s">
        <v>2815</v>
      </c>
    </row>
    <row r="1097" spans="2:10" x14ac:dyDescent="0.3">
      <c r="B1097" s="65">
        <v>46091</v>
      </c>
      <c r="C1097" s="71">
        <v>46082</v>
      </c>
      <c r="D1097" s="70" t="s">
        <v>2928</v>
      </c>
      <c r="E1097" s="73" t="s">
        <v>1828</v>
      </c>
      <c r="F1097" s="63" t="s">
        <v>6</v>
      </c>
      <c r="G1097" s="56" t="s">
        <v>2816</v>
      </c>
      <c r="H1097" s="56" t="s">
        <v>2817</v>
      </c>
      <c r="I1097" s="56"/>
    </row>
    <row r="1098" spans="2:10" x14ac:dyDescent="0.3">
      <c r="B1098" s="65">
        <v>46091</v>
      </c>
      <c r="C1098" s="71">
        <v>46082</v>
      </c>
      <c r="D1098" s="70" t="s">
        <v>2928</v>
      </c>
      <c r="E1098" s="73" t="s">
        <v>1828</v>
      </c>
      <c r="F1098" s="63" t="s">
        <v>6</v>
      </c>
      <c r="G1098" s="56" t="s">
        <v>2818</v>
      </c>
      <c r="H1098" s="56" t="s">
        <v>2819</v>
      </c>
      <c r="J1098" s="56"/>
    </row>
    <row r="1099" spans="2:10" x14ac:dyDescent="0.3">
      <c r="B1099" s="65">
        <v>46092</v>
      </c>
      <c r="C1099" s="71">
        <v>46082</v>
      </c>
      <c r="D1099" s="70" t="s">
        <v>2928</v>
      </c>
      <c r="E1099" s="73" t="s">
        <v>1828</v>
      </c>
      <c r="F1099" s="63" t="s">
        <v>6</v>
      </c>
      <c r="G1099" s="56" t="s">
        <v>2870</v>
      </c>
      <c r="H1099" s="56" t="s">
        <v>2870</v>
      </c>
      <c r="I1099" s="56" t="s">
        <v>3267</v>
      </c>
      <c r="J1099" s="346">
        <v>2</v>
      </c>
    </row>
    <row r="1100" spans="2:10" x14ac:dyDescent="0.3">
      <c r="B1100" s="65">
        <v>46092</v>
      </c>
      <c r="C1100" s="71">
        <v>46082</v>
      </c>
      <c r="D1100" s="70" t="s">
        <v>2928</v>
      </c>
      <c r="E1100" s="73" t="s">
        <v>1828</v>
      </c>
      <c r="F1100" s="63" t="s">
        <v>6</v>
      </c>
      <c r="G1100" s="56" t="s">
        <v>2899</v>
      </c>
      <c r="H1100" s="56" t="s">
        <v>2900</v>
      </c>
      <c r="I1100" s="56" t="s">
        <v>3267</v>
      </c>
      <c r="J1100" s="346">
        <v>1</v>
      </c>
    </row>
    <row r="1101" spans="2:10" x14ac:dyDescent="0.3">
      <c r="B1101" s="65">
        <v>46092</v>
      </c>
      <c r="C1101" s="71">
        <v>46082</v>
      </c>
      <c r="D1101" s="70" t="s">
        <v>2928</v>
      </c>
      <c r="E1101" s="73" t="s">
        <v>1828</v>
      </c>
      <c r="F1101" s="63" t="s">
        <v>6</v>
      </c>
      <c r="G1101" s="56" t="s">
        <v>2814</v>
      </c>
      <c r="H1101" s="56" t="s">
        <v>2815</v>
      </c>
      <c r="I1101" s="56" t="s">
        <v>3267</v>
      </c>
      <c r="J1101" s="346">
        <v>4</v>
      </c>
    </row>
    <row r="1102" spans="2:10" x14ac:dyDescent="0.3">
      <c r="B1102" s="65">
        <v>46092</v>
      </c>
      <c r="C1102" s="71">
        <v>46082</v>
      </c>
      <c r="D1102" s="70" t="s">
        <v>2928</v>
      </c>
      <c r="E1102" s="73" t="s">
        <v>1828</v>
      </c>
      <c r="F1102" s="63" t="s">
        <v>6</v>
      </c>
      <c r="G1102" s="56" t="s">
        <v>2816</v>
      </c>
      <c r="H1102" s="56" t="s">
        <v>2817</v>
      </c>
      <c r="I1102" s="56" t="s">
        <v>3267</v>
      </c>
      <c r="J1102" s="346">
        <v>1</v>
      </c>
    </row>
    <row r="1103" spans="2:10" x14ac:dyDescent="0.3">
      <c r="B1103" s="65">
        <v>46092</v>
      </c>
      <c r="C1103" s="71">
        <v>46082</v>
      </c>
      <c r="D1103" s="70" t="s">
        <v>2928</v>
      </c>
      <c r="E1103" s="73" t="s">
        <v>1828</v>
      </c>
      <c r="F1103" s="63" t="s">
        <v>6</v>
      </c>
      <c r="G1103" s="56" t="s">
        <v>2818</v>
      </c>
      <c r="H1103" s="56" t="s">
        <v>2819</v>
      </c>
      <c r="I1103" s="56" t="s">
        <v>3267</v>
      </c>
      <c r="J1103" s="346">
        <v>1</v>
      </c>
    </row>
    <row r="1104" spans="2:10" x14ac:dyDescent="0.3">
      <c r="B1104" s="65">
        <v>46093</v>
      </c>
      <c r="C1104" s="71">
        <v>46082</v>
      </c>
      <c r="D1104" s="70" t="s">
        <v>2928</v>
      </c>
      <c r="E1104" s="73" t="s">
        <v>1828</v>
      </c>
      <c r="F1104" s="63" t="s">
        <v>6</v>
      </c>
      <c r="G1104" s="56" t="s">
        <v>2870</v>
      </c>
      <c r="H1104" s="56" t="s">
        <v>2870</v>
      </c>
      <c r="I1104" s="56" t="s">
        <v>3267</v>
      </c>
      <c r="J1104" s="346">
        <v>2</v>
      </c>
    </row>
    <row r="1105" spans="2:10" x14ac:dyDescent="0.3">
      <c r="B1105" s="65">
        <v>46093</v>
      </c>
      <c r="C1105" s="71">
        <v>46082</v>
      </c>
      <c r="D1105" s="70" t="s">
        <v>2928</v>
      </c>
      <c r="E1105" s="73" t="s">
        <v>1828</v>
      </c>
      <c r="F1105" s="63" t="s">
        <v>6</v>
      </c>
      <c r="G1105" s="56" t="s">
        <v>2899</v>
      </c>
      <c r="H1105" s="56" t="s">
        <v>2900</v>
      </c>
      <c r="I1105" s="56" t="s">
        <v>3267</v>
      </c>
      <c r="J1105" s="346">
        <v>1</v>
      </c>
    </row>
    <row r="1106" spans="2:10" x14ac:dyDescent="0.3">
      <c r="B1106" s="65">
        <v>46093</v>
      </c>
      <c r="C1106" s="71">
        <v>46082</v>
      </c>
      <c r="D1106" s="70" t="s">
        <v>2928</v>
      </c>
      <c r="E1106" s="73" t="s">
        <v>1828</v>
      </c>
      <c r="F1106" s="63" t="s">
        <v>6</v>
      </c>
      <c r="G1106" s="56" t="s">
        <v>2814</v>
      </c>
      <c r="H1106" s="56" t="s">
        <v>2815</v>
      </c>
      <c r="I1106" s="56" t="s">
        <v>3267</v>
      </c>
      <c r="J1106" s="346">
        <v>4</v>
      </c>
    </row>
    <row r="1107" spans="2:10" x14ac:dyDescent="0.3">
      <c r="B1107" s="65">
        <v>46093</v>
      </c>
      <c r="C1107" s="71">
        <v>46082</v>
      </c>
      <c r="D1107" s="70" t="s">
        <v>2928</v>
      </c>
      <c r="E1107" s="73" t="s">
        <v>1828</v>
      </c>
      <c r="F1107" s="63" t="s">
        <v>6</v>
      </c>
      <c r="G1107" s="56" t="s">
        <v>2816</v>
      </c>
      <c r="H1107" s="56" t="s">
        <v>2817</v>
      </c>
      <c r="I1107" s="56" t="s">
        <v>3267</v>
      </c>
      <c r="J1107" s="346">
        <v>1</v>
      </c>
    </row>
    <row r="1108" spans="2:10" x14ac:dyDescent="0.3">
      <c r="B1108" s="65">
        <v>46093</v>
      </c>
      <c r="C1108" s="71">
        <v>46082</v>
      </c>
      <c r="D1108" s="70" t="s">
        <v>2928</v>
      </c>
      <c r="E1108" s="73" t="s">
        <v>1828</v>
      </c>
      <c r="F1108" s="63" t="s">
        <v>6</v>
      </c>
      <c r="G1108" s="56" t="s">
        <v>2818</v>
      </c>
      <c r="H1108" s="56" t="s">
        <v>2819</v>
      </c>
      <c r="I1108" s="56" t="s">
        <v>3267</v>
      </c>
      <c r="J1108" s="346">
        <v>1</v>
      </c>
    </row>
    <row r="1109" spans="2:10" x14ac:dyDescent="0.3">
      <c r="B1109" s="65">
        <v>46094</v>
      </c>
      <c r="C1109" s="71">
        <v>46082</v>
      </c>
      <c r="D1109" s="70" t="s">
        <v>2928</v>
      </c>
      <c r="E1109" s="73" t="s">
        <v>1828</v>
      </c>
      <c r="F1109" s="63" t="s">
        <v>6</v>
      </c>
      <c r="G1109" s="56" t="s">
        <v>2870</v>
      </c>
      <c r="H1109" s="56" t="s">
        <v>2870</v>
      </c>
      <c r="I1109" s="56" t="s">
        <v>3267</v>
      </c>
      <c r="J1109" s="346">
        <v>2</v>
      </c>
    </row>
    <row r="1110" spans="2:10" x14ac:dyDescent="0.3">
      <c r="B1110" s="65">
        <v>46094</v>
      </c>
      <c r="C1110" s="71">
        <v>46082</v>
      </c>
      <c r="D1110" s="70" t="s">
        <v>2928</v>
      </c>
      <c r="E1110" s="73" t="s">
        <v>1828</v>
      </c>
      <c r="F1110" s="63" t="s">
        <v>6</v>
      </c>
      <c r="G1110" s="56" t="s">
        <v>2899</v>
      </c>
      <c r="H1110" s="56" t="s">
        <v>2900</v>
      </c>
      <c r="I1110" s="56" t="s">
        <v>3267</v>
      </c>
      <c r="J1110" s="346">
        <v>1</v>
      </c>
    </row>
    <row r="1111" spans="2:10" x14ac:dyDescent="0.3">
      <c r="B1111" s="65">
        <v>46094</v>
      </c>
      <c r="C1111" s="71">
        <v>46082</v>
      </c>
      <c r="D1111" s="70" t="s">
        <v>2928</v>
      </c>
      <c r="E1111" s="73" t="s">
        <v>1828</v>
      </c>
      <c r="F1111" s="63" t="s">
        <v>6</v>
      </c>
      <c r="G1111" s="56" t="s">
        <v>2814</v>
      </c>
      <c r="H1111" s="56" t="s">
        <v>2815</v>
      </c>
      <c r="I1111" s="56" t="s">
        <v>3267</v>
      </c>
      <c r="J1111" s="346">
        <v>4</v>
      </c>
    </row>
    <row r="1112" spans="2:10" x14ac:dyDescent="0.3">
      <c r="B1112" s="65">
        <v>46094</v>
      </c>
      <c r="C1112" s="71">
        <v>46082</v>
      </c>
      <c r="D1112" s="70" t="s">
        <v>2928</v>
      </c>
      <c r="E1112" s="73" t="s">
        <v>1828</v>
      </c>
      <c r="F1112" s="63" t="s">
        <v>6</v>
      </c>
      <c r="G1112" s="56" t="s">
        <v>2816</v>
      </c>
      <c r="H1112" s="56" t="s">
        <v>2817</v>
      </c>
      <c r="I1112" s="56" t="s">
        <v>3267</v>
      </c>
      <c r="J1112" s="346">
        <v>1</v>
      </c>
    </row>
    <row r="1113" spans="2:10" x14ac:dyDescent="0.3">
      <c r="B1113" s="65">
        <v>46094</v>
      </c>
      <c r="C1113" s="71">
        <v>46082</v>
      </c>
      <c r="D1113" s="70" t="s">
        <v>2928</v>
      </c>
      <c r="E1113" s="73" t="s">
        <v>1828</v>
      </c>
      <c r="F1113" s="63" t="s">
        <v>6</v>
      </c>
      <c r="G1113" s="56" t="s">
        <v>2818</v>
      </c>
      <c r="H1113" s="56" t="s">
        <v>2819</v>
      </c>
      <c r="I1113" s="56" t="s">
        <v>3267</v>
      </c>
      <c r="J1113" s="346">
        <v>1</v>
      </c>
    </row>
    <row r="1114" spans="2:10" x14ac:dyDescent="0.3">
      <c r="B1114" s="65">
        <v>46097</v>
      </c>
      <c r="C1114" s="71">
        <v>46082</v>
      </c>
      <c r="D1114" s="70" t="s">
        <v>2928</v>
      </c>
      <c r="E1114" s="73" t="s">
        <v>1828</v>
      </c>
      <c r="F1114" s="63" t="s">
        <v>6</v>
      </c>
      <c r="G1114" s="56" t="s">
        <v>2856</v>
      </c>
      <c r="H1114" s="56" t="s">
        <v>2950</v>
      </c>
      <c r="I1114" s="56" t="s">
        <v>3267</v>
      </c>
      <c r="J1114" s="346">
        <v>1</v>
      </c>
    </row>
    <row r="1115" spans="2:10" ht="31.5" x14ac:dyDescent="0.3">
      <c r="B1115" s="65">
        <v>46097</v>
      </c>
      <c r="C1115" s="71">
        <v>46082</v>
      </c>
      <c r="D1115" s="70" t="s">
        <v>2928</v>
      </c>
      <c r="E1115" s="73" t="s">
        <v>1828</v>
      </c>
      <c r="F1115" s="186" t="s">
        <v>325</v>
      </c>
      <c r="G1115" s="56" t="s">
        <v>2962</v>
      </c>
      <c r="H1115" s="104" t="s">
        <v>2963</v>
      </c>
      <c r="I1115" s="56" t="s">
        <v>3267</v>
      </c>
      <c r="J1115" s="346">
        <v>1</v>
      </c>
    </row>
    <row r="1116" spans="2:10" x14ac:dyDescent="0.3">
      <c r="B1116" s="65">
        <v>46097</v>
      </c>
      <c r="C1116" s="71">
        <v>46082</v>
      </c>
      <c r="D1116" s="70" t="s">
        <v>2928</v>
      </c>
      <c r="E1116" s="73" t="s">
        <v>1828</v>
      </c>
      <c r="F1116" s="63" t="s">
        <v>6</v>
      </c>
      <c r="G1116" s="56" t="s">
        <v>2870</v>
      </c>
      <c r="H1116" s="56" t="s">
        <v>2870</v>
      </c>
      <c r="I1116" s="56" t="s">
        <v>3267</v>
      </c>
      <c r="J1116" s="346">
        <v>2</v>
      </c>
    </row>
    <row r="1117" spans="2:10" x14ac:dyDescent="0.3">
      <c r="B1117" s="65">
        <v>46097</v>
      </c>
      <c r="C1117" s="71">
        <v>46082</v>
      </c>
      <c r="D1117" s="70" t="s">
        <v>2928</v>
      </c>
      <c r="E1117" s="73" t="s">
        <v>1828</v>
      </c>
      <c r="F1117" s="63" t="s">
        <v>6</v>
      </c>
      <c r="G1117" s="56" t="s">
        <v>2899</v>
      </c>
      <c r="H1117" s="56" t="s">
        <v>2900</v>
      </c>
      <c r="I1117" s="56" t="s">
        <v>3267</v>
      </c>
      <c r="J1117" s="346">
        <v>1</v>
      </c>
    </row>
    <row r="1118" spans="2:10" x14ac:dyDescent="0.3">
      <c r="B1118" s="65">
        <v>46097</v>
      </c>
      <c r="C1118" s="71">
        <v>46082</v>
      </c>
      <c r="D1118" s="70" t="s">
        <v>2928</v>
      </c>
      <c r="E1118" s="73" t="s">
        <v>1828</v>
      </c>
      <c r="F1118" s="63" t="s">
        <v>6</v>
      </c>
      <c r="G1118" s="56" t="s">
        <v>2814</v>
      </c>
      <c r="H1118" s="56" t="s">
        <v>2815</v>
      </c>
      <c r="I1118" s="56" t="s">
        <v>3267</v>
      </c>
      <c r="J1118" s="346">
        <v>4</v>
      </c>
    </row>
    <row r="1119" spans="2:10" x14ac:dyDescent="0.3">
      <c r="B1119" s="65">
        <v>46097</v>
      </c>
      <c r="C1119" s="71">
        <v>46082</v>
      </c>
      <c r="D1119" s="70" t="s">
        <v>2928</v>
      </c>
      <c r="E1119" s="73" t="s">
        <v>1828</v>
      </c>
      <c r="F1119" s="63" t="s">
        <v>6</v>
      </c>
      <c r="G1119" s="56" t="s">
        <v>2816</v>
      </c>
      <c r="H1119" s="56" t="s">
        <v>2817</v>
      </c>
      <c r="I1119" s="56" t="s">
        <v>3267</v>
      </c>
      <c r="J1119" s="346">
        <v>1</v>
      </c>
    </row>
    <row r="1120" spans="2:10" x14ac:dyDescent="0.3">
      <c r="B1120" s="65">
        <v>46097</v>
      </c>
      <c r="C1120" s="71">
        <v>46082</v>
      </c>
      <c r="D1120" s="70" t="s">
        <v>2928</v>
      </c>
      <c r="E1120" s="73" t="s">
        <v>1828</v>
      </c>
      <c r="F1120" s="63" t="s">
        <v>6</v>
      </c>
      <c r="G1120" s="56" t="s">
        <v>2818</v>
      </c>
      <c r="H1120" s="56" t="s">
        <v>2819</v>
      </c>
      <c r="I1120" s="56" t="s">
        <v>3267</v>
      </c>
      <c r="J1120" s="346">
        <v>1</v>
      </c>
    </row>
    <row r="1121" spans="2:10" x14ac:dyDescent="0.3">
      <c r="B1121" s="65">
        <v>46098</v>
      </c>
      <c r="C1121" s="71">
        <v>46082</v>
      </c>
      <c r="D1121" s="70" t="s">
        <v>2928</v>
      </c>
      <c r="E1121" s="73" t="s">
        <v>1828</v>
      </c>
      <c r="F1121" s="63" t="s">
        <v>6</v>
      </c>
      <c r="G1121" s="56" t="s">
        <v>2856</v>
      </c>
      <c r="H1121" s="56" t="s">
        <v>2950</v>
      </c>
      <c r="I1121" s="56" t="s">
        <v>3267</v>
      </c>
      <c r="J1121" s="346">
        <v>1</v>
      </c>
    </row>
    <row r="1122" spans="2:10" x14ac:dyDescent="0.3">
      <c r="B1122" s="65">
        <v>46098</v>
      </c>
      <c r="C1122" s="71">
        <v>46082</v>
      </c>
      <c r="D1122" s="70" t="s">
        <v>2928</v>
      </c>
      <c r="E1122" s="73" t="s">
        <v>1828</v>
      </c>
      <c r="F1122" s="63" t="s">
        <v>6</v>
      </c>
      <c r="G1122" s="56" t="s">
        <v>2870</v>
      </c>
      <c r="H1122" s="56" t="s">
        <v>2870</v>
      </c>
      <c r="I1122" s="56" t="s">
        <v>3267</v>
      </c>
      <c r="J1122" s="346">
        <v>2</v>
      </c>
    </row>
    <row r="1123" spans="2:10" x14ac:dyDescent="0.3">
      <c r="B1123" s="65">
        <v>46098</v>
      </c>
      <c r="C1123" s="71">
        <v>46082</v>
      </c>
      <c r="D1123" s="70" t="s">
        <v>2928</v>
      </c>
      <c r="E1123" s="73" t="s">
        <v>1828</v>
      </c>
      <c r="F1123" s="63" t="s">
        <v>6</v>
      </c>
      <c r="G1123" s="56" t="s">
        <v>2899</v>
      </c>
      <c r="H1123" s="56" t="s">
        <v>2900</v>
      </c>
      <c r="I1123" s="56" t="s">
        <v>3267</v>
      </c>
      <c r="J1123" s="346">
        <v>1</v>
      </c>
    </row>
    <row r="1124" spans="2:10" x14ac:dyDescent="0.3">
      <c r="B1124" s="65">
        <v>46098</v>
      </c>
      <c r="C1124" s="71">
        <v>46082</v>
      </c>
      <c r="D1124" s="70" t="s">
        <v>2928</v>
      </c>
      <c r="E1124" s="73" t="s">
        <v>1828</v>
      </c>
      <c r="F1124" s="63" t="s">
        <v>6</v>
      </c>
      <c r="G1124" s="56" t="s">
        <v>2814</v>
      </c>
      <c r="H1124" s="56" t="s">
        <v>2815</v>
      </c>
      <c r="I1124" s="56" t="s">
        <v>3267</v>
      </c>
      <c r="J1124" s="346">
        <v>4</v>
      </c>
    </row>
    <row r="1125" spans="2:10" x14ac:dyDescent="0.3">
      <c r="B1125" s="65">
        <v>46098</v>
      </c>
      <c r="C1125" s="71">
        <v>46082</v>
      </c>
      <c r="D1125" s="70" t="s">
        <v>2928</v>
      </c>
      <c r="E1125" s="73" t="s">
        <v>1828</v>
      </c>
      <c r="F1125" s="63" t="s">
        <v>6</v>
      </c>
      <c r="G1125" s="56" t="s">
        <v>2816</v>
      </c>
      <c r="H1125" s="56" t="s">
        <v>2817</v>
      </c>
      <c r="I1125" s="56" t="s">
        <v>3267</v>
      </c>
      <c r="J1125" s="346">
        <v>1</v>
      </c>
    </row>
    <row r="1126" spans="2:10" x14ac:dyDescent="0.3">
      <c r="B1126" s="65">
        <v>46098</v>
      </c>
      <c r="C1126" s="71">
        <v>46082</v>
      </c>
      <c r="D1126" s="70" t="s">
        <v>2928</v>
      </c>
      <c r="E1126" s="73" t="s">
        <v>1828</v>
      </c>
      <c r="F1126" s="63" t="s">
        <v>6</v>
      </c>
      <c r="G1126" s="56" t="s">
        <v>2818</v>
      </c>
      <c r="H1126" s="56" t="s">
        <v>2819</v>
      </c>
      <c r="I1126" s="56" t="s">
        <v>3267</v>
      </c>
      <c r="J1126" s="346">
        <v>1</v>
      </c>
    </row>
    <row r="1127" spans="2:10" x14ac:dyDescent="0.3">
      <c r="B1127" s="65">
        <v>46098</v>
      </c>
      <c r="C1127" s="71">
        <v>46082</v>
      </c>
      <c r="D1127" s="70" t="s">
        <v>2928</v>
      </c>
      <c r="E1127" s="73" t="s">
        <v>1828</v>
      </c>
      <c r="F1127" s="63" t="s">
        <v>6</v>
      </c>
      <c r="G1127" s="56" t="s">
        <v>2964</v>
      </c>
      <c r="H1127" s="56" t="s">
        <v>2965</v>
      </c>
      <c r="I1127" s="56" t="s">
        <v>3267</v>
      </c>
      <c r="J1127" s="346">
        <v>1</v>
      </c>
    </row>
    <row r="1128" spans="2:10" ht="31.5" x14ac:dyDescent="0.3">
      <c r="B1128" s="65">
        <v>46098</v>
      </c>
      <c r="C1128" s="71">
        <v>46082</v>
      </c>
      <c r="D1128" s="70" t="s">
        <v>2928</v>
      </c>
      <c r="E1128" s="73" t="s">
        <v>1828</v>
      </c>
      <c r="F1128" s="63" t="s">
        <v>6</v>
      </c>
      <c r="G1128" s="56" t="s">
        <v>2966</v>
      </c>
      <c r="H1128" s="104" t="s">
        <v>2967</v>
      </c>
      <c r="I1128" s="56" t="s">
        <v>3267</v>
      </c>
      <c r="J1128" s="346">
        <v>2</v>
      </c>
    </row>
    <row r="1129" spans="2:10" x14ac:dyDescent="0.3">
      <c r="B1129" s="65">
        <v>46099</v>
      </c>
      <c r="C1129" s="71">
        <v>46082</v>
      </c>
      <c r="D1129" s="70" t="s">
        <v>2928</v>
      </c>
      <c r="E1129" s="73" t="s">
        <v>1828</v>
      </c>
      <c r="F1129" s="63" t="s">
        <v>6</v>
      </c>
      <c r="G1129" s="56" t="s">
        <v>2856</v>
      </c>
      <c r="H1129" s="56" t="s">
        <v>2857</v>
      </c>
      <c r="I1129" s="56" t="s">
        <v>3267</v>
      </c>
      <c r="J1129" s="346">
        <v>1</v>
      </c>
    </row>
    <row r="1130" spans="2:10" x14ac:dyDescent="0.3">
      <c r="B1130" s="65">
        <v>46099</v>
      </c>
      <c r="C1130" s="71">
        <v>46082</v>
      </c>
      <c r="D1130" s="70" t="s">
        <v>2928</v>
      </c>
      <c r="E1130" s="73" t="s">
        <v>1828</v>
      </c>
      <c r="F1130" s="63" t="s">
        <v>6</v>
      </c>
      <c r="G1130" s="56" t="s">
        <v>2870</v>
      </c>
      <c r="H1130" s="56" t="s">
        <v>2870</v>
      </c>
      <c r="I1130" s="56" t="s">
        <v>3267</v>
      </c>
      <c r="J1130" s="346">
        <v>2</v>
      </c>
    </row>
    <row r="1131" spans="2:10" x14ac:dyDescent="0.3">
      <c r="B1131" s="65">
        <v>46099</v>
      </c>
      <c r="C1131" s="71">
        <v>46082</v>
      </c>
      <c r="D1131" s="70" t="s">
        <v>2928</v>
      </c>
      <c r="E1131" s="73" t="s">
        <v>1828</v>
      </c>
      <c r="F1131" s="63" t="s">
        <v>6</v>
      </c>
      <c r="G1131" s="56" t="s">
        <v>2899</v>
      </c>
      <c r="H1131" s="56" t="s">
        <v>2900</v>
      </c>
      <c r="I1131" s="56" t="s">
        <v>3267</v>
      </c>
      <c r="J1131" s="346">
        <v>1</v>
      </c>
    </row>
    <row r="1132" spans="2:10" x14ac:dyDescent="0.3">
      <c r="B1132" s="65">
        <v>46099</v>
      </c>
      <c r="C1132" s="71">
        <v>46082</v>
      </c>
      <c r="D1132" s="70" t="s">
        <v>2928</v>
      </c>
      <c r="E1132" s="73" t="s">
        <v>1828</v>
      </c>
      <c r="F1132" s="63" t="s">
        <v>6</v>
      </c>
      <c r="G1132" s="56" t="s">
        <v>2814</v>
      </c>
      <c r="H1132" s="56" t="s">
        <v>2815</v>
      </c>
      <c r="I1132" s="56" t="s">
        <v>3267</v>
      </c>
      <c r="J1132" s="346">
        <v>4</v>
      </c>
    </row>
    <row r="1133" spans="2:10" x14ac:dyDescent="0.3">
      <c r="B1133" s="65">
        <v>46099</v>
      </c>
      <c r="C1133" s="71">
        <v>46082</v>
      </c>
      <c r="D1133" s="70" t="s">
        <v>2928</v>
      </c>
      <c r="E1133" s="73" t="s">
        <v>1828</v>
      </c>
      <c r="F1133" s="63" t="s">
        <v>6</v>
      </c>
      <c r="G1133" s="56" t="s">
        <v>2816</v>
      </c>
      <c r="H1133" s="56" t="s">
        <v>2817</v>
      </c>
      <c r="I1133" s="56" t="s">
        <v>3267</v>
      </c>
      <c r="J1133" s="346">
        <v>1</v>
      </c>
    </row>
    <row r="1134" spans="2:10" x14ac:dyDescent="0.3">
      <c r="B1134" s="65">
        <v>46099</v>
      </c>
      <c r="C1134" s="71">
        <v>46082</v>
      </c>
      <c r="D1134" s="70" t="s">
        <v>2928</v>
      </c>
      <c r="E1134" s="73" t="s">
        <v>1828</v>
      </c>
      <c r="F1134" s="63" t="s">
        <v>6</v>
      </c>
      <c r="G1134" s="56" t="s">
        <v>2818</v>
      </c>
      <c r="H1134" s="56" t="s">
        <v>2819</v>
      </c>
      <c r="I1134" s="56" t="s">
        <v>3267</v>
      </c>
      <c r="J1134" s="346">
        <v>1</v>
      </c>
    </row>
    <row r="1135" spans="2:10" x14ac:dyDescent="0.3">
      <c r="B1135" s="65">
        <v>46100</v>
      </c>
      <c r="C1135" s="71">
        <v>46082</v>
      </c>
      <c r="D1135" s="70" t="s">
        <v>2928</v>
      </c>
      <c r="E1135" s="73" t="s">
        <v>1828</v>
      </c>
      <c r="F1135" s="63" t="s">
        <v>6</v>
      </c>
      <c r="G1135" s="56" t="s">
        <v>2856</v>
      </c>
      <c r="H1135" s="56" t="s">
        <v>2857</v>
      </c>
      <c r="I1135" s="56" t="s">
        <v>3267</v>
      </c>
      <c r="J1135" s="346">
        <v>1</v>
      </c>
    </row>
    <row r="1136" spans="2:10" ht="78.75" x14ac:dyDescent="0.3">
      <c r="B1136" s="105">
        <v>46100</v>
      </c>
      <c r="C1136" s="166">
        <v>46082</v>
      </c>
      <c r="D1136" s="167" t="s">
        <v>2928</v>
      </c>
      <c r="E1136" s="73" t="s">
        <v>1828</v>
      </c>
      <c r="F1136" s="186" t="s">
        <v>325</v>
      </c>
      <c r="G1136" s="104" t="s">
        <v>2968</v>
      </c>
      <c r="H1136" s="104" t="s">
        <v>2969</v>
      </c>
      <c r="I1136" s="56" t="s">
        <v>3267</v>
      </c>
      <c r="J1136" s="346">
        <v>1</v>
      </c>
    </row>
    <row r="1137" spans="2:10" ht="31.5" x14ac:dyDescent="0.3">
      <c r="B1137" s="105">
        <v>46100</v>
      </c>
      <c r="C1137" s="166">
        <v>46082</v>
      </c>
      <c r="D1137" s="167" t="s">
        <v>2928</v>
      </c>
      <c r="E1137" s="73" t="s">
        <v>1828</v>
      </c>
      <c r="F1137" s="186" t="s">
        <v>325</v>
      </c>
      <c r="G1137" s="104" t="s">
        <v>2970</v>
      </c>
      <c r="H1137" s="104" t="s">
        <v>2971</v>
      </c>
      <c r="I1137" s="56" t="s">
        <v>3267</v>
      </c>
      <c r="J1137" s="346">
        <v>1</v>
      </c>
    </row>
    <row r="1138" spans="2:10" ht="283.5" x14ac:dyDescent="0.3">
      <c r="B1138" s="105">
        <v>46100</v>
      </c>
      <c r="C1138" s="166">
        <v>46082</v>
      </c>
      <c r="D1138" s="167" t="s">
        <v>2928</v>
      </c>
      <c r="E1138" s="73" t="s">
        <v>1828</v>
      </c>
      <c r="F1138" s="186" t="s">
        <v>325</v>
      </c>
      <c r="G1138" s="104" t="s">
        <v>2972</v>
      </c>
      <c r="H1138" s="104" t="s">
        <v>2973</v>
      </c>
      <c r="I1138" s="56" t="s">
        <v>3267</v>
      </c>
      <c r="J1138" s="346">
        <v>1</v>
      </c>
    </row>
    <row r="1139" spans="2:10" x14ac:dyDescent="0.3">
      <c r="B1139" s="105">
        <v>46100</v>
      </c>
      <c r="C1139" s="71">
        <v>46082</v>
      </c>
      <c r="D1139" s="70" t="s">
        <v>2928</v>
      </c>
      <c r="E1139" s="73" t="s">
        <v>1828</v>
      </c>
      <c r="F1139" s="63" t="s">
        <v>6</v>
      </c>
      <c r="G1139" s="56" t="s">
        <v>2870</v>
      </c>
      <c r="H1139" s="56" t="s">
        <v>2870</v>
      </c>
      <c r="I1139" s="56" t="s">
        <v>3267</v>
      </c>
      <c r="J1139" s="346">
        <v>2</v>
      </c>
    </row>
    <row r="1140" spans="2:10" x14ac:dyDescent="0.3">
      <c r="B1140" s="105">
        <v>46100</v>
      </c>
      <c r="C1140" s="71">
        <v>46082</v>
      </c>
      <c r="D1140" s="70" t="s">
        <v>2928</v>
      </c>
      <c r="E1140" s="73" t="s">
        <v>1828</v>
      </c>
      <c r="F1140" s="63" t="s">
        <v>6</v>
      </c>
      <c r="G1140" s="56" t="s">
        <v>2899</v>
      </c>
      <c r="H1140" s="56" t="s">
        <v>2900</v>
      </c>
      <c r="I1140" s="56" t="s">
        <v>3267</v>
      </c>
      <c r="J1140" s="346">
        <v>1</v>
      </c>
    </row>
    <row r="1141" spans="2:10" x14ac:dyDescent="0.3">
      <c r="B1141" s="105">
        <v>46100</v>
      </c>
      <c r="C1141" s="71">
        <v>46082</v>
      </c>
      <c r="D1141" s="70" t="s">
        <v>2928</v>
      </c>
      <c r="E1141" s="73" t="s">
        <v>1828</v>
      </c>
      <c r="F1141" s="63" t="s">
        <v>6</v>
      </c>
      <c r="G1141" s="56" t="s">
        <v>2814</v>
      </c>
      <c r="H1141" s="56" t="s">
        <v>2815</v>
      </c>
      <c r="I1141" s="56" t="s">
        <v>3267</v>
      </c>
      <c r="J1141" s="346">
        <v>4</v>
      </c>
    </row>
    <row r="1142" spans="2:10" x14ac:dyDescent="0.3">
      <c r="B1142" s="105">
        <v>46100</v>
      </c>
      <c r="C1142" s="71">
        <v>46082</v>
      </c>
      <c r="D1142" s="70" t="s">
        <v>2928</v>
      </c>
      <c r="E1142" s="73" t="s">
        <v>1828</v>
      </c>
      <c r="F1142" s="63" t="s">
        <v>6</v>
      </c>
      <c r="G1142" s="56" t="s">
        <v>2816</v>
      </c>
      <c r="H1142" s="56" t="s">
        <v>2817</v>
      </c>
      <c r="I1142" s="56" t="s">
        <v>3267</v>
      </c>
      <c r="J1142" s="346">
        <v>1</v>
      </c>
    </row>
    <row r="1143" spans="2:10" x14ac:dyDescent="0.3">
      <c r="B1143" s="105">
        <v>46100</v>
      </c>
      <c r="C1143" s="71">
        <v>46082</v>
      </c>
      <c r="D1143" s="70" t="s">
        <v>2928</v>
      </c>
      <c r="E1143" s="73" t="s">
        <v>1828</v>
      </c>
      <c r="F1143" s="63" t="s">
        <v>6</v>
      </c>
      <c r="G1143" s="56" t="s">
        <v>2818</v>
      </c>
      <c r="H1143" s="56" t="s">
        <v>2819</v>
      </c>
      <c r="I1143" s="56" t="s">
        <v>3267</v>
      </c>
      <c r="J1143" s="346">
        <v>1</v>
      </c>
    </row>
    <row r="1144" spans="2:10" x14ac:dyDescent="0.3">
      <c r="B1144" s="65">
        <v>46101</v>
      </c>
      <c r="C1144" s="71">
        <v>46082</v>
      </c>
      <c r="D1144" s="70" t="s">
        <v>2928</v>
      </c>
      <c r="E1144" s="73" t="s">
        <v>1828</v>
      </c>
      <c r="F1144" s="63" t="s">
        <v>6</v>
      </c>
      <c r="G1144" s="56" t="s">
        <v>2856</v>
      </c>
      <c r="H1144" s="56" t="s">
        <v>2857</v>
      </c>
      <c r="I1144" s="56" t="s">
        <v>3267</v>
      </c>
      <c r="J1144" s="346">
        <v>1</v>
      </c>
    </row>
    <row r="1145" spans="2:10" x14ac:dyDescent="0.3">
      <c r="B1145" s="65">
        <v>46101</v>
      </c>
      <c r="C1145" s="71">
        <v>46082</v>
      </c>
      <c r="D1145" s="70" t="s">
        <v>2928</v>
      </c>
      <c r="E1145" s="73" t="s">
        <v>1828</v>
      </c>
      <c r="F1145" s="63" t="s">
        <v>6</v>
      </c>
      <c r="G1145" s="56" t="s">
        <v>2870</v>
      </c>
      <c r="H1145" s="56" t="s">
        <v>2870</v>
      </c>
      <c r="I1145" s="56" t="s">
        <v>3267</v>
      </c>
      <c r="J1145" s="346">
        <v>2</v>
      </c>
    </row>
    <row r="1146" spans="2:10" x14ac:dyDescent="0.3">
      <c r="B1146" s="65">
        <v>46101</v>
      </c>
      <c r="C1146" s="71">
        <v>46082</v>
      </c>
      <c r="D1146" s="70" t="s">
        <v>2928</v>
      </c>
      <c r="E1146" s="73" t="s">
        <v>1828</v>
      </c>
      <c r="F1146" s="63" t="s">
        <v>6</v>
      </c>
      <c r="G1146" s="56" t="s">
        <v>2899</v>
      </c>
      <c r="H1146" s="56" t="s">
        <v>2900</v>
      </c>
      <c r="I1146" s="56" t="s">
        <v>3267</v>
      </c>
      <c r="J1146" s="346">
        <v>1</v>
      </c>
    </row>
    <row r="1147" spans="2:10" x14ac:dyDescent="0.3">
      <c r="B1147" s="65">
        <v>46101</v>
      </c>
      <c r="C1147" s="71">
        <v>46082</v>
      </c>
      <c r="D1147" s="70" t="s">
        <v>2928</v>
      </c>
      <c r="E1147" s="73" t="s">
        <v>1828</v>
      </c>
      <c r="F1147" s="63" t="s">
        <v>6</v>
      </c>
      <c r="G1147" s="56" t="s">
        <v>2814</v>
      </c>
      <c r="H1147" s="56" t="s">
        <v>2815</v>
      </c>
      <c r="I1147" s="56" t="s">
        <v>3267</v>
      </c>
      <c r="J1147" s="346">
        <v>4</v>
      </c>
    </row>
    <row r="1148" spans="2:10" x14ac:dyDescent="0.3">
      <c r="B1148" s="65">
        <v>46101</v>
      </c>
      <c r="C1148" s="71">
        <v>46082</v>
      </c>
      <c r="D1148" s="70" t="s">
        <v>2928</v>
      </c>
      <c r="E1148" s="73" t="s">
        <v>1828</v>
      </c>
      <c r="F1148" s="63" t="s">
        <v>6</v>
      </c>
      <c r="G1148" s="56" t="s">
        <v>2816</v>
      </c>
      <c r="H1148" s="56" t="s">
        <v>2817</v>
      </c>
      <c r="I1148" s="56" t="s">
        <v>3267</v>
      </c>
      <c r="J1148" s="346">
        <v>1</v>
      </c>
    </row>
    <row r="1149" spans="2:10" x14ac:dyDescent="0.3">
      <c r="B1149" s="65">
        <v>46101</v>
      </c>
      <c r="C1149" s="71">
        <v>46082</v>
      </c>
      <c r="D1149" s="70" t="s">
        <v>2928</v>
      </c>
      <c r="E1149" s="73" t="s">
        <v>1828</v>
      </c>
      <c r="F1149" s="63" t="s">
        <v>6</v>
      </c>
      <c r="G1149" s="56" t="s">
        <v>2818</v>
      </c>
      <c r="H1149" s="56" t="s">
        <v>2819</v>
      </c>
      <c r="I1149" s="56" t="s">
        <v>3267</v>
      </c>
      <c r="J1149" s="346">
        <v>1</v>
      </c>
    </row>
    <row r="1150" spans="2:10" x14ac:dyDescent="0.3">
      <c r="B1150" s="65">
        <v>46104</v>
      </c>
      <c r="C1150" s="333">
        <v>46082</v>
      </c>
      <c r="D1150" s="264" t="s">
        <v>2928</v>
      </c>
      <c r="E1150" s="334" t="s">
        <v>1828</v>
      </c>
      <c r="F1150" s="267" t="s">
        <v>6</v>
      </c>
      <c r="G1150" s="56" t="s">
        <v>2870</v>
      </c>
      <c r="H1150" s="56" t="s">
        <v>2870</v>
      </c>
      <c r="I1150" s="56" t="s">
        <v>3267</v>
      </c>
      <c r="J1150" s="346">
        <v>2</v>
      </c>
    </row>
    <row r="1151" spans="2:10" x14ac:dyDescent="0.3">
      <c r="B1151" s="65">
        <v>46104</v>
      </c>
      <c r="C1151" s="333">
        <v>46082</v>
      </c>
      <c r="D1151" s="264" t="s">
        <v>2928</v>
      </c>
      <c r="E1151" s="334" t="s">
        <v>1828</v>
      </c>
      <c r="F1151" s="267" t="s">
        <v>6</v>
      </c>
      <c r="G1151" s="56" t="s">
        <v>2899</v>
      </c>
      <c r="H1151" s="56" t="s">
        <v>2900</v>
      </c>
      <c r="I1151" s="56" t="s">
        <v>3267</v>
      </c>
      <c r="J1151" s="346">
        <v>1</v>
      </c>
    </row>
    <row r="1152" spans="2:10" x14ac:dyDescent="0.3">
      <c r="B1152" s="65">
        <v>46104</v>
      </c>
      <c r="C1152" s="333">
        <v>46082</v>
      </c>
      <c r="D1152" s="264" t="s">
        <v>2928</v>
      </c>
      <c r="E1152" s="334" t="s">
        <v>1828</v>
      </c>
      <c r="F1152" s="267" t="s">
        <v>6</v>
      </c>
      <c r="G1152" s="56" t="s">
        <v>2814</v>
      </c>
      <c r="H1152" s="56" t="s">
        <v>2815</v>
      </c>
      <c r="I1152" s="56" t="s">
        <v>3267</v>
      </c>
      <c r="J1152" s="346">
        <v>4</v>
      </c>
    </row>
    <row r="1153" spans="2:10" x14ac:dyDescent="0.3">
      <c r="B1153" s="65">
        <v>46104</v>
      </c>
      <c r="C1153" s="333">
        <v>46082</v>
      </c>
      <c r="D1153" s="264" t="s">
        <v>2928</v>
      </c>
      <c r="E1153" s="334" t="s">
        <v>1828</v>
      </c>
      <c r="F1153" s="267" t="s">
        <v>6</v>
      </c>
      <c r="G1153" s="56" t="s">
        <v>2816</v>
      </c>
      <c r="H1153" s="56" t="s">
        <v>2817</v>
      </c>
      <c r="I1153" s="56" t="s">
        <v>3267</v>
      </c>
      <c r="J1153" s="346">
        <v>1</v>
      </c>
    </row>
    <row r="1154" spans="2:10" x14ac:dyDescent="0.3">
      <c r="B1154" s="65">
        <v>46104</v>
      </c>
      <c r="C1154" s="333">
        <v>46082</v>
      </c>
      <c r="D1154" s="264" t="s">
        <v>2928</v>
      </c>
      <c r="E1154" s="334" t="s">
        <v>1828</v>
      </c>
      <c r="F1154" s="267" t="s">
        <v>6</v>
      </c>
      <c r="G1154" s="56" t="s">
        <v>2818</v>
      </c>
      <c r="H1154" s="56" t="s">
        <v>2819</v>
      </c>
      <c r="I1154" s="56" t="s">
        <v>3267</v>
      </c>
      <c r="J1154" s="346">
        <v>1</v>
      </c>
    </row>
    <row r="1155" spans="2:10" ht="31.5" x14ac:dyDescent="0.3">
      <c r="B1155" s="105">
        <v>46105</v>
      </c>
      <c r="C1155" s="335">
        <v>46082</v>
      </c>
      <c r="D1155" s="336" t="s">
        <v>2928</v>
      </c>
      <c r="E1155" s="334" t="s">
        <v>1828</v>
      </c>
      <c r="F1155" s="337" t="s">
        <v>6</v>
      </c>
      <c r="G1155" s="106" t="s">
        <v>2966</v>
      </c>
      <c r="H1155" s="104" t="s">
        <v>3319</v>
      </c>
      <c r="I1155" s="106" t="s">
        <v>3267</v>
      </c>
      <c r="J1155" s="64">
        <v>2</v>
      </c>
    </row>
    <row r="1156" spans="2:10" x14ac:dyDescent="0.3">
      <c r="B1156" s="105">
        <v>46105</v>
      </c>
      <c r="C1156" s="333">
        <v>46082</v>
      </c>
      <c r="D1156" s="264" t="s">
        <v>2928</v>
      </c>
      <c r="E1156" s="334" t="s">
        <v>1828</v>
      </c>
      <c r="F1156" s="267" t="s">
        <v>6</v>
      </c>
      <c r="G1156" s="56" t="s">
        <v>2899</v>
      </c>
      <c r="H1156" s="56" t="s">
        <v>2900</v>
      </c>
      <c r="I1156" s="56" t="s">
        <v>3267</v>
      </c>
      <c r="J1156" s="346">
        <v>1</v>
      </c>
    </row>
    <row r="1157" spans="2:10" x14ac:dyDescent="0.3">
      <c r="B1157" s="105">
        <v>46105</v>
      </c>
      <c r="C1157" s="333">
        <v>46082</v>
      </c>
      <c r="D1157" s="264" t="s">
        <v>2928</v>
      </c>
      <c r="E1157" s="334" t="s">
        <v>1828</v>
      </c>
      <c r="F1157" s="267" t="s">
        <v>6</v>
      </c>
      <c r="G1157" s="56" t="s">
        <v>2814</v>
      </c>
      <c r="H1157" s="56" t="s">
        <v>2815</v>
      </c>
      <c r="I1157" s="56" t="s">
        <v>3267</v>
      </c>
      <c r="J1157" s="346">
        <v>4</v>
      </c>
    </row>
    <row r="1158" spans="2:10" x14ac:dyDescent="0.3">
      <c r="B1158" s="105">
        <v>46105</v>
      </c>
      <c r="C1158" s="333">
        <v>46082</v>
      </c>
      <c r="D1158" s="264" t="s">
        <v>2928</v>
      </c>
      <c r="E1158" s="334" t="s">
        <v>1828</v>
      </c>
      <c r="F1158" s="267" t="s">
        <v>6</v>
      </c>
      <c r="G1158" s="56" t="s">
        <v>2816</v>
      </c>
      <c r="H1158" s="56" t="s">
        <v>2817</v>
      </c>
      <c r="I1158" s="56" t="s">
        <v>3267</v>
      </c>
      <c r="J1158" s="346">
        <v>1</v>
      </c>
    </row>
    <row r="1159" spans="2:10" x14ac:dyDescent="0.3">
      <c r="B1159" s="105">
        <v>46105</v>
      </c>
      <c r="C1159" s="333">
        <v>46082</v>
      </c>
      <c r="D1159" s="264" t="s">
        <v>2928</v>
      </c>
      <c r="E1159" s="334" t="s">
        <v>1828</v>
      </c>
      <c r="F1159" s="267" t="s">
        <v>6</v>
      </c>
      <c r="G1159" s="56" t="s">
        <v>2818</v>
      </c>
      <c r="H1159" s="56" t="s">
        <v>2819</v>
      </c>
      <c r="I1159" s="56" t="s">
        <v>3267</v>
      </c>
      <c r="J1159" s="346">
        <v>1</v>
      </c>
    </row>
    <row r="1160" spans="2:10" x14ac:dyDescent="0.3">
      <c r="B1160" s="105">
        <v>46105</v>
      </c>
      <c r="C1160" s="333">
        <v>46082</v>
      </c>
      <c r="D1160" s="264" t="s">
        <v>2928</v>
      </c>
      <c r="E1160" s="334" t="s">
        <v>1828</v>
      </c>
      <c r="F1160" s="267" t="s">
        <v>6</v>
      </c>
      <c r="G1160" s="56" t="s">
        <v>2870</v>
      </c>
      <c r="H1160" s="56" t="s">
        <v>2870</v>
      </c>
      <c r="I1160" s="56" t="s">
        <v>3267</v>
      </c>
      <c r="J1160" s="346">
        <v>2</v>
      </c>
    </row>
    <row r="1161" spans="2:10" ht="31.5" x14ac:dyDescent="0.3">
      <c r="B1161" s="105">
        <v>46106</v>
      </c>
      <c r="C1161" s="335">
        <v>46082</v>
      </c>
      <c r="D1161" s="336" t="s">
        <v>2928</v>
      </c>
      <c r="E1161" s="334" t="s">
        <v>1828</v>
      </c>
      <c r="F1161" s="337" t="s">
        <v>6</v>
      </c>
      <c r="G1161" s="106" t="s">
        <v>3546</v>
      </c>
      <c r="H1161" s="104" t="s">
        <v>3547</v>
      </c>
      <c r="I1161" s="106" t="s">
        <v>3267</v>
      </c>
      <c r="J1161" s="64">
        <v>4</v>
      </c>
    </row>
    <row r="1162" spans="2:10" ht="31.5" x14ac:dyDescent="0.3">
      <c r="B1162" s="105">
        <v>46106</v>
      </c>
      <c r="C1162" s="335">
        <v>46082</v>
      </c>
      <c r="D1162" s="336" t="s">
        <v>2928</v>
      </c>
      <c r="E1162" s="334" t="s">
        <v>1828</v>
      </c>
      <c r="F1162" s="337" t="s">
        <v>6</v>
      </c>
      <c r="G1162" s="106" t="s">
        <v>3548</v>
      </c>
      <c r="H1162" s="104" t="s">
        <v>3549</v>
      </c>
      <c r="I1162" s="106" t="s">
        <v>3267</v>
      </c>
      <c r="J1162" s="64">
        <v>2</v>
      </c>
    </row>
    <row r="1163" spans="2:10" ht="32.25" x14ac:dyDescent="0.3">
      <c r="B1163" s="105">
        <v>46106</v>
      </c>
      <c r="C1163" s="335">
        <v>46082</v>
      </c>
      <c r="D1163" s="336" t="s">
        <v>2928</v>
      </c>
      <c r="E1163" s="334" t="s">
        <v>1828</v>
      </c>
      <c r="F1163" s="337" t="s">
        <v>6</v>
      </c>
      <c r="G1163" s="106" t="s">
        <v>3550</v>
      </c>
      <c r="H1163" s="87" t="s">
        <v>3553</v>
      </c>
      <c r="I1163" s="106" t="s">
        <v>3267</v>
      </c>
      <c r="J1163" s="64">
        <v>1</v>
      </c>
    </row>
    <row r="1164" spans="2:10" ht="31.5" x14ac:dyDescent="0.3">
      <c r="B1164" s="105">
        <v>46106</v>
      </c>
      <c r="C1164" s="335">
        <v>46082</v>
      </c>
      <c r="D1164" s="336" t="s">
        <v>2928</v>
      </c>
      <c r="E1164" s="334" t="s">
        <v>1828</v>
      </c>
      <c r="F1164" s="337" t="s">
        <v>6</v>
      </c>
      <c r="G1164" s="106" t="s">
        <v>3545</v>
      </c>
      <c r="H1164" s="104" t="s">
        <v>3544</v>
      </c>
      <c r="I1164" s="106" t="s">
        <v>3267</v>
      </c>
      <c r="J1164" s="64">
        <v>4</v>
      </c>
    </row>
    <row r="1165" spans="2:10" ht="31.5" x14ac:dyDescent="0.3">
      <c r="B1165" s="105">
        <v>46106</v>
      </c>
      <c r="C1165" s="335">
        <v>46082</v>
      </c>
      <c r="D1165" s="336" t="s">
        <v>2928</v>
      </c>
      <c r="E1165" s="334" t="s">
        <v>1828</v>
      </c>
      <c r="F1165" s="337" t="s">
        <v>6</v>
      </c>
      <c r="G1165" s="106" t="s">
        <v>3551</v>
      </c>
      <c r="H1165" s="104" t="s">
        <v>3552</v>
      </c>
      <c r="I1165" s="106" t="s">
        <v>3267</v>
      </c>
      <c r="J1165" s="64">
        <v>1</v>
      </c>
    </row>
    <row r="1166" spans="2:10" ht="31.5" x14ac:dyDescent="0.3">
      <c r="B1166" s="105">
        <v>46107</v>
      </c>
      <c r="C1166" s="335">
        <v>46082</v>
      </c>
      <c r="D1166" s="336" t="s">
        <v>2928</v>
      </c>
      <c r="E1166" s="334" t="s">
        <v>1828</v>
      </c>
      <c r="F1166" s="337" t="s">
        <v>6</v>
      </c>
      <c r="G1166" s="106" t="s">
        <v>3546</v>
      </c>
      <c r="H1166" s="104" t="s">
        <v>3547</v>
      </c>
      <c r="I1166" s="106" t="s">
        <v>3267</v>
      </c>
      <c r="J1166" s="64">
        <v>4</v>
      </c>
    </row>
    <row r="1167" spans="2:10" ht="31.5" x14ac:dyDescent="0.3">
      <c r="B1167" s="105">
        <v>46107</v>
      </c>
      <c r="C1167" s="335">
        <v>46082</v>
      </c>
      <c r="D1167" s="336" t="s">
        <v>2928</v>
      </c>
      <c r="E1167" s="334" t="s">
        <v>1828</v>
      </c>
      <c r="F1167" s="337" t="s">
        <v>6</v>
      </c>
      <c r="G1167" s="106" t="s">
        <v>3548</v>
      </c>
      <c r="H1167" s="104" t="s">
        <v>3549</v>
      </c>
      <c r="I1167" s="106" t="s">
        <v>3267</v>
      </c>
      <c r="J1167" s="64">
        <v>2</v>
      </c>
    </row>
    <row r="1168" spans="2:10" ht="32.25" x14ac:dyDescent="0.3">
      <c r="B1168" s="105">
        <v>46107</v>
      </c>
      <c r="C1168" s="335">
        <v>46082</v>
      </c>
      <c r="D1168" s="336" t="s">
        <v>2928</v>
      </c>
      <c r="E1168" s="334" t="s">
        <v>1828</v>
      </c>
      <c r="F1168" s="337" t="s">
        <v>6</v>
      </c>
      <c r="G1168" s="106" t="s">
        <v>3550</v>
      </c>
      <c r="H1168" s="87" t="s">
        <v>3553</v>
      </c>
      <c r="I1168" s="106" t="s">
        <v>3267</v>
      </c>
      <c r="J1168" s="64">
        <v>1</v>
      </c>
    </row>
    <row r="1169" spans="2:10" ht="31.5" x14ac:dyDescent="0.3">
      <c r="B1169" s="105">
        <v>46107</v>
      </c>
      <c r="C1169" s="335">
        <v>46082</v>
      </c>
      <c r="D1169" s="336" t="s">
        <v>2928</v>
      </c>
      <c r="E1169" s="334" t="s">
        <v>1828</v>
      </c>
      <c r="F1169" s="337" t="s">
        <v>6</v>
      </c>
      <c r="G1169" s="106" t="s">
        <v>3545</v>
      </c>
      <c r="H1169" s="104" t="s">
        <v>3544</v>
      </c>
      <c r="I1169" s="106" t="s">
        <v>3267</v>
      </c>
      <c r="J1169" s="64">
        <v>4</v>
      </c>
    </row>
    <row r="1170" spans="2:10" ht="31.5" x14ac:dyDescent="0.3">
      <c r="B1170" s="105">
        <v>46107</v>
      </c>
      <c r="C1170" s="335">
        <v>46082</v>
      </c>
      <c r="D1170" s="336" t="s">
        <v>2928</v>
      </c>
      <c r="E1170" s="334" t="s">
        <v>1828</v>
      </c>
      <c r="F1170" s="337" t="s">
        <v>6</v>
      </c>
      <c r="G1170" s="106" t="s">
        <v>3551</v>
      </c>
      <c r="H1170" s="104" t="s">
        <v>3552</v>
      </c>
      <c r="I1170" s="106" t="s">
        <v>3267</v>
      </c>
      <c r="J1170" s="64">
        <v>1</v>
      </c>
    </row>
    <row r="1171" spans="2:10" ht="31.5" x14ac:dyDescent="0.3">
      <c r="B1171" s="105">
        <v>46108</v>
      </c>
      <c r="C1171" s="335">
        <v>46082</v>
      </c>
      <c r="D1171" s="336" t="s">
        <v>2928</v>
      </c>
      <c r="E1171" s="334" t="s">
        <v>1828</v>
      </c>
      <c r="F1171" s="337" t="s">
        <v>6</v>
      </c>
      <c r="G1171" s="106" t="s">
        <v>3546</v>
      </c>
      <c r="H1171" s="104" t="s">
        <v>3547</v>
      </c>
      <c r="I1171" s="106" t="s">
        <v>3267</v>
      </c>
      <c r="J1171" s="64">
        <v>4</v>
      </c>
    </row>
    <row r="1172" spans="2:10" ht="31.5" x14ac:dyDescent="0.3">
      <c r="B1172" s="105">
        <v>46108</v>
      </c>
      <c r="C1172" s="335">
        <v>46082</v>
      </c>
      <c r="D1172" s="336" t="s">
        <v>2928</v>
      </c>
      <c r="E1172" s="334" t="s">
        <v>1828</v>
      </c>
      <c r="F1172" s="337" t="s">
        <v>6</v>
      </c>
      <c r="G1172" s="106" t="s">
        <v>3548</v>
      </c>
      <c r="H1172" s="104" t="s">
        <v>3549</v>
      </c>
      <c r="I1172" s="106" t="s">
        <v>3267</v>
      </c>
      <c r="J1172" s="64">
        <v>2</v>
      </c>
    </row>
    <row r="1173" spans="2:10" ht="32.25" x14ac:dyDescent="0.3">
      <c r="B1173" s="105">
        <v>46108</v>
      </c>
      <c r="C1173" s="335">
        <v>46082</v>
      </c>
      <c r="D1173" s="336" t="s">
        <v>2928</v>
      </c>
      <c r="E1173" s="334" t="s">
        <v>1828</v>
      </c>
      <c r="F1173" s="337" t="s">
        <v>6</v>
      </c>
      <c r="G1173" s="106" t="s">
        <v>3550</v>
      </c>
      <c r="H1173" s="87" t="s">
        <v>3553</v>
      </c>
      <c r="I1173" s="106" t="s">
        <v>3267</v>
      </c>
      <c r="J1173" s="64">
        <v>1</v>
      </c>
    </row>
    <row r="1174" spans="2:10" ht="31.5" x14ac:dyDescent="0.3">
      <c r="B1174" s="105">
        <v>46108</v>
      </c>
      <c r="C1174" s="335">
        <v>46082</v>
      </c>
      <c r="D1174" s="336" t="s">
        <v>2928</v>
      </c>
      <c r="E1174" s="334" t="s">
        <v>1828</v>
      </c>
      <c r="F1174" s="337" t="s">
        <v>6</v>
      </c>
      <c r="G1174" s="106" t="s">
        <v>3545</v>
      </c>
      <c r="H1174" s="104" t="s">
        <v>3544</v>
      </c>
      <c r="I1174" s="106" t="s">
        <v>3267</v>
      </c>
      <c r="J1174" s="64">
        <v>4</v>
      </c>
    </row>
    <row r="1175" spans="2:10" ht="31.5" x14ac:dyDescent="0.3">
      <c r="B1175" s="105">
        <v>46108</v>
      </c>
      <c r="C1175" s="335">
        <v>46082</v>
      </c>
      <c r="D1175" s="336" t="s">
        <v>2928</v>
      </c>
      <c r="E1175" s="334" t="s">
        <v>1828</v>
      </c>
      <c r="F1175" s="337" t="s">
        <v>6</v>
      </c>
      <c r="G1175" s="106" t="s">
        <v>3551</v>
      </c>
      <c r="H1175" s="104" t="s">
        <v>3552</v>
      </c>
      <c r="I1175" s="106" t="s">
        <v>3267</v>
      </c>
      <c r="J1175" s="64">
        <v>1</v>
      </c>
    </row>
  </sheetData>
  <autoFilter ref="B1:H1098" xr:uid="{91F1CC51-ECC3-4882-B37E-AED8BA840C5E}"/>
  <mergeCells count="1">
    <mergeCell ref="F971:F973"/>
  </mergeCells>
  <conditionalFormatting sqref="F1">
    <cfRule type="cellIs" dxfId="30" priority="1" operator="equal">
      <formula>"WARNING"</formula>
    </cfRule>
    <cfRule type="cellIs" dxfId="29" priority="2" operator="equal">
      <formula>"REQ"</formula>
    </cfRule>
    <cfRule type="cellIs" dxfId="28" priority="3" operator="equal">
      <formula>"INC"</formula>
    </cfRule>
  </conditionalFormatting>
  <conditionalFormatting sqref="F2:F971 F974:F10010">
    <cfRule type="cellIs" dxfId="27" priority="22" operator="equal">
      <formula>"WARNING"</formula>
    </cfRule>
    <cfRule type="cellIs" dxfId="26" priority="23" operator="equal">
      <formula>"REQ"</formula>
    </cfRule>
    <cfRule type="cellIs" dxfId="25" priority="56" operator="equal">
      <formula>"INC"</formula>
    </cfRule>
  </conditionalFormatting>
  <hyperlinks>
    <hyperlink ref="H334" r:id="rId1" display="http://10.150.180.63/appweb/ConsIF/consuCAP.php " xr:uid="{E48335DE-9ACB-4BF4-9C2B-899F230FAA86}"/>
  </hyperlinks>
  <pageMargins left="0.3" right="0.3" top="0.3" bottom="0.3" header="0" footer="0"/>
  <pageSetup scale="53" fitToHeight="0" orientation="landscape" verticalDpi="3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4C88C-C5E5-4D75-AFAF-300C90BE345E}">
  <sheetPr codeName="Hoja10">
    <tabColor theme="7" tint="0.39997558519241921"/>
    <pageSetUpPr fitToPage="1"/>
  </sheetPr>
  <dimension ref="A1:M1214"/>
  <sheetViews>
    <sheetView showGridLines="0" zoomScale="90" zoomScaleNormal="90" workbookViewId="0">
      <pane ySplit="1" topLeftCell="A1153" activePane="bottomLeft" state="frozen"/>
      <selection pane="bottomLeft" activeCell="B1" sqref="B1:J1"/>
    </sheetView>
  </sheetViews>
  <sheetFormatPr baseColWidth="10" defaultColWidth="11" defaultRowHeight="17.25" x14ac:dyDescent="0.3"/>
  <cols>
    <col min="1" max="1" width="3.375" style="1" customWidth="1"/>
    <col min="2" max="2" width="13.375" style="11" customWidth="1"/>
    <col min="3" max="3" width="16.875" style="102" customWidth="1"/>
    <col min="4" max="4" width="29.125" style="2" customWidth="1"/>
    <col min="5" max="5" width="20.875" style="2" customWidth="1"/>
    <col min="6" max="6" width="12.25" style="2" bestFit="1" customWidth="1"/>
    <col min="7" max="7" width="80.375" style="2" customWidth="1"/>
    <col min="8" max="8" width="71.75" style="2" customWidth="1"/>
    <col min="9" max="9" width="25.125" style="1" customWidth="1"/>
    <col min="10" max="10" width="26.125" style="1" customWidth="1"/>
    <col min="11" max="13" width="11" style="1" customWidth="1"/>
    <col min="14" max="14" width="11" style="2" customWidth="1"/>
    <col min="15" max="16384" width="11" style="2"/>
  </cols>
  <sheetData>
    <row r="1" spans="1:13" s="4" customFormat="1" ht="35.1" customHeight="1" x14ac:dyDescent="0.25">
      <c r="A1" s="3"/>
      <c r="B1" s="8" t="s">
        <v>16</v>
      </c>
      <c r="C1" s="8" t="s">
        <v>17</v>
      </c>
      <c r="D1" s="8" t="s">
        <v>18</v>
      </c>
      <c r="E1" s="8" t="s">
        <v>19</v>
      </c>
      <c r="F1" s="8" t="s">
        <v>20</v>
      </c>
      <c r="G1" s="8" t="s">
        <v>21</v>
      </c>
      <c r="H1" s="8" t="s">
        <v>22</v>
      </c>
      <c r="I1" s="280" t="s">
        <v>3266</v>
      </c>
      <c r="J1" s="280" t="s">
        <v>3269</v>
      </c>
      <c r="K1" s="3"/>
      <c r="L1" s="3"/>
      <c r="M1" s="3"/>
    </row>
    <row r="2" spans="1:13" customFormat="1" ht="15.75" x14ac:dyDescent="0.25">
      <c r="B2" s="74">
        <v>45735</v>
      </c>
      <c r="C2" s="74">
        <v>45717</v>
      </c>
      <c r="D2" s="75" t="s">
        <v>2811</v>
      </c>
      <c r="E2" s="75" t="s">
        <v>1790</v>
      </c>
      <c r="F2" s="63" t="s">
        <v>6</v>
      </c>
      <c r="G2" s="75" t="s">
        <v>2812</v>
      </c>
      <c r="H2" s="75" t="s">
        <v>2813</v>
      </c>
    </row>
    <row r="3" spans="1:13" customFormat="1" ht="15.75" x14ac:dyDescent="0.25">
      <c r="B3" s="74">
        <v>45735</v>
      </c>
      <c r="C3" s="74">
        <v>45717</v>
      </c>
      <c r="D3" s="75" t="s">
        <v>2811</v>
      </c>
      <c r="E3" s="75" t="s">
        <v>1790</v>
      </c>
      <c r="F3" s="63" t="s">
        <v>6</v>
      </c>
      <c r="G3" s="75" t="s">
        <v>2814</v>
      </c>
      <c r="H3" s="75" t="s">
        <v>2815</v>
      </c>
    </row>
    <row r="4" spans="1:13" customFormat="1" ht="15.75" x14ac:dyDescent="0.25">
      <c r="B4" s="74">
        <v>45735</v>
      </c>
      <c r="C4" s="74">
        <v>45717</v>
      </c>
      <c r="D4" s="75" t="s">
        <v>2811</v>
      </c>
      <c r="E4" s="75" t="s">
        <v>1790</v>
      </c>
      <c r="F4" s="63" t="s">
        <v>6</v>
      </c>
      <c r="G4" s="75" t="s">
        <v>2816</v>
      </c>
      <c r="H4" s="75" t="s">
        <v>2817</v>
      </c>
    </row>
    <row r="5" spans="1:13" customFormat="1" ht="15.75" x14ac:dyDescent="0.25">
      <c r="B5" s="74">
        <v>45735</v>
      </c>
      <c r="C5" s="74">
        <v>45717</v>
      </c>
      <c r="D5" s="75" t="s">
        <v>2811</v>
      </c>
      <c r="E5" s="75" t="s">
        <v>1790</v>
      </c>
      <c r="F5" s="63" t="s">
        <v>6</v>
      </c>
      <c r="G5" s="75" t="s">
        <v>2818</v>
      </c>
      <c r="H5" s="75" t="s">
        <v>2819</v>
      </c>
    </row>
    <row r="6" spans="1:13" customFormat="1" ht="15.75" x14ac:dyDescent="0.25">
      <c r="B6" s="74">
        <v>45736</v>
      </c>
      <c r="C6" s="74">
        <v>45717</v>
      </c>
      <c r="D6" s="75" t="s">
        <v>2811</v>
      </c>
      <c r="E6" s="75" t="s">
        <v>1790</v>
      </c>
      <c r="F6" s="63" t="s">
        <v>6</v>
      </c>
      <c r="G6" s="75" t="s">
        <v>2812</v>
      </c>
      <c r="H6" s="75" t="s">
        <v>2813</v>
      </c>
    </row>
    <row r="7" spans="1:13" customFormat="1" ht="15.75" x14ac:dyDescent="0.25">
      <c r="B7" s="74">
        <v>45736</v>
      </c>
      <c r="C7" s="74">
        <v>45717</v>
      </c>
      <c r="D7" s="75" t="s">
        <v>2811</v>
      </c>
      <c r="E7" s="75" t="s">
        <v>1790</v>
      </c>
      <c r="F7" s="63" t="s">
        <v>6</v>
      </c>
      <c r="G7" s="75" t="s">
        <v>2814</v>
      </c>
      <c r="H7" s="75" t="s">
        <v>2815</v>
      </c>
    </row>
    <row r="8" spans="1:13" customFormat="1" ht="15.75" x14ac:dyDescent="0.25">
      <c r="B8" s="74">
        <v>45736</v>
      </c>
      <c r="C8" s="74">
        <v>45717</v>
      </c>
      <c r="D8" s="75" t="s">
        <v>2811</v>
      </c>
      <c r="E8" s="75" t="s">
        <v>1790</v>
      </c>
      <c r="F8" s="63" t="s">
        <v>6</v>
      </c>
      <c r="G8" s="75" t="s">
        <v>2816</v>
      </c>
      <c r="H8" s="75" t="s">
        <v>2817</v>
      </c>
    </row>
    <row r="9" spans="1:13" customFormat="1" ht="15.75" x14ac:dyDescent="0.25">
      <c r="B9" s="74">
        <v>45736</v>
      </c>
      <c r="C9" s="74">
        <v>45717</v>
      </c>
      <c r="D9" s="75" t="s">
        <v>2811</v>
      </c>
      <c r="E9" s="75" t="s">
        <v>1790</v>
      </c>
      <c r="F9" s="63" t="s">
        <v>6</v>
      </c>
      <c r="G9" s="75" t="s">
        <v>2818</v>
      </c>
      <c r="H9" s="75" t="s">
        <v>2819</v>
      </c>
    </row>
    <row r="10" spans="1:13" customFormat="1" ht="15.75" x14ac:dyDescent="0.25">
      <c r="B10" s="74">
        <v>45737</v>
      </c>
      <c r="C10" s="74">
        <v>45717</v>
      </c>
      <c r="D10" s="75" t="s">
        <v>2811</v>
      </c>
      <c r="E10" s="75" t="s">
        <v>1790</v>
      </c>
      <c r="F10" s="63" t="s">
        <v>6</v>
      </c>
      <c r="G10" s="75" t="s">
        <v>2812</v>
      </c>
      <c r="H10" s="75" t="s">
        <v>2813</v>
      </c>
    </row>
    <row r="11" spans="1:13" customFormat="1" ht="15.75" x14ac:dyDescent="0.25">
      <c r="B11" s="74">
        <v>45737</v>
      </c>
      <c r="C11" s="74">
        <v>45717</v>
      </c>
      <c r="D11" s="75" t="s">
        <v>2811</v>
      </c>
      <c r="E11" s="75" t="s">
        <v>1790</v>
      </c>
      <c r="F11" s="63" t="s">
        <v>6</v>
      </c>
      <c r="G11" s="75" t="s">
        <v>2814</v>
      </c>
      <c r="H11" s="75" t="s">
        <v>2815</v>
      </c>
    </row>
    <row r="12" spans="1:13" x14ac:dyDescent="0.3">
      <c r="B12" s="74">
        <v>45737</v>
      </c>
      <c r="C12" s="74">
        <v>45717</v>
      </c>
      <c r="D12" s="75" t="s">
        <v>2811</v>
      </c>
      <c r="E12" s="75" t="s">
        <v>1790</v>
      </c>
      <c r="F12" s="63" t="s">
        <v>6</v>
      </c>
      <c r="G12" s="75" t="s">
        <v>2816</v>
      </c>
      <c r="H12" s="75" t="s">
        <v>2817</v>
      </c>
    </row>
    <row r="13" spans="1:13" x14ac:dyDescent="0.3">
      <c r="B13" s="74">
        <v>45737</v>
      </c>
      <c r="C13" s="74">
        <v>45717</v>
      </c>
      <c r="D13" s="75" t="s">
        <v>2811</v>
      </c>
      <c r="E13" s="75" t="s">
        <v>1790</v>
      </c>
      <c r="F13" s="63" t="s">
        <v>6</v>
      </c>
      <c r="G13" s="75" t="s">
        <v>2818</v>
      </c>
      <c r="H13" s="75" t="s">
        <v>2819</v>
      </c>
    </row>
    <row r="14" spans="1:13" x14ac:dyDescent="0.3">
      <c r="B14" s="74">
        <v>45740</v>
      </c>
      <c r="C14" s="74">
        <v>45717</v>
      </c>
      <c r="D14" s="75" t="s">
        <v>2811</v>
      </c>
      <c r="E14" s="75" t="s">
        <v>1790</v>
      </c>
      <c r="F14" s="63" t="s">
        <v>6</v>
      </c>
      <c r="G14" s="75" t="s">
        <v>2812</v>
      </c>
      <c r="H14" s="75" t="s">
        <v>2813</v>
      </c>
    </row>
    <row r="15" spans="1:13" x14ac:dyDescent="0.3">
      <c r="B15" s="74">
        <v>45740</v>
      </c>
      <c r="C15" s="74">
        <v>45717</v>
      </c>
      <c r="D15" s="75" t="s">
        <v>2811</v>
      </c>
      <c r="E15" s="75" t="s">
        <v>1790</v>
      </c>
      <c r="F15" s="63" t="s">
        <v>6</v>
      </c>
      <c r="G15" s="75" t="s">
        <v>2814</v>
      </c>
      <c r="H15" s="75" t="s">
        <v>2815</v>
      </c>
    </row>
    <row r="16" spans="1:13" x14ac:dyDescent="0.3">
      <c r="B16" s="74">
        <v>45740</v>
      </c>
      <c r="C16" s="74">
        <v>45717</v>
      </c>
      <c r="D16" s="75" t="s">
        <v>2811</v>
      </c>
      <c r="E16" s="75" t="s">
        <v>1790</v>
      </c>
      <c r="F16" s="63" t="s">
        <v>6</v>
      </c>
      <c r="G16" s="75" t="s">
        <v>2816</v>
      </c>
      <c r="H16" s="75" t="s">
        <v>2817</v>
      </c>
    </row>
    <row r="17" spans="2:8" x14ac:dyDescent="0.3">
      <c r="B17" s="74">
        <v>45740</v>
      </c>
      <c r="C17" s="74">
        <v>45717</v>
      </c>
      <c r="D17" s="75" t="s">
        <v>2811</v>
      </c>
      <c r="E17" s="75" t="s">
        <v>1790</v>
      </c>
      <c r="F17" s="63" t="s">
        <v>6</v>
      </c>
      <c r="G17" s="75" t="s">
        <v>2818</v>
      </c>
      <c r="H17" s="75" t="s">
        <v>2819</v>
      </c>
    </row>
    <row r="18" spans="2:8" x14ac:dyDescent="0.3">
      <c r="B18" s="74">
        <v>45740</v>
      </c>
      <c r="C18" s="74">
        <v>45717</v>
      </c>
      <c r="D18" s="75" t="s">
        <v>2811</v>
      </c>
      <c r="E18" s="75" t="s">
        <v>1790</v>
      </c>
      <c r="F18" s="63" t="s">
        <v>6</v>
      </c>
      <c r="G18" s="75" t="s">
        <v>2820</v>
      </c>
      <c r="H18" s="75" t="s">
        <v>2821</v>
      </c>
    </row>
    <row r="19" spans="2:8" x14ac:dyDescent="0.3">
      <c r="B19" s="74">
        <v>45741</v>
      </c>
      <c r="C19" s="74">
        <v>45717</v>
      </c>
      <c r="D19" s="75" t="s">
        <v>2811</v>
      </c>
      <c r="E19" s="75" t="s">
        <v>1790</v>
      </c>
      <c r="F19" s="63" t="s">
        <v>6</v>
      </c>
      <c r="G19" s="75" t="s">
        <v>2812</v>
      </c>
      <c r="H19" s="75" t="s">
        <v>2813</v>
      </c>
    </row>
    <row r="20" spans="2:8" x14ac:dyDescent="0.3">
      <c r="B20" s="74">
        <v>45741</v>
      </c>
      <c r="C20" s="74">
        <v>45717</v>
      </c>
      <c r="D20" s="75" t="s">
        <v>2811</v>
      </c>
      <c r="E20" s="75" t="s">
        <v>1790</v>
      </c>
      <c r="F20" s="63" t="s">
        <v>6</v>
      </c>
      <c r="G20" s="75" t="s">
        <v>2814</v>
      </c>
      <c r="H20" s="75" t="s">
        <v>2815</v>
      </c>
    </row>
    <row r="21" spans="2:8" x14ac:dyDescent="0.3">
      <c r="B21" s="74">
        <v>45741</v>
      </c>
      <c r="C21" s="74">
        <v>45717</v>
      </c>
      <c r="D21" s="75" t="s">
        <v>2811</v>
      </c>
      <c r="E21" s="75" t="s">
        <v>1790</v>
      </c>
      <c r="F21" s="63" t="s">
        <v>6</v>
      </c>
      <c r="G21" s="75" t="s">
        <v>2816</v>
      </c>
      <c r="H21" s="75" t="s">
        <v>2817</v>
      </c>
    </row>
    <row r="22" spans="2:8" x14ac:dyDescent="0.3">
      <c r="B22" s="74">
        <v>45741</v>
      </c>
      <c r="C22" s="74">
        <v>45717</v>
      </c>
      <c r="D22" s="75" t="s">
        <v>2811</v>
      </c>
      <c r="E22" s="75" t="s">
        <v>1790</v>
      </c>
      <c r="F22" s="63" t="s">
        <v>6</v>
      </c>
      <c r="G22" s="75" t="s">
        <v>2818</v>
      </c>
      <c r="H22" s="75" t="s">
        <v>2819</v>
      </c>
    </row>
    <row r="23" spans="2:8" x14ac:dyDescent="0.3">
      <c r="B23" s="74">
        <v>45741</v>
      </c>
      <c r="C23" s="74">
        <v>45717</v>
      </c>
      <c r="D23" s="75" t="s">
        <v>2811</v>
      </c>
      <c r="E23" s="75" t="s">
        <v>1790</v>
      </c>
      <c r="F23" s="63" t="s">
        <v>6</v>
      </c>
      <c r="G23" s="75" t="s">
        <v>2820</v>
      </c>
      <c r="H23" s="75" t="s">
        <v>2821</v>
      </c>
    </row>
    <row r="24" spans="2:8" x14ac:dyDescent="0.3">
      <c r="B24" s="74">
        <v>45742</v>
      </c>
      <c r="C24" s="74">
        <v>45717</v>
      </c>
      <c r="D24" s="75" t="s">
        <v>2811</v>
      </c>
      <c r="E24" s="75" t="s">
        <v>1790</v>
      </c>
      <c r="F24" s="63" t="s">
        <v>6</v>
      </c>
      <c r="G24" s="75" t="s">
        <v>2812</v>
      </c>
      <c r="H24" s="75" t="s">
        <v>2813</v>
      </c>
    </row>
    <row r="25" spans="2:8" x14ac:dyDescent="0.3">
      <c r="B25" s="74">
        <v>45742</v>
      </c>
      <c r="C25" s="74">
        <v>45717</v>
      </c>
      <c r="D25" s="75" t="s">
        <v>2811</v>
      </c>
      <c r="E25" s="75" t="s">
        <v>1790</v>
      </c>
      <c r="F25" s="63" t="s">
        <v>6</v>
      </c>
      <c r="G25" s="75" t="s">
        <v>2814</v>
      </c>
      <c r="H25" s="75" t="s">
        <v>2815</v>
      </c>
    </row>
    <row r="26" spans="2:8" x14ac:dyDescent="0.3">
      <c r="B26" s="74">
        <v>45742</v>
      </c>
      <c r="C26" s="74">
        <v>45717</v>
      </c>
      <c r="D26" s="75" t="s">
        <v>2811</v>
      </c>
      <c r="E26" s="75" t="s">
        <v>1790</v>
      </c>
      <c r="F26" s="63" t="s">
        <v>6</v>
      </c>
      <c r="G26" s="75" t="s">
        <v>2816</v>
      </c>
      <c r="H26" s="75" t="s">
        <v>2817</v>
      </c>
    </row>
    <row r="27" spans="2:8" x14ac:dyDescent="0.3">
      <c r="B27" s="74">
        <v>45742</v>
      </c>
      <c r="C27" s="74">
        <v>45717</v>
      </c>
      <c r="D27" s="75" t="s">
        <v>2811</v>
      </c>
      <c r="E27" s="75" t="s">
        <v>1790</v>
      </c>
      <c r="F27" s="63" t="s">
        <v>6</v>
      </c>
      <c r="G27" s="75" t="s">
        <v>2818</v>
      </c>
      <c r="H27" s="75" t="s">
        <v>2819</v>
      </c>
    </row>
    <row r="28" spans="2:8" x14ac:dyDescent="0.3">
      <c r="B28" s="74">
        <v>45742</v>
      </c>
      <c r="C28" s="74">
        <v>45717</v>
      </c>
      <c r="D28" s="75" t="s">
        <v>2811</v>
      </c>
      <c r="E28" s="75" t="s">
        <v>1790</v>
      </c>
      <c r="F28" s="63" t="s">
        <v>6</v>
      </c>
      <c r="G28" s="75" t="s">
        <v>2820</v>
      </c>
      <c r="H28" s="75" t="s">
        <v>2821</v>
      </c>
    </row>
    <row r="29" spans="2:8" x14ac:dyDescent="0.3">
      <c r="B29" s="74">
        <v>45743</v>
      </c>
      <c r="C29" s="74">
        <v>45717</v>
      </c>
      <c r="D29" s="75" t="s">
        <v>2811</v>
      </c>
      <c r="E29" s="75" t="s">
        <v>1790</v>
      </c>
      <c r="F29" s="63" t="s">
        <v>6</v>
      </c>
      <c r="G29" s="75" t="s">
        <v>2812</v>
      </c>
      <c r="H29" s="75" t="s">
        <v>2813</v>
      </c>
    </row>
    <row r="30" spans="2:8" x14ac:dyDescent="0.3">
      <c r="B30" s="74">
        <v>45743</v>
      </c>
      <c r="C30" s="74">
        <v>45717</v>
      </c>
      <c r="D30" s="75" t="s">
        <v>2811</v>
      </c>
      <c r="E30" s="75" t="s">
        <v>1790</v>
      </c>
      <c r="F30" s="63" t="s">
        <v>6</v>
      </c>
      <c r="G30" s="75" t="s">
        <v>2814</v>
      </c>
      <c r="H30" s="75" t="s">
        <v>2815</v>
      </c>
    </row>
    <row r="31" spans="2:8" x14ac:dyDescent="0.3">
      <c r="B31" s="74">
        <v>45743</v>
      </c>
      <c r="C31" s="74">
        <v>45717</v>
      </c>
      <c r="D31" s="75" t="s">
        <v>2811</v>
      </c>
      <c r="E31" s="75" t="s">
        <v>1790</v>
      </c>
      <c r="F31" s="63" t="s">
        <v>6</v>
      </c>
      <c r="G31" s="75" t="s">
        <v>2816</v>
      </c>
      <c r="H31" s="75" t="s">
        <v>2817</v>
      </c>
    </row>
    <row r="32" spans="2:8" x14ac:dyDescent="0.3">
      <c r="B32" s="74">
        <v>45743</v>
      </c>
      <c r="C32" s="74">
        <v>45717</v>
      </c>
      <c r="D32" s="75" t="s">
        <v>2811</v>
      </c>
      <c r="E32" s="75" t="s">
        <v>1790</v>
      </c>
      <c r="F32" s="63" t="s">
        <v>6</v>
      </c>
      <c r="G32" s="75" t="s">
        <v>2818</v>
      </c>
      <c r="H32" s="75" t="s">
        <v>2819</v>
      </c>
    </row>
    <row r="33" spans="2:8" x14ac:dyDescent="0.3">
      <c r="B33" s="74">
        <v>45743</v>
      </c>
      <c r="C33" s="74">
        <v>45717</v>
      </c>
      <c r="D33" s="75" t="s">
        <v>2811</v>
      </c>
      <c r="E33" s="75" t="s">
        <v>1790</v>
      </c>
      <c r="F33" s="63" t="s">
        <v>6</v>
      </c>
      <c r="G33" s="75" t="s">
        <v>2822</v>
      </c>
      <c r="H33" s="75" t="s">
        <v>2823</v>
      </c>
    </row>
    <row r="34" spans="2:8" x14ac:dyDescent="0.3">
      <c r="B34" s="74">
        <v>45744</v>
      </c>
      <c r="C34" s="74">
        <v>45717</v>
      </c>
      <c r="D34" s="75" t="s">
        <v>2811</v>
      </c>
      <c r="E34" s="75" t="s">
        <v>1790</v>
      </c>
      <c r="F34" s="63" t="s">
        <v>6</v>
      </c>
      <c r="G34" s="75" t="s">
        <v>2812</v>
      </c>
      <c r="H34" s="75" t="s">
        <v>2813</v>
      </c>
    </row>
    <row r="35" spans="2:8" x14ac:dyDescent="0.3">
      <c r="B35" s="74">
        <v>45744</v>
      </c>
      <c r="C35" s="74">
        <v>45717</v>
      </c>
      <c r="D35" s="75" t="s">
        <v>2811</v>
      </c>
      <c r="E35" s="75" t="s">
        <v>1790</v>
      </c>
      <c r="F35" s="63" t="s">
        <v>6</v>
      </c>
      <c r="G35" s="75" t="s">
        <v>2814</v>
      </c>
      <c r="H35" s="75" t="s">
        <v>2815</v>
      </c>
    </row>
    <row r="36" spans="2:8" x14ac:dyDescent="0.3">
      <c r="B36" s="74">
        <v>45744</v>
      </c>
      <c r="C36" s="74">
        <v>45717</v>
      </c>
      <c r="D36" s="75" t="s">
        <v>2811</v>
      </c>
      <c r="E36" s="75" t="s">
        <v>1790</v>
      </c>
      <c r="F36" s="63" t="s">
        <v>6</v>
      </c>
      <c r="G36" s="75" t="s">
        <v>2816</v>
      </c>
      <c r="H36" s="75" t="s">
        <v>2817</v>
      </c>
    </row>
    <row r="37" spans="2:8" x14ac:dyDescent="0.3">
      <c r="B37" s="74">
        <v>45744</v>
      </c>
      <c r="C37" s="74">
        <v>45717</v>
      </c>
      <c r="D37" s="75" t="s">
        <v>2811</v>
      </c>
      <c r="E37" s="75" t="s">
        <v>1790</v>
      </c>
      <c r="F37" s="63" t="s">
        <v>6</v>
      </c>
      <c r="G37" s="75" t="s">
        <v>2818</v>
      </c>
      <c r="H37" s="75" t="s">
        <v>2819</v>
      </c>
    </row>
    <row r="38" spans="2:8" x14ac:dyDescent="0.3">
      <c r="B38" s="74">
        <v>45747</v>
      </c>
      <c r="C38" s="74">
        <v>45717</v>
      </c>
      <c r="D38" s="75" t="s">
        <v>2811</v>
      </c>
      <c r="E38" s="75" t="s">
        <v>1790</v>
      </c>
      <c r="F38" s="63" t="s">
        <v>6</v>
      </c>
      <c r="G38" s="75" t="s">
        <v>2812</v>
      </c>
      <c r="H38" s="75" t="s">
        <v>2813</v>
      </c>
    </row>
    <row r="39" spans="2:8" x14ac:dyDescent="0.3">
      <c r="B39" s="74">
        <v>45747</v>
      </c>
      <c r="C39" s="74">
        <v>45717</v>
      </c>
      <c r="D39" s="75" t="s">
        <v>2811</v>
      </c>
      <c r="E39" s="75" t="s">
        <v>1790</v>
      </c>
      <c r="F39" s="63" t="s">
        <v>6</v>
      </c>
      <c r="G39" s="75" t="s">
        <v>2814</v>
      </c>
      <c r="H39" s="75" t="s">
        <v>2815</v>
      </c>
    </row>
    <row r="40" spans="2:8" x14ac:dyDescent="0.3">
      <c r="B40" s="74">
        <v>45747</v>
      </c>
      <c r="C40" s="74">
        <v>45717</v>
      </c>
      <c r="D40" s="75" t="s">
        <v>2811</v>
      </c>
      <c r="E40" s="75" t="s">
        <v>1790</v>
      </c>
      <c r="F40" s="63" t="s">
        <v>6</v>
      </c>
      <c r="G40" s="75" t="s">
        <v>2816</v>
      </c>
      <c r="H40" s="75" t="s">
        <v>2817</v>
      </c>
    </row>
    <row r="41" spans="2:8" x14ac:dyDescent="0.3">
      <c r="B41" s="74">
        <v>45747</v>
      </c>
      <c r="C41" s="74">
        <v>45717</v>
      </c>
      <c r="D41" s="75" t="s">
        <v>2811</v>
      </c>
      <c r="E41" s="75" t="s">
        <v>1790</v>
      </c>
      <c r="F41" s="63" t="s">
        <v>6</v>
      </c>
      <c r="G41" s="75" t="s">
        <v>2818</v>
      </c>
      <c r="H41" s="75" t="s">
        <v>2819</v>
      </c>
    </row>
    <row r="42" spans="2:8" x14ac:dyDescent="0.3">
      <c r="B42" s="74">
        <v>45748</v>
      </c>
      <c r="C42" s="74">
        <v>45748</v>
      </c>
      <c r="D42" s="75" t="s">
        <v>2811</v>
      </c>
      <c r="E42" s="75" t="s">
        <v>1790</v>
      </c>
      <c r="F42" s="63" t="s">
        <v>6</v>
      </c>
      <c r="G42" s="75" t="s">
        <v>2812</v>
      </c>
      <c r="H42" s="75" t="s">
        <v>2813</v>
      </c>
    </row>
    <row r="43" spans="2:8" x14ac:dyDescent="0.3">
      <c r="B43" s="74">
        <v>45748</v>
      </c>
      <c r="C43" s="74">
        <v>45748</v>
      </c>
      <c r="D43" s="75" t="s">
        <v>2811</v>
      </c>
      <c r="E43" s="75" t="s">
        <v>1790</v>
      </c>
      <c r="F43" s="63" t="s">
        <v>6</v>
      </c>
      <c r="G43" s="75" t="s">
        <v>2814</v>
      </c>
      <c r="H43" s="75" t="s">
        <v>2815</v>
      </c>
    </row>
    <row r="44" spans="2:8" x14ac:dyDescent="0.3">
      <c r="B44" s="74">
        <v>45748</v>
      </c>
      <c r="C44" s="74">
        <v>45748</v>
      </c>
      <c r="D44" s="75" t="s">
        <v>2811</v>
      </c>
      <c r="E44" s="75" t="s">
        <v>1790</v>
      </c>
      <c r="F44" s="63" t="s">
        <v>6</v>
      </c>
      <c r="G44" s="75" t="s">
        <v>2816</v>
      </c>
      <c r="H44" s="75" t="s">
        <v>2817</v>
      </c>
    </row>
    <row r="45" spans="2:8" x14ac:dyDescent="0.3">
      <c r="B45" s="74">
        <v>45748</v>
      </c>
      <c r="C45" s="74">
        <v>45748</v>
      </c>
      <c r="D45" s="75" t="s">
        <v>2811</v>
      </c>
      <c r="E45" s="75" t="s">
        <v>1790</v>
      </c>
      <c r="F45" s="63" t="s">
        <v>6</v>
      </c>
      <c r="G45" s="75" t="s">
        <v>2818</v>
      </c>
      <c r="H45" s="75" t="s">
        <v>2819</v>
      </c>
    </row>
    <row r="46" spans="2:8" x14ac:dyDescent="0.3">
      <c r="B46" s="74">
        <v>45749</v>
      </c>
      <c r="C46" s="74">
        <v>45748</v>
      </c>
      <c r="D46" s="75" t="s">
        <v>2811</v>
      </c>
      <c r="E46" s="75" t="s">
        <v>1790</v>
      </c>
      <c r="F46" s="63" t="s">
        <v>6</v>
      </c>
      <c r="G46" s="75" t="s">
        <v>2812</v>
      </c>
      <c r="H46" s="75" t="s">
        <v>2813</v>
      </c>
    </row>
    <row r="47" spans="2:8" x14ac:dyDescent="0.3">
      <c r="B47" s="74">
        <v>45749</v>
      </c>
      <c r="C47" s="74">
        <v>45748</v>
      </c>
      <c r="D47" s="75" t="s">
        <v>2811</v>
      </c>
      <c r="E47" s="75" t="s">
        <v>1790</v>
      </c>
      <c r="F47" s="63" t="s">
        <v>6</v>
      </c>
      <c r="G47" s="75" t="s">
        <v>2814</v>
      </c>
      <c r="H47" s="75" t="s">
        <v>2815</v>
      </c>
    </row>
    <row r="48" spans="2:8" x14ac:dyDescent="0.3">
      <c r="B48" s="74">
        <v>45749</v>
      </c>
      <c r="C48" s="74">
        <v>45748</v>
      </c>
      <c r="D48" s="75" t="s">
        <v>2811</v>
      </c>
      <c r="E48" s="75" t="s">
        <v>1790</v>
      </c>
      <c r="F48" s="63" t="s">
        <v>6</v>
      </c>
      <c r="G48" s="75" t="s">
        <v>2816</v>
      </c>
      <c r="H48" s="75" t="s">
        <v>2817</v>
      </c>
    </row>
    <row r="49" spans="2:8" x14ac:dyDescent="0.3">
      <c r="B49" s="74">
        <v>45749</v>
      </c>
      <c r="C49" s="74">
        <v>45748</v>
      </c>
      <c r="D49" s="75" t="s">
        <v>2811</v>
      </c>
      <c r="E49" s="75" t="s">
        <v>1790</v>
      </c>
      <c r="F49" s="63" t="s">
        <v>6</v>
      </c>
      <c r="G49" s="75" t="s">
        <v>2818</v>
      </c>
      <c r="H49" s="75" t="s">
        <v>2819</v>
      </c>
    </row>
    <row r="50" spans="2:8" x14ac:dyDescent="0.3">
      <c r="B50" s="74">
        <v>45750</v>
      </c>
      <c r="C50" s="74">
        <v>45748</v>
      </c>
      <c r="D50" s="75" t="s">
        <v>2811</v>
      </c>
      <c r="E50" s="75" t="s">
        <v>1790</v>
      </c>
      <c r="F50" s="63" t="s">
        <v>6</v>
      </c>
      <c r="G50" s="75" t="s">
        <v>2812</v>
      </c>
      <c r="H50" s="75" t="s">
        <v>2813</v>
      </c>
    </row>
    <row r="51" spans="2:8" x14ac:dyDescent="0.3">
      <c r="B51" s="74">
        <v>45750</v>
      </c>
      <c r="C51" s="74">
        <v>45748</v>
      </c>
      <c r="D51" s="75" t="s">
        <v>2811</v>
      </c>
      <c r="E51" s="75" t="s">
        <v>1790</v>
      </c>
      <c r="F51" s="63" t="s">
        <v>6</v>
      </c>
      <c r="G51" s="75" t="s">
        <v>2814</v>
      </c>
      <c r="H51" s="75" t="s">
        <v>2815</v>
      </c>
    </row>
    <row r="52" spans="2:8" x14ac:dyDescent="0.3">
      <c r="B52" s="74">
        <v>45750</v>
      </c>
      <c r="C52" s="74">
        <v>45748</v>
      </c>
      <c r="D52" s="75" t="s">
        <v>2811</v>
      </c>
      <c r="E52" s="75" t="s">
        <v>1790</v>
      </c>
      <c r="F52" s="63" t="s">
        <v>6</v>
      </c>
      <c r="G52" s="75" t="s">
        <v>2816</v>
      </c>
      <c r="H52" s="75" t="s">
        <v>2817</v>
      </c>
    </row>
    <row r="53" spans="2:8" x14ac:dyDescent="0.3">
      <c r="B53" s="74">
        <v>45750</v>
      </c>
      <c r="C53" s="74">
        <v>45748</v>
      </c>
      <c r="D53" s="75" t="s">
        <v>2811</v>
      </c>
      <c r="E53" s="75" t="s">
        <v>1790</v>
      </c>
      <c r="F53" s="63" t="s">
        <v>6</v>
      </c>
      <c r="G53" s="75" t="s">
        <v>2818</v>
      </c>
      <c r="H53" s="75" t="s">
        <v>2819</v>
      </c>
    </row>
    <row r="54" spans="2:8" x14ac:dyDescent="0.3">
      <c r="B54" s="74">
        <v>45751</v>
      </c>
      <c r="C54" s="74">
        <v>45748</v>
      </c>
      <c r="D54" s="75" t="s">
        <v>2811</v>
      </c>
      <c r="E54" s="75" t="s">
        <v>1790</v>
      </c>
      <c r="F54" s="63" t="s">
        <v>6</v>
      </c>
      <c r="G54" s="75" t="s">
        <v>2812</v>
      </c>
      <c r="H54" s="75" t="s">
        <v>2813</v>
      </c>
    </row>
    <row r="55" spans="2:8" x14ac:dyDescent="0.3">
      <c r="B55" s="74">
        <v>45751</v>
      </c>
      <c r="C55" s="74">
        <v>45748</v>
      </c>
      <c r="D55" s="75" t="s">
        <v>2811</v>
      </c>
      <c r="E55" s="75" t="s">
        <v>1790</v>
      </c>
      <c r="F55" s="63" t="s">
        <v>6</v>
      </c>
      <c r="G55" s="75" t="s">
        <v>2814</v>
      </c>
      <c r="H55" s="75" t="s">
        <v>2815</v>
      </c>
    </row>
    <row r="56" spans="2:8" x14ac:dyDescent="0.3">
      <c r="B56" s="74">
        <v>45751</v>
      </c>
      <c r="C56" s="74">
        <v>45748</v>
      </c>
      <c r="D56" s="75" t="s">
        <v>2811</v>
      </c>
      <c r="E56" s="75" t="s">
        <v>1790</v>
      </c>
      <c r="F56" s="63" t="s">
        <v>6</v>
      </c>
      <c r="G56" s="75" t="s">
        <v>2816</v>
      </c>
      <c r="H56" s="75" t="s">
        <v>2817</v>
      </c>
    </row>
    <row r="57" spans="2:8" x14ac:dyDescent="0.3">
      <c r="B57" s="74">
        <v>45751</v>
      </c>
      <c r="C57" s="74">
        <v>45748</v>
      </c>
      <c r="D57" s="75" t="s">
        <v>2811</v>
      </c>
      <c r="E57" s="75" t="s">
        <v>1790</v>
      </c>
      <c r="F57" s="63" t="s">
        <v>6</v>
      </c>
      <c r="G57" s="75" t="s">
        <v>2818</v>
      </c>
      <c r="H57" s="75" t="s">
        <v>2819</v>
      </c>
    </row>
    <row r="58" spans="2:8" x14ac:dyDescent="0.3">
      <c r="B58" s="74">
        <v>45752</v>
      </c>
      <c r="C58" s="74">
        <v>45748</v>
      </c>
      <c r="D58" s="75" t="s">
        <v>2811</v>
      </c>
      <c r="E58" s="75" t="s">
        <v>1790</v>
      </c>
      <c r="F58" s="63" t="s">
        <v>6</v>
      </c>
      <c r="G58" s="75" t="s">
        <v>2824</v>
      </c>
      <c r="H58" s="75" t="s">
        <v>2825</v>
      </c>
    </row>
    <row r="59" spans="2:8" x14ac:dyDescent="0.3">
      <c r="B59" s="74">
        <v>45753</v>
      </c>
      <c r="C59" s="74">
        <v>45748</v>
      </c>
      <c r="D59" s="75" t="s">
        <v>2811</v>
      </c>
      <c r="E59" s="75" t="s">
        <v>1790</v>
      </c>
      <c r="F59" s="63" t="s">
        <v>6</v>
      </c>
      <c r="G59" s="75" t="s">
        <v>81</v>
      </c>
      <c r="H59" s="75" t="s">
        <v>2826</v>
      </c>
    </row>
    <row r="60" spans="2:8" x14ac:dyDescent="0.3">
      <c r="B60" s="74">
        <v>45754</v>
      </c>
      <c r="C60" s="74">
        <v>45748</v>
      </c>
      <c r="D60" s="75" t="s">
        <v>2811</v>
      </c>
      <c r="E60" s="75" t="s">
        <v>1790</v>
      </c>
      <c r="F60" s="63" t="s">
        <v>6</v>
      </c>
      <c r="G60" s="75" t="s">
        <v>2812</v>
      </c>
      <c r="H60" s="75" t="s">
        <v>2813</v>
      </c>
    </row>
    <row r="61" spans="2:8" x14ac:dyDescent="0.3">
      <c r="B61" s="74">
        <v>45754</v>
      </c>
      <c r="C61" s="74">
        <v>45748</v>
      </c>
      <c r="D61" s="75" t="s">
        <v>2811</v>
      </c>
      <c r="E61" s="75" t="s">
        <v>1790</v>
      </c>
      <c r="F61" s="63" t="s">
        <v>6</v>
      </c>
      <c r="G61" s="75" t="s">
        <v>2814</v>
      </c>
      <c r="H61" s="75" t="s">
        <v>2815</v>
      </c>
    </row>
    <row r="62" spans="2:8" x14ac:dyDescent="0.3">
      <c r="B62" s="74">
        <v>45754</v>
      </c>
      <c r="C62" s="74">
        <v>45748</v>
      </c>
      <c r="D62" s="75" t="s">
        <v>2811</v>
      </c>
      <c r="E62" s="75" t="s">
        <v>1790</v>
      </c>
      <c r="F62" s="63" t="s">
        <v>6</v>
      </c>
      <c r="G62" s="75" t="s">
        <v>2816</v>
      </c>
      <c r="H62" s="75" t="s">
        <v>2817</v>
      </c>
    </row>
    <row r="63" spans="2:8" x14ac:dyDescent="0.3">
      <c r="B63" s="74">
        <v>45754</v>
      </c>
      <c r="C63" s="74">
        <v>45748</v>
      </c>
      <c r="D63" s="75" t="s">
        <v>2811</v>
      </c>
      <c r="E63" s="75" t="s">
        <v>1790</v>
      </c>
      <c r="F63" s="63" t="s">
        <v>6</v>
      </c>
      <c r="G63" s="75" t="s">
        <v>2818</v>
      </c>
      <c r="H63" s="75" t="s">
        <v>2819</v>
      </c>
    </row>
    <row r="64" spans="2:8" x14ac:dyDescent="0.3">
      <c r="B64" s="74">
        <v>45754</v>
      </c>
      <c r="C64" s="74">
        <v>45748</v>
      </c>
      <c r="D64" s="75" t="s">
        <v>2811</v>
      </c>
      <c r="E64" s="75" t="s">
        <v>1790</v>
      </c>
      <c r="F64" s="63" t="s">
        <v>6</v>
      </c>
      <c r="G64" s="75" t="s">
        <v>2827</v>
      </c>
      <c r="H64" s="75" t="s">
        <v>2828</v>
      </c>
    </row>
    <row r="65" spans="2:8" x14ac:dyDescent="0.3">
      <c r="B65" s="74">
        <v>45755</v>
      </c>
      <c r="C65" s="74">
        <v>45748</v>
      </c>
      <c r="D65" s="75" t="s">
        <v>2811</v>
      </c>
      <c r="E65" s="75" t="s">
        <v>1790</v>
      </c>
      <c r="F65" s="63" t="s">
        <v>6</v>
      </c>
      <c r="G65" s="75" t="s">
        <v>2812</v>
      </c>
      <c r="H65" s="75" t="s">
        <v>2813</v>
      </c>
    </row>
    <row r="66" spans="2:8" x14ac:dyDescent="0.3">
      <c r="B66" s="74">
        <v>45755</v>
      </c>
      <c r="C66" s="74">
        <v>45748</v>
      </c>
      <c r="D66" s="75" t="s">
        <v>2811</v>
      </c>
      <c r="E66" s="75" t="s">
        <v>1790</v>
      </c>
      <c r="F66" s="63" t="s">
        <v>6</v>
      </c>
      <c r="G66" s="75" t="s">
        <v>2814</v>
      </c>
      <c r="H66" s="75" t="s">
        <v>2815</v>
      </c>
    </row>
    <row r="67" spans="2:8" x14ac:dyDescent="0.3">
      <c r="B67" s="74">
        <v>45755</v>
      </c>
      <c r="C67" s="74">
        <v>45748</v>
      </c>
      <c r="D67" s="75" t="s">
        <v>2811</v>
      </c>
      <c r="E67" s="75" t="s">
        <v>1790</v>
      </c>
      <c r="F67" s="63" t="s">
        <v>6</v>
      </c>
      <c r="G67" s="75" t="s">
        <v>2816</v>
      </c>
      <c r="H67" s="75" t="s">
        <v>2817</v>
      </c>
    </row>
    <row r="68" spans="2:8" x14ac:dyDescent="0.3">
      <c r="B68" s="74">
        <v>45755</v>
      </c>
      <c r="C68" s="74">
        <v>45748</v>
      </c>
      <c r="D68" s="75" t="s">
        <v>2811</v>
      </c>
      <c r="E68" s="75" t="s">
        <v>1790</v>
      </c>
      <c r="F68" s="63" t="s">
        <v>6</v>
      </c>
      <c r="G68" s="75" t="s">
        <v>2818</v>
      </c>
      <c r="H68" s="75" t="s">
        <v>2819</v>
      </c>
    </row>
    <row r="69" spans="2:8" x14ac:dyDescent="0.3">
      <c r="B69" s="74">
        <v>45755</v>
      </c>
      <c r="C69" s="74">
        <v>45748</v>
      </c>
      <c r="D69" s="75" t="s">
        <v>2811</v>
      </c>
      <c r="E69" s="75" t="s">
        <v>1790</v>
      </c>
      <c r="F69" s="63" t="s">
        <v>6</v>
      </c>
      <c r="G69" s="75" t="s">
        <v>2827</v>
      </c>
      <c r="H69" s="75" t="s">
        <v>2829</v>
      </c>
    </row>
    <row r="70" spans="2:8" x14ac:dyDescent="0.3">
      <c r="B70" s="74">
        <v>45756</v>
      </c>
      <c r="C70" s="74">
        <v>45748</v>
      </c>
      <c r="D70" s="75" t="s">
        <v>2811</v>
      </c>
      <c r="E70" s="75" t="s">
        <v>1790</v>
      </c>
      <c r="F70" s="63" t="s">
        <v>6</v>
      </c>
      <c r="G70" s="75" t="s">
        <v>2812</v>
      </c>
      <c r="H70" s="75" t="s">
        <v>2813</v>
      </c>
    </row>
    <row r="71" spans="2:8" x14ac:dyDescent="0.3">
      <c r="B71" s="74">
        <v>45756</v>
      </c>
      <c r="C71" s="74">
        <v>45748</v>
      </c>
      <c r="D71" s="75" t="s">
        <v>2811</v>
      </c>
      <c r="E71" s="75" t="s">
        <v>1790</v>
      </c>
      <c r="F71" s="63" t="s">
        <v>6</v>
      </c>
      <c r="G71" s="75" t="s">
        <v>2814</v>
      </c>
      <c r="H71" s="75" t="s">
        <v>2815</v>
      </c>
    </row>
    <row r="72" spans="2:8" x14ac:dyDescent="0.3">
      <c r="B72" s="74">
        <v>45756</v>
      </c>
      <c r="C72" s="74">
        <v>45748</v>
      </c>
      <c r="D72" s="75" t="s">
        <v>2811</v>
      </c>
      <c r="E72" s="75" t="s">
        <v>1790</v>
      </c>
      <c r="F72" s="63" t="s">
        <v>6</v>
      </c>
      <c r="G72" s="75" t="s">
        <v>2816</v>
      </c>
      <c r="H72" s="75" t="s">
        <v>2817</v>
      </c>
    </row>
    <row r="73" spans="2:8" x14ac:dyDescent="0.3">
      <c r="B73" s="74">
        <v>45756</v>
      </c>
      <c r="C73" s="74">
        <v>45748</v>
      </c>
      <c r="D73" s="75" t="s">
        <v>2811</v>
      </c>
      <c r="E73" s="75" t="s">
        <v>1790</v>
      </c>
      <c r="F73" s="63" t="s">
        <v>6</v>
      </c>
      <c r="G73" s="75" t="s">
        <v>2818</v>
      </c>
      <c r="H73" s="75" t="s">
        <v>2819</v>
      </c>
    </row>
    <row r="74" spans="2:8" x14ac:dyDescent="0.3">
      <c r="B74" s="74">
        <v>45757</v>
      </c>
      <c r="C74" s="74">
        <v>45748</v>
      </c>
      <c r="D74" s="75" t="s">
        <v>2811</v>
      </c>
      <c r="E74" s="75" t="s">
        <v>1790</v>
      </c>
      <c r="F74" s="63" t="s">
        <v>6</v>
      </c>
      <c r="G74" s="75" t="s">
        <v>2827</v>
      </c>
      <c r="H74" s="75" t="s">
        <v>2829</v>
      </c>
    </row>
    <row r="75" spans="2:8" x14ac:dyDescent="0.3">
      <c r="B75" s="74">
        <v>45757</v>
      </c>
      <c r="C75" s="74">
        <v>45748</v>
      </c>
      <c r="D75" s="75" t="s">
        <v>2811</v>
      </c>
      <c r="E75" s="75" t="s">
        <v>1790</v>
      </c>
      <c r="F75" s="63" t="s">
        <v>6</v>
      </c>
      <c r="G75" s="75" t="s">
        <v>2812</v>
      </c>
      <c r="H75" s="75" t="s">
        <v>2813</v>
      </c>
    </row>
    <row r="76" spans="2:8" x14ac:dyDescent="0.3">
      <c r="B76" s="74">
        <v>45757</v>
      </c>
      <c r="C76" s="74">
        <v>45748</v>
      </c>
      <c r="D76" s="75" t="s">
        <v>2811</v>
      </c>
      <c r="E76" s="75" t="s">
        <v>1790</v>
      </c>
      <c r="F76" s="63" t="s">
        <v>6</v>
      </c>
      <c r="G76" s="75" t="s">
        <v>2814</v>
      </c>
      <c r="H76" s="75" t="s">
        <v>2815</v>
      </c>
    </row>
    <row r="77" spans="2:8" x14ac:dyDescent="0.3">
      <c r="B77" s="74">
        <v>45757</v>
      </c>
      <c r="C77" s="74">
        <v>45748</v>
      </c>
      <c r="D77" s="75" t="s">
        <v>2811</v>
      </c>
      <c r="E77" s="75" t="s">
        <v>1790</v>
      </c>
      <c r="F77" s="63" t="s">
        <v>6</v>
      </c>
      <c r="G77" s="75" t="s">
        <v>2816</v>
      </c>
      <c r="H77" s="75" t="s">
        <v>2817</v>
      </c>
    </row>
    <row r="78" spans="2:8" x14ac:dyDescent="0.3">
      <c r="B78" s="74">
        <v>45758</v>
      </c>
      <c r="C78" s="74">
        <v>45748</v>
      </c>
      <c r="D78" s="75" t="s">
        <v>2811</v>
      </c>
      <c r="E78" s="75" t="s">
        <v>1790</v>
      </c>
      <c r="F78" s="63" t="s">
        <v>6</v>
      </c>
      <c r="G78" s="75" t="s">
        <v>2827</v>
      </c>
      <c r="H78" s="75" t="s">
        <v>2829</v>
      </c>
    </row>
    <row r="79" spans="2:8" x14ac:dyDescent="0.3">
      <c r="B79" s="74">
        <v>45758</v>
      </c>
      <c r="C79" s="74">
        <v>45748</v>
      </c>
      <c r="D79" s="75" t="s">
        <v>2811</v>
      </c>
      <c r="E79" s="75" t="s">
        <v>1790</v>
      </c>
      <c r="F79" s="63" t="s">
        <v>6</v>
      </c>
      <c r="G79" s="75" t="s">
        <v>2812</v>
      </c>
      <c r="H79" s="75" t="s">
        <v>2813</v>
      </c>
    </row>
    <row r="80" spans="2:8" x14ac:dyDescent="0.3">
      <c r="B80" s="74">
        <v>45758</v>
      </c>
      <c r="C80" s="74">
        <v>45748</v>
      </c>
      <c r="D80" s="75" t="s">
        <v>2811</v>
      </c>
      <c r="E80" s="75" t="s">
        <v>1790</v>
      </c>
      <c r="F80" s="63" t="s">
        <v>6</v>
      </c>
      <c r="G80" s="75" t="s">
        <v>2814</v>
      </c>
      <c r="H80" s="75" t="s">
        <v>2815</v>
      </c>
    </row>
    <row r="81" spans="2:8" x14ac:dyDescent="0.3">
      <c r="B81" s="74">
        <v>45758</v>
      </c>
      <c r="C81" s="74">
        <v>45748</v>
      </c>
      <c r="D81" s="75" t="s">
        <v>2811</v>
      </c>
      <c r="E81" s="75" t="s">
        <v>1790</v>
      </c>
      <c r="F81" s="63" t="s">
        <v>6</v>
      </c>
      <c r="G81" s="75" t="s">
        <v>2816</v>
      </c>
      <c r="H81" s="75" t="s">
        <v>2817</v>
      </c>
    </row>
    <row r="82" spans="2:8" x14ac:dyDescent="0.3">
      <c r="B82" s="74">
        <v>45761</v>
      </c>
      <c r="C82" s="74">
        <v>45748</v>
      </c>
      <c r="D82" s="75" t="s">
        <v>2811</v>
      </c>
      <c r="E82" s="75" t="s">
        <v>1790</v>
      </c>
      <c r="F82" s="63" t="s">
        <v>6</v>
      </c>
      <c r="G82" s="75" t="s">
        <v>2827</v>
      </c>
      <c r="H82" s="75" t="s">
        <v>2829</v>
      </c>
    </row>
    <row r="83" spans="2:8" x14ac:dyDescent="0.3">
      <c r="B83" s="74">
        <v>45761</v>
      </c>
      <c r="C83" s="74">
        <v>45748</v>
      </c>
      <c r="D83" s="75" t="s">
        <v>2830</v>
      </c>
      <c r="E83" s="75" t="s">
        <v>1790</v>
      </c>
      <c r="F83" s="63" t="s">
        <v>6</v>
      </c>
      <c r="G83" s="75" t="s">
        <v>2831</v>
      </c>
      <c r="H83" s="75" t="s">
        <v>2832</v>
      </c>
    </row>
    <row r="84" spans="2:8" x14ac:dyDescent="0.3">
      <c r="B84" s="74">
        <v>45761</v>
      </c>
      <c r="C84" s="74">
        <v>45748</v>
      </c>
      <c r="D84" s="75" t="s">
        <v>2811</v>
      </c>
      <c r="E84" s="75" t="s">
        <v>1790</v>
      </c>
      <c r="F84" s="63" t="s">
        <v>6</v>
      </c>
      <c r="G84" s="75" t="s">
        <v>2812</v>
      </c>
      <c r="H84" s="75" t="s">
        <v>2813</v>
      </c>
    </row>
    <row r="85" spans="2:8" x14ac:dyDescent="0.3">
      <c r="B85" s="74">
        <v>45761</v>
      </c>
      <c r="C85" s="74">
        <v>45748</v>
      </c>
      <c r="D85" s="75" t="s">
        <v>2811</v>
      </c>
      <c r="E85" s="75" t="s">
        <v>1790</v>
      </c>
      <c r="F85" s="63" t="s">
        <v>6</v>
      </c>
      <c r="G85" s="75" t="s">
        <v>2814</v>
      </c>
      <c r="H85" s="75" t="s">
        <v>2815</v>
      </c>
    </row>
    <row r="86" spans="2:8" x14ac:dyDescent="0.3">
      <c r="B86" s="74">
        <v>45761</v>
      </c>
      <c r="C86" s="74">
        <v>45748</v>
      </c>
      <c r="D86" s="75" t="s">
        <v>2811</v>
      </c>
      <c r="E86" s="75" t="s">
        <v>1790</v>
      </c>
      <c r="F86" s="63" t="s">
        <v>6</v>
      </c>
      <c r="G86" s="75" t="s">
        <v>2816</v>
      </c>
      <c r="H86" s="75" t="s">
        <v>2817</v>
      </c>
    </row>
    <row r="87" spans="2:8" x14ac:dyDescent="0.3">
      <c r="B87" s="74">
        <v>45761</v>
      </c>
      <c r="C87" s="74">
        <v>45748</v>
      </c>
      <c r="D87" s="75" t="s">
        <v>2811</v>
      </c>
      <c r="E87" s="75" t="s">
        <v>1790</v>
      </c>
      <c r="F87" s="64" t="s">
        <v>4</v>
      </c>
      <c r="G87" s="75" t="s">
        <v>2974</v>
      </c>
      <c r="H87" s="75" t="s">
        <v>2974</v>
      </c>
    </row>
    <row r="88" spans="2:8" x14ac:dyDescent="0.3">
      <c r="B88" s="74">
        <v>45761</v>
      </c>
      <c r="C88" s="74">
        <v>45748</v>
      </c>
      <c r="D88" s="75" t="s">
        <v>2811</v>
      </c>
      <c r="E88" s="75" t="s">
        <v>1790</v>
      </c>
      <c r="F88" s="64" t="s">
        <v>4</v>
      </c>
      <c r="G88" s="75" t="s">
        <v>2975</v>
      </c>
      <c r="H88" s="75" t="s">
        <v>2975</v>
      </c>
    </row>
    <row r="89" spans="2:8" x14ac:dyDescent="0.3">
      <c r="B89" s="74">
        <v>45761</v>
      </c>
      <c r="C89" s="74">
        <v>45748</v>
      </c>
      <c r="D89" s="75" t="s">
        <v>2811</v>
      </c>
      <c r="E89" s="75" t="s">
        <v>1790</v>
      </c>
      <c r="F89" s="64" t="s">
        <v>4</v>
      </c>
      <c r="G89" s="75" t="s">
        <v>2976</v>
      </c>
      <c r="H89" s="75" t="s">
        <v>2977</v>
      </c>
    </row>
    <row r="90" spans="2:8" x14ac:dyDescent="0.3">
      <c r="B90" s="74">
        <v>45762</v>
      </c>
      <c r="C90" s="74">
        <v>45748</v>
      </c>
      <c r="D90" s="75" t="s">
        <v>2811</v>
      </c>
      <c r="E90" s="75" t="s">
        <v>1790</v>
      </c>
      <c r="F90" s="63" t="s">
        <v>6</v>
      </c>
      <c r="G90" s="75" t="s">
        <v>2827</v>
      </c>
      <c r="H90" s="75" t="s">
        <v>2829</v>
      </c>
    </row>
    <row r="91" spans="2:8" x14ac:dyDescent="0.3">
      <c r="B91" s="74">
        <v>45762</v>
      </c>
      <c r="C91" s="74">
        <v>45748</v>
      </c>
      <c r="D91" s="75" t="s">
        <v>2811</v>
      </c>
      <c r="E91" s="75" t="s">
        <v>1790</v>
      </c>
      <c r="F91" s="63" t="s">
        <v>6</v>
      </c>
      <c r="G91" s="75" t="s">
        <v>2812</v>
      </c>
      <c r="H91" s="75" t="s">
        <v>2813</v>
      </c>
    </row>
    <row r="92" spans="2:8" x14ac:dyDescent="0.3">
      <c r="B92" s="74">
        <v>45762</v>
      </c>
      <c r="C92" s="74">
        <v>45748</v>
      </c>
      <c r="D92" s="75" t="s">
        <v>2811</v>
      </c>
      <c r="E92" s="75" t="s">
        <v>1790</v>
      </c>
      <c r="F92" s="63" t="s">
        <v>6</v>
      </c>
      <c r="G92" s="75" t="s">
        <v>2814</v>
      </c>
      <c r="H92" s="75" t="s">
        <v>2815</v>
      </c>
    </row>
    <row r="93" spans="2:8" x14ac:dyDescent="0.3">
      <c r="B93" s="74">
        <v>45762</v>
      </c>
      <c r="C93" s="74">
        <v>45748</v>
      </c>
      <c r="D93" s="75" t="s">
        <v>2811</v>
      </c>
      <c r="E93" s="75" t="s">
        <v>1790</v>
      </c>
      <c r="F93" s="63" t="s">
        <v>6</v>
      </c>
      <c r="G93" s="75" t="s">
        <v>2816</v>
      </c>
      <c r="H93" s="75" t="s">
        <v>2817</v>
      </c>
    </row>
    <row r="94" spans="2:8" x14ac:dyDescent="0.3">
      <c r="B94" s="74">
        <v>45762</v>
      </c>
      <c r="C94" s="74">
        <v>45748</v>
      </c>
      <c r="D94" s="75" t="s">
        <v>2811</v>
      </c>
      <c r="E94" s="75" t="s">
        <v>1790</v>
      </c>
      <c r="F94" s="64" t="s">
        <v>4</v>
      </c>
      <c r="G94" s="75" t="s">
        <v>2978</v>
      </c>
      <c r="H94" s="75" t="s">
        <v>2978</v>
      </c>
    </row>
    <row r="95" spans="2:8" x14ac:dyDescent="0.3">
      <c r="B95" s="74">
        <v>45763</v>
      </c>
      <c r="C95" s="74">
        <v>45748</v>
      </c>
      <c r="D95" s="75" t="s">
        <v>2811</v>
      </c>
      <c r="E95" s="75" t="s">
        <v>1790</v>
      </c>
      <c r="F95" s="63" t="s">
        <v>6</v>
      </c>
      <c r="G95" s="75" t="s">
        <v>2812</v>
      </c>
      <c r="H95" s="75" t="s">
        <v>2813</v>
      </c>
    </row>
    <row r="96" spans="2:8" x14ac:dyDescent="0.3">
      <c r="B96" s="74">
        <v>45763</v>
      </c>
      <c r="C96" s="74">
        <v>45748</v>
      </c>
      <c r="D96" s="75" t="s">
        <v>2811</v>
      </c>
      <c r="E96" s="75" t="s">
        <v>1790</v>
      </c>
      <c r="F96" s="63" t="s">
        <v>6</v>
      </c>
      <c r="G96" s="75" t="s">
        <v>2814</v>
      </c>
      <c r="H96" s="75" t="s">
        <v>2815</v>
      </c>
    </row>
    <row r="97" spans="2:8" x14ac:dyDescent="0.3">
      <c r="B97" s="74">
        <v>45763</v>
      </c>
      <c r="C97" s="74">
        <v>45748</v>
      </c>
      <c r="D97" s="75" t="s">
        <v>2811</v>
      </c>
      <c r="E97" s="75" t="s">
        <v>1790</v>
      </c>
      <c r="F97" s="63" t="s">
        <v>6</v>
      </c>
      <c r="G97" s="75" t="s">
        <v>2816</v>
      </c>
      <c r="H97" s="75" t="s">
        <v>2817</v>
      </c>
    </row>
    <row r="98" spans="2:8" x14ac:dyDescent="0.3">
      <c r="B98" s="74">
        <v>45763</v>
      </c>
      <c r="C98" s="74">
        <v>45748</v>
      </c>
      <c r="D98" s="75" t="s">
        <v>2811</v>
      </c>
      <c r="E98" s="75" t="s">
        <v>1790</v>
      </c>
      <c r="F98" s="63" t="s">
        <v>6</v>
      </c>
      <c r="G98" s="75" t="s">
        <v>2818</v>
      </c>
      <c r="H98" s="75" t="s">
        <v>2819</v>
      </c>
    </row>
    <row r="99" spans="2:8" x14ac:dyDescent="0.3">
      <c r="B99" s="74">
        <v>45764</v>
      </c>
      <c r="C99" s="74">
        <v>45748</v>
      </c>
      <c r="D99" s="75" t="s">
        <v>2811</v>
      </c>
      <c r="E99" s="75" t="s">
        <v>1790</v>
      </c>
      <c r="F99" s="63" t="s">
        <v>6</v>
      </c>
      <c r="G99" s="75" t="s">
        <v>2812</v>
      </c>
      <c r="H99" s="75" t="s">
        <v>2813</v>
      </c>
    </row>
    <row r="100" spans="2:8" x14ac:dyDescent="0.3">
      <c r="B100" s="74">
        <v>45764</v>
      </c>
      <c r="C100" s="74">
        <v>45748</v>
      </c>
      <c r="D100" s="75" t="s">
        <v>2811</v>
      </c>
      <c r="E100" s="75" t="s">
        <v>1790</v>
      </c>
      <c r="F100" s="63" t="s">
        <v>6</v>
      </c>
      <c r="G100" s="75" t="s">
        <v>2814</v>
      </c>
      <c r="H100" s="75" t="s">
        <v>2815</v>
      </c>
    </row>
    <row r="101" spans="2:8" x14ac:dyDescent="0.3">
      <c r="B101" s="74">
        <v>45764</v>
      </c>
      <c r="C101" s="74">
        <v>45748</v>
      </c>
      <c r="D101" s="75" t="s">
        <v>2811</v>
      </c>
      <c r="E101" s="75" t="s">
        <v>1790</v>
      </c>
      <c r="F101" s="63" t="s">
        <v>6</v>
      </c>
      <c r="G101" s="75" t="s">
        <v>2816</v>
      </c>
      <c r="H101" s="75" t="s">
        <v>2817</v>
      </c>
    </row>
    <row r="102" spans="2:8" x14ac:dyDescent="0.3">
      <c r="B102" s="74">
        <v>45764</v>
      </c>
      <c r="C102" s="74">
        <v>45748</v>
      </c>
      <c r="D102" s="75" t="s">
        <v>2811</v>
      </c>
      <c r="E102" s="75" t="s">
        <v>1790</v>
      </c>
      <c r="F102" s="63" t="s">
        <v>6</v>
      </c>
      <c r="G102" s="75" t="s">
        <v>2818</v>
      </c>
      <c r="H102" s="75" t="s">
        <v>2819</v>
      </c>
    </row>
    <row r="103" spans="2:8" x14ac:dyDescent="0.3">
      <c r="B103" s="74">
        <v>45768</v>
      </c>
      <c r="C103" s="74">
        <v>45748</v>
      </c>
      <c r="D103" s="75" t="s">
        <v>2811</v>
      </c>
      <c r="E103" s="75" t="s">
        <v>1790</v>
      </c>
      <c r="F103" s="63" t="s">
        <v>6</v>
      </c>
      <c r="G103" s="75" t="s">
        <v>2812</v>
      </c>
      <c r="H103" s="75" t="s">
        <v>2813</v>
      </c>
    </row>
    <row r="104" spans="2:8" x14ac:dyDescent="0.3">
      <c r="B104" s="74">
        <v>45768</v>
      </c>
      <c r="C104" s="74">
        <v>45748</v>
      </c>
      <c r="D104" s="75" t="s">
        <v>2811</v>
      </c>
      <c r="E104" s="75" t="s">
        <v>1790</v>
      </c>
      <c r="F104" s="63" t="s">
        <v>6</v>
      </c>
      <c r="G104" s="75" t="s">
        <v>2814</v>
      </c>
      <c r="H104" s="75" t="s">
        <v>2815</v>
      </c>
    </row>
    <row r="105" spans="2:8" x14ac:dyDescent="0.3">
      <c r="B105" s="74">
        <v>45768</v>
      </c>
      <c r="C105" s="74">
        <v>45748</v>
      </c>
      <c r="D105" s="75" t="s">
        <v>2811</v>
      </c>
      <c r="E105" s="75" t="s">
        <v>1790</v>
      </c>
      <c r="F105" s="63" t="s">
        <v>6</v>
      </c>
      <c r="G105" s="75" t="s">
        <v>2816</v>
      </c>
      <c r="H105" s="75" t="s">
        <v>2817</v>
      </c>
    </row>
    <row r="106" spans="2:8" x14ac:dyDescent="0.3">
      <c r="B106" s="74">
        <v>45768</v>
      </c>
      <c r="C106" s="74">
        <v>45748</v>
      </c>
      <c r="D106" s="75" t="s">
        <v>2811</v>
      </c>
      <c r="E106" s="75" t="s">
        <v>1790</v>
      </c>
      <c r="F106" s="63" t="s">
        <v>6</v>
      </c>
      <c r="G106" s="75" t="s">
        <v>2818</v>
      </c>
      <c r="H106" s="75" t="s">
        <v>2819</v>
      </c>
    </row>
    <row r="107" spans="2:8" x14ac:dyDescent="0.3">
      <c r="B107" s="74">
        <v>45769</v>
      </c>
      <c r="C107" s="74">
        <v>45748</v>
      </c>
      <c r="D107" s="75" t="s">
        <v>2811</v>
      </c>
      <c r="E107" s="75" t="s">
        <v>1790</v>
      </c>
      <c r="F107" s="64" t="s">
        <v>4</v>
      </c>
      <c r="G107" s="75" t="s">
        <v>2979</v>
      </c>
      <c r="H107" s="75" t="s">
        <v>2979</v>
      </c>
    </row>
    <row r="108" spans="2:8" x14ac:dyDescent="0.3">
      <c r="B108" s="74">
        <v>45769</v>
      </c>
      <c r="C108" s="74">
        <v>45748</v>
      </c>
      <c r="D108" s="75" t="s">
        <v>2811</v>
      </c>
      <c r="E108" s="75" t="s">
        <v>1790</v>
      </c>
      <c r="F108" s="63" t="s">
        <v>6</v>
      </c>
      <c r="G108" s="75" t="s">
        <v>2980</v>
      </c>
      <c r="H108" s="75" t="s">
        <v>2980</v>
      </c>
    </row>
    <row r="109" spans="2:8" x14ac:dyDescent="0.3">
      <c r="B109" s="74">
        <v>45769</v>
      </c>
      <c r="C109" s="74">
        <v>45748</v>
      </c>
      <c r="D109" s="75" t="s">
        <v>2811</v>
      </c>
      <c r="E109" s="75" t="s">
        <v>1790</v>
      </c>
      <c r="F109" s="63" t="s">
        <v>6</v>
      </c>
      <c r="G109" s="75" t="s">
        <v>2812</v>
      </c>
      <c r="H109" s="75" t="s">
        <v>2813</v>
      </c>
    </row>
    <row r="110" spans="2:8" x14ac:dyDescent="0.3">
      <c r="B110" s="74">
        <v>45769</v>
      </c>
      <c r="C110" s="74">
        <v>45748</v>
      </c>
      <c r="D110" s="75" t="s">
        <v>2811</v>
      </c>
      <c r="E110" s="75" t="s">
        <v>1790</v>
      </c>
      <c r="F110" s="63" t="s">
        <v>6</v>
      </c>
      <c r="G110" s="75" t="s">
        <v>2814</v>
      </c>
      <c r="H110" s="75" t="s">
        <v>2815</v>
      </c>
    </row>
    <row r="111" spans="2:8" x14ac:dyDescent="0.3">
      <c r="B111" s="74">
        <v>45769</v>
      </c>
      <c r="C111" s="74">
        <v>45748</v>
      </c>
      <c r="D111" s="75" t="s">
        <v>2811</v>
      </c>
      <c r="E111" s="75" t="s">
        <v>1790</v>
      </c>
      <c r="F111" s="63" t="s">
        <v>6</v>
      </c>
      <c r="G111" s="75" t="s">
        <v>2816</v>
      </c>
      <c r="H111" s="75" t="s">
        <v>2817</v>
      </c>
    </row>
    <row r="112" spans="2:8" x14ac:dyDescent="0.3">
      <c r="B112" s="74">
        <v>45769</v>
      </c>
      <c r="C112" s="74">
        <v>45748</v>
      </c>
      <c r="D112" s="75" t="s">
        <v>2811</v>
      </c>
      <c r="E112" s="75" t="s">
        <v>1790</v>
      </c>
      <c r="F112" s="63" t="s">
        <v>6</v>
      </c>
      <c r="G112" s="75" t="s">
        <v>2818</v>
      </c>
      <c r="H112" s="75" t="s">
        <v>2819</v>
      </c>
    </row>
    <row r="113" spans="2:8" x14ac:dyDescent="0.3">
      <c r="B113" s="74">
        <v>45770</v>
      </c>
      <c r="C113" s="74">
        <v>45748</v>
      </c>
      <c r="D113" s="75" t="s">
        <v>2811</v>
      </c>
      <c r="E113" s="75" t="s">
        <v>1790</v>
      </c>
      <c r="F113" s="64" t="s">
        <v>4</v>
      </c>
      <c r="G113" s="75" t="s">
        <v>2981</v>
      </c>
      <c r="H113" s="75" t="s">
        <v>2981</v>
      </c>
    </row>
    <row r="114" spans="2:8" x14ac:dyDescent="0.3">
      <c r="B114" s="74">
        <v>45770</v>
      </c>
      <c r="C114" s="74">
        <v>45748</v>
      </c>
      <c r="D114" s="75" t="s">
        <v>2811</v>
      </c>
      <c r="E114" s="75" t="s">
        <v>1790</v>
      </c>
      <c r="F114" s="63" t="s">
        <v>6</v>
      </c>
      <c r="G114" s="75" t="s">
        <v>2812</v>
      </c>
      <c r="H114" s="75" t="s">
        <v>2813</v>
      </c>
    </row>
    <row r="115" spans="2:8" x14ac:dyDescent="0.3">
      <c r="B115" s="74">
        <v>45770</v>
      </c>
      <c r="C115" s="74">
        <v>45748</v>
      </c>
      <c r="D115" s="75" t="s">
        <v>2811</v>
      </c>
      <c r="E115" s="75" t="s">
        <v>1790</v>
      </c>
      <c r="F115" s="63" t="s">
        <v>6</v>
      </c>
      <c r="G115" s="75" t="s">
        <v>2814</v>
      </c>
      <c r="H115" s="75" t="s">
        <v>2815</v>
      </c>
    </row>
    <row r="116" spans="2:8" x14ac:dyDescent="0.3">
      <c r="B116" s="74">
        <v>45770</v>
      </c>
      <c r="C116" s="74">
        <v>45748</v>
      </c>
      <c r="D116" s="75" t="s">
        <v>2811</v>
      </c>
      <c r="E116" s="75" t="s">
        <v>1790</v>
      </c>
      <c r="F116" s="63" t="s">
        <v>6</v>
      </c>
      <c r="G116" s="75" t="s">
        <v>2816</v>
      </c>
      <c r="H116" s="75" t="s">
        <v>2817</v>
      </c>
    </row>
    <row r="117" spans="2:8" x14ac:dyDescent="0.3">
      <c r="B117" s="74">
        <v>45770</v>
      </c>
      <c r="C117" s="74">
        <v>45748</v>
      </c>
      <c r="D117" s="75" t="s">
        <v>2811</v>
      </c>
      <c r="E117" s="75" t="s">
        <v>1790</v>
      </c>
      <c r="F117" s="63" t="s">
        <v>6</v>
      </c>
      <c r="G117" s="75" t="s">
        <v>2818</v>
      </c>
      <c r="H117" s="75" t="s">
        <v>2819</v>
      </c>
    </row>
    <row r="118" spans="2:8" x14ac:dyDescent="0.3">
      <c r="B118" s="74">
        <v>45771</v>
      </c>
      <c r="C118" s="74">
        <v>45748</v>
      </c>
      <c r="D118" s="75" t="s">
        <v>2811</v>
      </c>
      <c r="E118" s="75" t="s">
        <v>1790</v>
      </c>
      <c r="F118" s="63" t="s">
        <v>6</v>
      </c>
      <c r="G118" s="75" t="s">
        <v>2812</v>
      </c>
      <c r="H118" s="75" t="s">
        <v>2813</v>
      </c>
    </row>
    <row r="119" spans="2:8" x14ac:dyDescent="0.3">
      <c r="B119" s="74">
        <v>45771</v>
      </c>
      <c r="C119" s="74">
        <v>45748</v>
      </c>
      <c r="D119" s="75" t="s">
        <v>2811</v>
      </c>
      <c r="E119" s="75" t="s">
        <v>1790</v>
      </c>
      <c r="F119" s="63" t="s">
        <v>6</v>
      </c>
      <c r="G119" s="75" t="s">
        <v>2814</v>
      </c>
      <c r="H119" s="75" t="s">
        <v>2815</v>
      </c>
    </row>
    <row r="120" spans="2:8" x14ac:dyDescent="0.3">
      <c r="B120" s="74">
        <v>45771</v>
      </c>
      <c r="C120" s="74">
        <v>45748</v>
      </c>
      <c r="D120" s="75" t="s">
        <v>2811</v>
      </c>
      <c r="E120" s="75" t="s">
        <v>1790</v>
      </c>
      <c r="F120" s="63" t="s">
        <v>6</v>
      </c>
      <c r="G120" s="75" t="s">
        <v>2816</v>
      </c>
      <c r="H120" s="75" t="s">
        <v>2817</v>
      </c>
    </row>
    <row r="121" spans="2:8" x14ac:dyDescent="0.3">
      <c r="B121" s="74">
        <v>45771</v>
      </c>
      <c r="C121" s="74">
        <v>45748</v>
      </c>
      <c r="D121" s="75" t="s">
        <v>2811</v>
      </c>
      <c r="E121" s="75" t="s">
        <v>1790</v>
      </c>
      <c r="F121" s="63" t="s">
        <v>6</v>
      </c>
      <c r="G121" s="75" t="s">
        <v>2818</v>
      </c>
      <c r="H121" s="75" t="s">
        <v>2819</v>
      </c>
    </row>
    <row r="122" spans="2:8" x14ac:dyDescent="0.3">
      <c r="B122" s="74">
        <v>45772</v>
      </c>
      <c r="C122" s="74">
        <v>45748</v>
      </c>
      <c r="D122" s="75" t="s">
        <v>2811</v>
      </c>
      <c r="E122" s="75" t="s">
        <v>1790</v>
      </c>
      <c r="F122" s="63" t="s">
        <v>6</v>
      </c>
      <c r="G122" s="75" t="s">
        <v>2812</v>
      </c>
      <c r="H122" s="75" t="s">
        <v>2813</v>
      </c>
    </row>
    <row r="123" spans="2:8" x14ac:dyDescent="0.3">
      <c r="B123" s="74">
        <v>45772</v>
      </c>
      <c r="C123" s="74">
        <v>45748</v>
      </c>
      <c r="D123" s="75" t="s">
        <v>2811</v>
      </c>
      <c r="E123" s="75" t="s">
        <v>1790</v>
      </c>
      <c r="F123" s="63" t="s">
        <v>6</v>
      </c>
      <c r="G123" s="75" t="s">
        <v>2814</v>
      </c>
      <c r="H123" s="75" t="s">
        <v>2815</v>
      </c>
    </row>
    <row r="124" spans="2:8" x14ac:dyDescent="0.3">
      <c r="B124" s="74">
        <v>45772</v>
      </c>
      <c r="C124" s="74">
        <v>45748</v>
      </c>
      <c r="D124" s="75" t="s">
        <v>2811</v>
      </c>
      <c r="E124" s="75" t="s">
        <v>1790</v>
      </c>
      <c r="F124" s="63" t="s">
        <v>6</v>
      </c>
      <c r="G124" s="75" t="s">
        <v>2816</v>
      </c>
      <c r="H124" s="75" t="s">
        <v>2817</v>
      </c>
    </row>
    <row r="125" spans="2:8" x14ac:dyDescent="0.3">
      <c r="B125" s="74">
        <v>45772</v>
      </c>
      <c r="C125" s="74">
        <v>45748</v>
      </c>
      <c r="D125" s="75" t="s">
        <v>2811</v>
      </c>
      <c r="E125" s="75" t="s">
        <v>1790</v>
      </c>
      <c r="F125" s="63" t="s">
        <v>6</v>
      </c>
      <c r="G125" s="75" t="s">
        <v>2818</v>
      </c>
      <c r="H125" s="75" t="s">
        <v>2819</v>
      </c>
    </row>
    <row r="126" spans="2:8" x14ac:dyDescent="0.3">
      <c r="B126" s="74">
        <v>45772</v>
      </c>
      <c r="C126" s="74">
        <v>45748</v>
      </c>
      <c r="D126" s="75" t="s">
        <v>2811</v>
      </c>
      <c r="E126" s="75" t="s">
        <v>1790</v>
      </c>
      <c r="F126" s="64" t="s">
        <v>4</v>
      </c>
      <c r="G126" s="75" t="s">
        <v>2982</v>
      </c>
      <c r="H126" s="75" t="s">
        <v>2982</v>
      </c>
    </row>
    <row r="127" spans="2:8" x14ac:dyDescent="0.3">
      <c r="B127" s="74">
        <v>45772</v>
      </c>
      <c r="C127" s="74">
        <v>45748</v>
      </c>
      <c r="D127" s="75" t="s">
        <v>2811</v>
      </c>
      <c r="E127" s="75" t="s">
        <v>1790</v>
      </c>
      <c r="F127" s="64" t="s">
        <v>4</v>
      </c>
      <c r="G127" s="75" t="s">
        <v>2983</v>
      </c>
      <c r="H127" s="75" t="s">
        <v>2983</v>
      </c>
    </row>
    <row r="128" spans="2:8" x14ac:dyDescent="0.3">
      <c r="B128" s="74">
        <v>45772</v>
      </c>
      <c r="C128" s="74">
        <v>45748</v>
      </c>
      <c r="D128" s="75" t="s">
        <v>2811</v>
      </c>
      <c r="E128" s="75" t="s">
        <v>1790</v>
      </c>
      <c r="F128" s="64" t="s">
        <v>4</v>
      </c>
      <c r="G128" s="75" t="s">
        <v>2984</v>
      </c>
      <c r="H128" s="75" t="s">
        <v>2984</v>
      </c>
    </row>
    <row r="129" spans="2:8" x14ac:dyDescent="0.3">
      <c r="B129" s="74">
        <v>45772</v>
      </c>
      <c r="C129" s="74">
        <v>45748</v>
      </c>
      <c r="D129" s="75" t="s">
        <v>2811</v>
      </c>
      <c r="E129" s="75" t="s">
        <v>1790</v>
      </c>
      <c r="F129" s="64" t="s">
        <v>4</v>
      </c>
      <c r="G129" s="75" t="s">
        <v>2985</v>
      </c>
      <c r="H129" s="75" t="s">
        <v>2985</v>
      </c>
    </row>
    <row r="130" spans="2:8" x14ac:dyDescent="0.3">
      <c r="B130" s="74">
        <v>45775</v>
      </c>
      <c r="C130" s="74">
        <v>45748</v>
      </c>
      <c r="D130" s="75" t="s">
        <v>2811</v>
      </c>
      <c r="E130" s="75" t="s">
        <v>1790</v>
      </c>
      <c r="F130" s="63" t="s">
        <v>6</v>
      </c>
      <c r="G130" s="75" t="s">
        <v>2812</v>
      </c>
      <c r="H130" s="75" t="s">
        <v>2813</v>
      </c>
    </row>
    <row r="131" spans="2:8" x14ac:dyDescent="0.3">
      <c r="B131" s="74">
        <v>45775</v>
      </c>
      <c r="C131" s="74">
        <v>45748</v>
      </c>
      <c r="D131" s="75" t="s">
        <v>2811</v>
      </c>
      <c r="E131" s="75" t="s">
        <v>1790</v>
      </c>
      <c r="F131" s="63" t="s">
        <v>6</v>
      </c>
      <c r="G131" s="75" t="s">
        <v>2814</v>
      </c>
      <c r="H131" s="75" t="s">
        <v>2815</v>
      </c>
    </row>
    <row r="132" spans="2:8" x14ac:dyDescent="0.3">
      <c r="B132" s="74">
        <v>45775</v>
      </c>
      <c r="C132" s="74">
        <v>45748</v>
      </c>
      <c r="D132" s="75" t="s">
        <v>2811</v>
      </c>
      <c r="E132" s="75" t="s">
        <v>1790</v>
      </c>
      <c r="F132" s="63" t="s">
        <v>6</v>
      </c>
      <c r="G132" s="75" t="s">
        <v>2816</v>
      </c>
      <c r="H132" s="75" t="s">
        <v>2817</v>
      </c>
    </row>
    <row r="133" spans="2:8" x14ac:dyDescent="0.3">
      <c r="B133" s="74">
        <v>45775</v>
      </c>
      <c r="C133" s="74">
        <v>45748</v>
      </c>
      <c r="D133" s="75" t="s">
        <v>2811</v>
      </c>
      <c r="E133" s="75" t="s">
        <v>1790</v>
      </c>
      <c r="F133" s="63" t="s">
        <v>6</v>
      </c>
      <c r="G133" s="75" t="s">
        <v>2818</v>
      </c>
      <c r="H133" s="75" t="s">
        <v>2819</v>
      </c>
    </row>
    <row r="134" spans="2:8" x14ac:dyDescent="0.3">
      <c r="B134" s="74">
        <v>45776</v>
      </c>
      <c r="C134" s="74">
        <v>45748</v>
      </c>
      <c r="D134" s="75" t="s">
        <v>2811</v>
      </c>
      <c r="E134" s="75" t="s">
        <v>1790</v>
      </c>
      <c r="F134" s="63" t="s">
        <v>6</v>
      </c>
      <c r="G134" s="75" t="s">
        <v>2812</v>
      </c>
      <c r="H134" s="75" t="s">
        <v>2813</v>
      </c>
    </row>
    <row r="135" spans="2:8" x14ac:dyDescent="0.3">
      <c r="B135" s="74">
        <v>45776</v>
      </c>
      <c r="C135" s="74">
        <v>45748</v>
      </c>
      <c r="D135" s="75" t="s">
        <v>2811</v>
      </c>
      <c r="E135" s="75" t="s">
        <v>1790</v>
      </c>
      <c r="F135" s="63" t="s">
        <v>6</v>
      </c>
      <c r="G135" s="75" t="s">
        <v>2814</v>
      </c>
      <c r="H135" s="75" t="s">
        <v>2815</v>
      </c>
    </row>
    <row r="136" spans="2:8" x14ac:dyDescent="0.3">
      <c r="B136" s="74">
        <v>45776</v>
      </c>
      <c r="C136" s="74">
        <v>45748</v>
      </c>
      <c r="D136" s="75" t="s">
        <v>2811</v>
      </c>
      <c r="E136" s="75" t="s">
        <v>1790</v>
      </c>
      <c r="F136" s="63" t="s">
        <v>6</v>
      </c>
      <c r="G136" s="75" t="s">
        <v>2816</v>
      </c>
      <c r="H136" s="75" t="s">
        <v>2817</v>
      </c>
    </row>
    <row r="137" spans="2:8" x14ac:dyDescent="0.3">
      <c r="B137" s="74">
        <v>45776</v>
      </c>
      <c r="C137" s="74">
        <v>45748</v>
      </c>
      <c r="D137" s="75" t="s">
        <v>2811</v>
      </c>
      <c r="E137" s="75" t="s">
        <v>1790</v>
      </c>
      <c r="F137" s="63" t="s">
        <v>6</v>
      </c>
      <c r="G137" s="75" t="s">
        <v>2818</v>
      </c>
      <c r="H137" s="75" t="s">
        <v>2819</v>
      </c>
    </row>
    <row r="138" spans="2:8" x14ac:dyDescent="0.3">
      <c r="B138" s="74">
        <v>45777</v>
      </c>
      <c r="C138" s="74">
        <v>45748</v>
      </c>
      <c r="D138" s="75" t="s">
        <v>2811</v>
      </c>
      <c r="E138" s="75" t="s">
        <v>1790</v>
      </c>
      <c r="F138" s="63" t="s">
        <v>6</v>
      </c>
      <c r="G138" s="75" t="s">
        <v>2812</v>
      </c>
      <c r="H138" s="75" t="s">
        <v>2813</v>
      </c>
    </row>
    <row r="139" spans="2:8" x14ac:dyDescent="0.3">
      <c r="B139" s="74">
        <v>45777</v>
      </c>
      <c r="C139" s="74">
        <v>45748</v>
      </c>
      <c r="D139" s="75" t="s">
        <v>2811</v>
      </c>
      <c r="E139" s="75" t="s">
        <v>1790</v>
      </c>
      <c r="F139" s="63" t="s">
        <v>6</v>
      </c>
      <c r="G139" s="75" t="s">
        <v>2814</v>
      </c>
      <c r="H139" s="75" t="s">
        <v>2815</v>
      </c>
    </row>
    <row r="140" spans="2:8" x14ac:dyDescent="0.3">
      <c r="B140" s="74">
        <v>45777</v>
      </c>
      <c r="C140" s="74">
        <v>45748</v>
      </c>
      <c r="D140" s="75" t="s">
        <v>2811</v>
      </c>
      <c r="E140" s="75" t="s">
        <v>1790</v>
      </c>
      <c r="F140" s="63" t="s">
        <v>6</v>
      </c>
      <c r="G140" s="75" t="s">
        <v>2816</v>
      </c>
      <c r="H140" s="75" t="s">
        <v>2817</v>
      </c>
    </row>
    <row r="141" spans="2:8" x14ac:dyDescent="0.3">
      <c r="B141" s="74">
        <v>45777</v>
      </c>
      <c r="C141" s="74">
        <v>45748</v>
      </c>
      <c r="D141" s="75" t="s">
        <v>2811</v>
      </c>
      <c r="E141" s="75" t="s">
        <v>1790</v>
      </c>
      <c r="F141" s="63" t="s">
        <v>6</v>
      </c>
      <c r="G141" s="75" t="s">
        <v>2818</v>
      </c>
      <c r="H141" s="75" t="s">
        <v>2819</v>
      </c>
    </row>
    <row r="142" spans="2:8" x14ac:dyDescent="0.3">
      <c r="B142" s="74">
        <v>45779</v>
      </c>
      <c r="C142" s="74">
        <v>45778</v>
      </c>
      <c r="D142" s="75" t="s">
        <v>2811</v>
      </c>
      <c r="E142" s="75" t="s">
        <v>1790</v>
      </c>
      <c r="F142" s="63" t="s">
        <v>6</v>
      </c>
      <c r="G142" s="75" t="s">
        <v>2812</v>
      </c>
      <c r="H142" s="75" t="s">
        <v>2813</v>
      </c>
    </row>
    <row r="143" spans="2:8" x14ac:dyDescent="0.3">
      <c r="B143" s="74">
        <v>45779</v>
      </c>
      <c r="C143" s="74">
        <v>45778</v>
      </c>
      <c r="D143" s="75" t="s">
        <v>2811</v>
      </c>
      <c r="E143" s="75" t="s">
        <v>1790</v>
      </c>
      <c r="F143" s="63" t="s">
        <v>6</v>
      </c>
      <c r="G143" s="75" t="s">
        <v>2814</v>
      </c>
      <c r="H143" s="75" t="s">
        <v>2815</v>
      </c>
    </row>
    <row r="144" spans="2:8" x14ac:dyDescent="0.3">
      <c r="B144" s="74">
        <v>45779</v>
      </c>
      <c r="C144" s="74">
        <v>45778</v>
      </c>
      <c r="D144" s="75" t="s">
        <v>2811</v>
      </c>
      <c r="E144" s="75" t="s">
        <v>1790</v>
      </c>
      <c r="F144" s="63" t="s">
        <v>6</v>
      </c>
      <c r="G144" s="75" t="s">
        <v>2816</v>
      </c>
      <c r="H144" s="75" t="s">
        <v>2817</v>
      </c>
    </row>
    <row r="145" spans="2:8" x14ac:dyDescent="0.3">
      <c r="B145" s="74">
        <v>45779</v>
      </c>
      <c r="C145" s="74">
        <v>45778</v>
      </c>
      <c r="D145" s="75" t="s">
        <v>2811</v>
      </c>
      <c r="E145" s="75" t="s">
        <v>1790</v>
      </c>
      <c r="F145" s="63" t="s">
        <v>6</v>
      </c>
      <c r="G145" s="75" t="s">
        <v>2818</v>
      </c>
      <c r="H145" s="75" t="s">
        <v>2819</v>
      </c>
    </row>
    <row r="146" spans="2:8" x14ac:dyDescent="0.3">
      <c r="B146" s="74">
        <v>45782</v>
      </c>
      <c r="C146" s="74">
        <v>45778</v>
      </c>
      <c r="D146" s="75" t="s">
        <v>2811</v>
      </c>
      <c r="E146" s="75" t="s">
        <v>1790</v>
      </c>
      <c r="F146" s="63" t="s">
        <v>6</v>
      </c>
      <c r="G146" s="75" t="s">
        <v>2812</v>
      </c>
      <c r="H146" s="75" t="s">
        <v>2813</v>
      </c>
    </row>
    <row r="147" spans="2:8" x14ac:dyDescent="0.3">
      <c r="B147" s="74">
        <v>45782</v>
      </c>
      <c r="C147" s="74">
        <v>45778</v>
      </c>
      <c r="D147" s="75" t="s">
        <v>2811</v>
      </c>
      <c r="E147" s="75" t="s">
        <v>1790</v>
      </c>
      <c r="F147" s="63" t="s">
        <v>6</v>
      </c>
      <c r="G147" s="75" t="s">
        <v>2814</v>
      </c>
      <c r="H147" s="75" t="s">
        <v>2815</v>
      </c>
    </row>
    <row r="148" spans="2:8" x14ac:dyDescent="0.3">
      <c r="B148" s="74">
        <v>45782</v>
      </c>
      <c r="C148" s="74">
        <v>45778</v>
      </c>
      <c r="D148" s="75" t="s">
        <v>2811</v>
      </c>
      <c r="E148" s="75" t="s">
        <v>1790</v>
      </c>
      <c r="F148" s="63" t="s">
        <v>6</v>
      </c>
      <c r="G148" s="75" t="s">
        <v>2816</v>
      </c>
      <c r="H148" s="75" t="s">
        <v>2817</v>
      </c>
    </row>
    <row r="149" spans="2:8" x14ac:dyDescent="0.3">
      <c r="B149" s="74">
        <v>45782</v>
      </c>
      <c r="C149" s="74">
        <v>45778</v>
      </c>
      <c r="D149" s="75" t="s">
        <v>2811</v>
      </c>
      <c r="E149" s="75" t="s">
        <v>1790</v>
      </c>
      <c r="F149" s="63" t="s">
        <v>6</v>
      </c>
      <c r="G149" s="75" t="s">
        <v>2818</v>
      </c>
      <c r="H149" s="75" t="s">
        <v>2819</v>
      </c>
    </row>
    <row r="150" spans="2:8" x14ac:dyDescent="0.3">
      <c r="B150" s="74">
        <v>45783</v>
      </c>
      <c r="C150" s="74">
        <v>45778</v>
      </c>
      <c r="D150" s="75" t="s">
        <v>2811</v>
      </c>
      <c r="E150" s="75" t="s">
        <v>1790</v>
      </c>
      <c r="F150" s="63" t="s">
        <v>6</v>
      </c>
      <c r="G150" s="75" t="s">
        <v>2812</v>
      </c>
      <c r="H150" s="75" t="s">
        <v>2813</v>
      </c>
    </row>
    <row r="151" spans="2:8" x14ac:dyDescent="0.3">
      <c r="B151" s="74">
        <v>45783</v>
      </c>
      <c r="C151" s="74">
        <v>45778</v>
      </c>
      <c r="D151" s="75" t="s">
        <v>2811</v>
      </c>
      <c r="E151" s="75" t="s">
        <v>1790</v>
      </c>
      <c r="F151" s="63" t="s">
        <v>6</v>
      </c>
      <c r="G151" s="75" t="s">
        <v>2814</v>
      </c>
      <c r="H151" s="75" t="s">
        <v>2815</v>
      </c>
    </row>
    <row r="152" spans="2:8" x14ac:dyDescent="0.3">
      <c r="B152" s="74">
        <v>45783</v>
      </c>
      <c r="C152" s="74">
        <v>45778</v>
      </c>
      <c r="D152" s="75" t="s">
        <v>2811</v>
      </c>
      <c r="E152" s="75" t="s">
        <v>1790</v>
      </c>
      <c r="F152" s="63" t="s">
        <v>6</v>
      </c>
      <c r="G152" s="75" t="s">
        <v>2816</v>
      </c>
      <c r="H152" s="75" t="s">
        <v>2817</v>
      </c>
    </row>
    <row r="153" spans="2:8" x14ac:dyDescent="0.3">
      <c r="B153" s="74">
        <v>45783</v>
      </c>
      <c r="C153" s="74">
        <v>45778</v>
      </c>
      <c r="D153" s="75" t="s">
        <v>2811</v>
      </c>
      <c r="E153" s="75" t="s">
        <v>1790</v>
      </c>
      <c r="F153" s="63" t="s">
        <v>6</v>
      </c>
      <c r="G153" s="75" t="s">
        <v>2818</v>
      </c>
      <c r="H153" s="75" t="s">
        <v>2819</v>
      </c>
    </row>
    <row r="154" spans="2:8" x14ac:dyDescent="0.3">
      <c r="B154" s="74">
        <v>45784</v>
      </c>
      <c r="C154" s="74">
        <v>45778</v>
      </c>
      <c r="D154" s="75" t="s">
        <v>2811</v>
      </c>
      <c r="E154" s="75" t="s">
        <v>1790</v>
      </c>
      <c r="F154" s="63" t="s">
        <v>6</v>
      </c>
      <c r="G154" s="75" t="s">
        <v>2812</v>
      </c>
      <c r="H154" s="75" t="s">
        <v>2813</v>
      </c>
    </row>
    <row r="155" spans="2:8" x14ac:dyDescent="0.3">
      <c r="B155" s="74">
        <v>45784</v>
      </c>
      <c r="C155" s="74">
        <v>45778</v>
      </c>
      <c r="D155" s="75" t="s">
        <v>2811</v>
      </c>
      <c r="E155" s="75" t="s">
        <v>1790</v>
      </c>
      <c r="F155" s="63" t="s">
        <v>6</v>
      </c>
      <c r="G155" s="75" t="s">
        <v>2814</v>
      </c>
      <c r="H155" s="75" t="s">
        <v>2815</v>
      </c>
    </row>
    <row r="156" spans="2:8" x14ac:dyDescent="0.3">
      <c r="B156" s="74">
        <v>45784</v>
      </c>
      <c r="C156" s="74">
        <v>45778</v>
      </c>
      <c r="D156" s="75" t="s">
        <v>2811</v>
      </c>
      <c r="E156" s="75" t="s">
        <v>1790</v>
      </c>
      <c r="F156" s="63" t="s">
        <v>6</v>
      </c>
      <c r="G156" s="75" t="s">
        <v>2816</v>
      </c>
      <c r="H156" s="75" t="s">
        <v>2817</v>
      </c>
    </row>
    <row r="157" spans="2:8" x14ac:dyDescent="0.3">
      <c r="B157" s="74">
        <v>45784</v>
      </c>
      <c r="C157" s="74">
        <v>45778</v>
      </c>
      <c r="D157" s="75" t="s">
        <v>2811</v>
      </c>
      <c r="E157" s="75" t="s">
        <v>1790</v>
      </c>
      <c r="F157" s="63" t="s">
        <v>6</v>
      </c>
      <c r="G157" s="75" t="s">
        <v>2818</v>
      </c>
      <c r="H157" s="75" t="s">
        <v>2819</v>
      </c>
    </row>
    <row r="158" spans="2:8" x14ac:dyDescent="0.3">
      <c r="B158" s="74">
        <v>45785</v>
      </c>
      <c r="C158" s="74">
        <v>45778</v>
      </c>
      <c r="D158" s="75" t="s">
        <v>2811</v>
      </c>
      <c r="E158" s="75" t="s">
        <v>1790</v>
      </c>
      <c r="F158" s="63" t="s">
        <v>6</v>
      </c>
      <c r="G158" s="75" t="s">
        <v>2812</v>
      </c>
      <c r="H158" s="75" t="s">
        <v>2813</v>
      </c>
    </row>
    <row r="159" spans="2:8" x14ac:dyDescent="0.3">
      <c r="B159" s="74">
        <v>45785</v>
      </c>
      <c r="C159" s="74">
        <v>45778</v>
      </c>
      <c r="D159" s="75" t="s">
        <v>2811</v>
      </c>
      <c r="E159" s="75" t="s">
        <v>1790</v>
      </c>
      <c r="F159" s="63" t="s">
        <v>6</v>
      </c>
      <c r="G159" s="75" t="s">
        <v>2814</v>
      </c>
      <c r="H159" s="75" t="s">
        <v>2815</v>
      </c>
    </row>
    <row r="160" spans="2:8" x14ac:dyDescent="0.3">
      <c r="B160" s="74">
        <v>45785</v>
      </c>
      <c r="C160" s="74">
        <v>45778</v>
      </c>
      <c r="D160" s="75" t="s">
        <v>2811</v>
      </c>
      <c r="E160" s="75" t="s">
        <v>1790</v>
      </c>
      <c r="F160" s="63" t="s">
        <v>6</v>
      </c>
      <c r="G160" s="75" t="s">
        <v>2816</v>
      </c>
      <c r="H160" s="75" t="s">
        <v>2817</v>
      </c>
    </row>
    <row r="161" spans="2:8" x14ac:dyDescent="0.3">
      <c r="B161" s="74">
        <v>45785</v>
      </c>
      <c r="C161" s="74">
        <v>45778</v>
      </c>
      <c r="D161" s="75" t="s">
        <v>2811</v>
      </c>
      <c r="E161" s="75" t="s">
        <v>1790</v>
      </c>
      <c r="F161" s="63" t="s">
        <v>6</v>
      </c>
      <c r="G161" s="75" t="s">
        <v>2818</v>
      </c>
      <c r="H161" s="75" t="s">
        <v>2819</v>
      </c>
    </row>
    <row r="162" spans="2:8" x14ac:dyDescent="0.3">
      <c r="B162" s="74">
        <v>45786</v>
      </c>
      <c r="C162" s="74">
        <v>45778</v>
      </c>
      <c r="D162" s="75" t="s">
        <v>2811</v>
      </c>
      <c r="E162" s="75" t="s">
        <v>1790</v>
      </c>
      <c r="F162" s="63" t="s">
        <v>6</v>
      </c>
      <c r="G162" s="75" t="s">
        <v>2812</v>
      </c>
      <c r="H162" s="75" t="s">
        <v>2813</v>
      </c>
    </row>
    <row r="163" spans="2:8" x14ac:dyDescent="0.3">
      <c r="B163" s="74">
        <v>45786</v>
      </c>
      <c r="C163" s="74">
        <v>45778</v>
      </c>
      <c r="D163" s="75" t="s">
        <v>2811</v>
      </c>
      <c r="E163" s="75" t="s">
        <v>1790</v>
      </c>
      <c r="F163" s="63" t="s">
        <v>6</v>
      </c>
      <c r="G163" s="75" t="s">
        <v>2814</v>
      </c>
      <c r="H163" s="75" t="s">
        <v>2815</v>
      </c>
    </row>
    <row r="164" spans="2:8" x14ac:dyDescent="0.3">
      <c r="B164" s="74">
        <v>45786</v>
      </c>
      <c r="C164" s="74">
        <v>45778</v>
      </c>
      <c r="D164" s="75" t="s">
        <v>2811</v>
      </c>
      <c r="E164" s="75" t="s">
        <v>1790</v>
      </c>
      <c r="F164" s="63" t="s">
        <v>6</v>
      </c>
      <c r="G164" s="75" t="s">
        <v>2816</v>
      </c>
      <c r="H164" s="75" t="s">
        <v>2817</v>
      </c>
    </row>
    <row r="165" spans="2:8" x14ac:dyDescent="0.3">
      <c r="B165" s="74">
        <v>45786</v>
      </c>
      <c r="C165" s="74">
        <v>45778</v>
      </c>
      <c r="D165" s="75" t="s">
        <v>2811</v>
      </c>
      <c r="E165" s="75" t="s">
        <v>1790</v>
      </c>
      <c r="F165" s="63" t="s">
        <v>6</v>
      </c>
      <c r="G165" s="75" t="s">
        <v>2818</v>
      </c>
      <c r="H165" s="75" t="s">
        <v>2819</v>
      </c>
    </row>
    <row r="166" spans="2:8" x14ac:dyDescent="0.3">
      <c r="B166" s="74">
        <v>45786</v>
      </c>
      <c r="C166" s="74">
        <v>45778</v>
      </c>
      <c r="D166" s="75" t="s">
        <v>2811</v>
      </c>
      <c r="E166" s="75" t="s">
        <v>1790</v>
      </c>
      <c r="F166" s="64" t="s">
        <v>4</v>
      </c>
      <c r="G166" s="75" t="s">
        <v>2986</v>
      </c>
      <c r="H166" s="75" t="s">
        <v>2986</v>
      </c>
    </row>
    <row r="167" spans="2:8" x14ac:dyDescent="0.3">
      <c r="B167" s="74">
        <v>45789</v>
      </c>
      <c r="C167" s="74">
        <v>45778</v>
      </c>
      <c r="D167" s="75" t="s">
        <v>2811</v>
      </c>
      <c r="E167" s="75" t="s">
        <v>1790</v>
      </c>
      <c r="F167" s="63" t="s">
        <v>6</v>
      </c>
      <c r="G167" s="75" t="s">
        <v>2987</v>
      </c>
      <c r="H167" s="75" t="s">
        <v>2987</v>
      </c>
    </row>
    <row r="168" spans="2:8" x14ac:dyDescent="0.3">
      <c r="B168" s="74">
        <v>45789</v>
      </c>
      <c r="C168" s="74">
        <v>45778</v>
      </c>
      <c r="D168" s="75" t="s">
        <v>2811</v>
      </c>
      <c r="E168" s="75" t="s">
        <v>1790</v>
      </c>
      <c r="F168" s="63" t="s">
        <v>6</v>
      </c>
      <c r="G168" s="75" t="s">
        <v>2814</v>
      </c>
      <c r="H168" s="75" t="s">
        <v>2815</v>
      </c>
    </row>
    <row r="169" spans="2:8" x14ac:dyDescent="0.3">
      <c r="B169" s="74">
        <v>45789</v>
      </c>
      <c r="C169" s="74">
        <v>45778</v>
      </c>
      <c r="D169" s="75" t="s">
        <v>2811</v>
      </c>
      <c r="E169" s="75" t="s">
        <v>1790</v>
      </c>
      <c r="F169" s="63" t="s">
        <v>6</v>
      </c>
      <c r="G169" s="75" t="s">
        <v>2816</v>
      </c>
      <c r="H169" s="75" t="s">
        <v>2817</v>
      </c>
    </row>
    <row r="170" spans="2:8" x14ac:dyDescent="0.3">
      <c r="B170" s="74">
        <v>45789</v>
      </c>
      <c r="C170" s="74">
        <v>45778</v>
      </c>
      <c r="D170" s="75" t="s">
        <v>2811</v>
      </c>
      <c r="E170" s="75" t="s">
        <v>1790</v>
      </c>
      <c r="F170" s="63" t="s">
        <v>6</v>
      </c>
      <c r="G170" s="75" t="s">
        <v>2818</v>
      </c>
      <c r="H170" s="75" t="s">
        <v>2819</v>
      </c>
    </row>
    <row r="171" spans="2:8" x14ac:dyDescent="0.3">
      <c r="B171" s="74">
        <v>45790</v>
      </c>
      <c r="C171" s="74">
        <v>45778</v>
      </c>
      <c r="D171" s="75" t="s">
        <v>2811</v>
      </c>
      <c r="E171" s="75" t="s">
        <v>1790</v>
      </c>
      <c r="F171" s="63" t="s">
        <v>6</v>
      </c>
      <c r="G171" s="75" t="s">
        <v>2814</v>
      </c>
      <c r="H171" s="75" t="s">
        <v>2815</v>
      </c>
    </row>
    <row r="172" spans="2:8" x14ac:dyDescent="0.3">
      <c r="B172" s="74">
        <v>45790</v>
      </c>
      <c r="C172" s="74">
        <v>45778</v>
      </c>
      <c r="D172" s="75" t="s">
        <v>2811</v>
      </c>
      <c r="E172" s="75" t="s">
        <v>1790</v>
      </c>
      <c r="F172" s="63" t="s">
        <v>6</v>
      </c>
      <c r="G172" s="75" t="s">
        <v>2816</v>
      </c>
      <c r="H172" s="75" t="s">
        <v>2817</v>
      </c>
    </row>
    <row r="173" spans="2:8" x14ac:dyDescent="0.3">
      <c r="B173" s="74">
        <v>45790</v>
      </c>
      <c r="C173" s="74">
        <v>45778</v>
      </c>
      <c r="D173" s="75" t="s">
        <v>2811</v>
      </c>
      <c r="E173" s="75" t="s">
        <v>1790</v>
      </c>
      <c r="F173" s="63" t="s">
        <v>6</v>
      </c>
      <c r="G173" s="75" t="s">
        <v>2818</v>
      </c>
      <c r="H173" s="75" t="s">
        <v>2819</v>
      </c>
    </row>
    <row r="174" spans="2:8" x14ac:dyDescent="0.3">
      <c r="B174" s="74">
        <v>45790</v>
      </c>
      <c r="C174" s="74">
        <v>45778</v>
      </c>
      <c r="D174" s="75" t="s">
        <v>2811</v>
      </c>
      <c r="E174" s="75" t="s">
        <v>1790</v>
      </c>
      <c r="F174" s="63" t="s">
        <v>6</v>
      </c>
      <c r="G174" s="75" t="s">
        <v>2986</v>
      </c>
      <c r="H174" s="75" t="s">
        <v>2986</v>
      </c>
    </row>
    <row r="175" spans="2:8" x14ac:dyDescent="0.3">
      <c r="B175" s="74">
        <v>45791</v>
      </c>
      <c r="C175" s="74">
        <v>45778</v>
      </c>
      <c r="D175" s="75" t="s">
        <v>2811</v>
      </c>
      <c r="E175" s="75" t="s">
        <v>1790</v>
      </c>
      <c r="F175" s="63" t="s">
        <v>6</v>
      </c>
      <c r="G175" s="75" t="s">
        <v>2814</v>
      </c>
      <c r="H175" s="75" t="s">
        <v>2815</v>
      </c>
    </row>
    <row r="176" spans="2:8" x14ac:dyDescent="0.3">
      <c r="B176" s="74">
        <v>45791</v>
      </c>
      <c r="C176" s="74">
        <v>45778</v>
      </c>
      <c r="D176" s="75" t="s">
        <v>2811</v>
      </c>
      <c r="E176" s="75" t="s">
        <v>1790</v>
      </c>
      <c r="F176" s="63" t="s">
        <v>6</v>
      </c>
      <c r="G176" s="75" t="s">
        <v>2816</v>
      </c>
      <c r="H176" s="75" t="s">
        <v>2817</v>
      </c>
    </row>
    <row r="177" spans="2:8" x14ac:dyDescent="0.3">
      <c r="B177" s="74">
        <v>45791</v>
      </c>
      <c r="C177" s="74">
        <v>45778</v>
      </c>
      <c r="D177" s="75" t="s">
        <v>2811</v>
      </c>
      <c r="E177" s="75" t="s">
        <v>1790</v>
      </c>
      <c r="F177" s="63" t="s">
        <v>6</v>
      </c>
      <c r="G177" s="75" t="s">
        <v>2818</v>
      </c>
      <c r="H177" s="75" t="s">
        <v>2819</v>
      </c>
    </row>
    <row r="178" spans="2:8" x14ac:dyDescent="0.3">
      <c r="B178" s="74">
        <v>45792</v>
      </c>
      <c r="C178" s="74">
        <v>45778</v>
      </c>
      <c r="D178" s="75" t="s">
        <v>2811</v>
      </c>
      <c r="E178" s="75" t="s">
        <v>1790</v>
      </c>
      <c r="F178" s="63" t="s">
        <v>6</v>
      </c>
      <c r="G178" s="75" t="s">
        <v>2814</v>
      </c>
      <c r="H178" s="75" t="s">
        <v>2815</v>
      </c>
    </row>
    <row r="179" spans="2:8" x14ac:dyDescent="0.3">
      <c r="B179" s="74">
        <v>45792</v>
      </c>
      <c r="C179" s="74">
        <v>45778</v>
      </c>
      <c r="D179" s="75" t="s">
        <v>2811</v>
      </c>
      <c r="E179" s="75" t="s">
        <v>1790</v>
      </c>
      <c r="F179" s="63" t="s">
        <v>6</v>
      </c>
      <c r="G179" s="75" t="s">
        <v>2816</v>
      </c>
      <c r="H179" s="75" t="s">
        <v>2817</v>
      </c>
    </row>
    <row r="180" spans="2:8" x14ac:dyDescent="0.3">
      <c r="B180" s="74">
        <v>45792</v>
      </c>
      <c r="C180" s="74">
        <v>45778</v>
      </c>
      <c r="D180" s="75" t="s">
        <v>2811</v>
      </c>
      <c r="E180" s="75" t="s">
        <v>1790</v>
      </c>
      <c r="F180" s="63" t="s">
        <v>6</v>
      </c>
      <c r="G180" s="75" t="s">
        <v>2818</v>
      </c>
      <c r="H180" s="75" t="s">
        <v>2819</v>
      </c>
    </row>
    <row r="181" spans="2:8" x14ac:dyDescent="0.3">
      <c r="B181" s="74">
        <v>45793</v>
      </c>
      <c r="C181" s="74">
        <v>45778</v>
      </c>
      <c r="D181" s="75" t="s">
        <v>2811</v>
      </c>
      <c r="E181" s="75" t="s">
        <v>1790</v>
      </c>
      <c r="F181" s="63" t="s">
        <v>6</v>
      </c>
      <c r="G181" s="75" t="s">
        <v>2814</v>
      </c>
      <c r="H181" s="75" t="s">
        <v>2815</v>
      </c>
    </row>
    <row r="182" spans="2:8" x14ac:dyDescent="0.3">
      <c r="B182" s="74">
        <v>45793</v>
      </c>
      <c r="C182" s="74">
        <v>45778</v>
      </c>
      <c r="D182" s="75" t="s">
        <v>2811</v>
      </c>
      <c r="E182" s="75" t="s">
        <v>1790</v>
      </c>
      <c r="F182" s="63" t="s">
        <v>6</v>
      </c>
      <c r="G182" s="75" t="s">
        <v>2816</v>
      </c>
      <c r="H182" s="75" t="s">
        <v>2817</v>
      </c>
    </row>
    <row r="183" spans="2:8" x14ac:dyDescent="0.3">
      <c r="B183" s="74">
        <v>45793</v>
      </c>
      <c r="C183" s="74">
        <v>45778</v>
      </c>
      <c r="D183" s="75" t="s">
        <v>2811</v>
      </c>
      <c r="E183" s="75" t="s">
        <v>1790</v>
      </c>
      <c r="F183" s="63" t="s">
        <v>6</v>
      </c>
      <c r="G183" s="75" t="s">
        <v>2818</v>
      </c>
      <c r="H183" s="75" t="s">
        <v>2819</v>
      </c>
    </row>
    <row r="184" spans="2:8" x14ac:dyDescent="0.3">
      <c r="B184" s="74">
        <v>45796</v>
      </c>
      <c r="C184" s="74">
        <v>45778</v>
      </c>
      <c r="D184" s="75" t="s">
        <v>2811</v>
      </c>
      <c r="E184" s="75" t="s">
        <v>1790</v>
      </c>
      <c r="F184" s="63" t="s">
        <v>6</v>
      </c>
      <c r="G184" s="75" t="s">
        <v>2837</v>
      </c>
      <c r="H184" s="75" t="s">
        <v>2837</v>
      </c>
    </row>
    <row r="185" spans="2:8" x14ac:dyDescent="0.3">
      <c r="B185" s="74">
        <v>45796</v>
      </c>
      <c r="C185" s="74">
        <v>45778</v>
      </c>
      <c r="D185" s="75" t="s">
        <v>2811</v>
      </c>
      <c r="E185" s="75" t="s">
        <v>1790</v>
      </c>
      <c r="F185" s="63" t="s">
        <v>6</v>
      </c>
      <c r="G185" s="75" t="s">
        <v>2814</v>
      </c>
      <c r="H185" s="75" t="s">
        <v>2815</v>
      </c>
    </row>
    <row r="186" spans="2:8" x14ac:dyDescent="0.3">
      <c r="B186" s="74">
        <v>45796</v>
      </c>
      <c r="C186" s="74">
        <v>45778</v>
      </c>
      <c r="D186" s="75" t="s">
        <v>2811</v>
      </c>
      <c r="E186" s="75" t="s">
        <v>1790</v>
      </c>
      <c r="F186" s="63" t="s">
        <v>6</v>
      </c>
      <c r="G186" s="75" t="s">
        <v>2816</v>
      </c>
      <c r="H186" s="75" t="s">
        <v>2817</v>
      </c>
    </row>
    <row r="187" spans="2:8" x14ac:dyDescent="0.3">
      <c r="B187" s="74">
        <v>45796</v>
      </c>
      <c r="C187" s="74">
        <v>45778</v>
      </c>
      <c r="D187" s="75" t="s">
        <v>2811</v>
      </c>
      <c r="E187" s="75" t="s">
        <v>1790</v>
      </c>
      <c r="F187" s="63" t="s">
        <v>6</v>
      </c>
      <c r="G187" s="75" t="s">
        <v>2818</v>
      </c>
      <c r="H187" s="75" t="s">
        <v>2819</v>
      </c>
    </row>
    <row r="188" spans="2:8" x14ac:dyDescent="0.3">
      <c r="B188" s="74">
        <v>45797</v>
      </c>
      <c r="C188" s="74">
        <v>45778</v>
      </c>
      <c r="D188" s="75" t="s">
        <v>2811</v>
      </c>
      <c r="E188" s="75" t="s">
        <v>1790</v>
      </c>
      <c r="F188" s="63" t="s">
        <v>6</v>
      </c>
      <c r="G188" s="75" t="s">
        <v>2837</v>
      </c>
      <c r="H188" s="75" t="s">
        <v>2837</v>
      </c>
    </row>
    <row r="189" spans="2:8" x14ac:dyDescent="0.3">
      <c r="B189" s="74">
        <v>45797</v>
      </c>
      <c r="C189" s="74">
        <v>45778</v>
      </c>
      <c r="D189" s="75" t="s">
        <v>2811</v>
      </c>
      <c r="E189" s="75" t="s">
        <v>1790</v>
      </c>
      <c r="F189" s="63" t="s">
        <v>6</v>
      </c>
      <c r="G189" s="75" t="s">
        <v>2814</v>
      </c>
      <c r="H189" s="75" t="s">
        <v>2815</v>
      </c>
    </row>
    <row r="190" spans="2:8" x14ac:dyDescent="0.3">
      <c r="B190" s="74">
        <v>45797</v>
      </c>
      <c r="C190" s="74">
        <v>45778</v>
      </c>
      <c r="D190" s="75" t="s">
        <v>2811</v>
      </c>
      <c r="E190" s="75" t="s">
        <v>1790</v>
      </c>
      <c r="F190" s="63" t="s">
        <v>6</v>
      </c>
      <c r="G190" s="75" t="s">
        <v>2816</v>
      </c>
      <c r="H190" s="75" t="s">
        <v>2817</v>
      </c>
    </row>
    <row r="191" spans="2:8" x14ac:dyDescent="0.3">
      <c r="B191" s="74">
        <v>45797</v>
      </c>
      <c r="C191" s="74">
        <v>45778</v>
      </c>
      <c r="D191" s="75" t="s">
        <v>2811</v>
      </c>
      <c r="E191" s="75" t="s">
        <v>1790</v>
      </c>
      <c r="F191" s="63" t="s">
        <v>6</v>
      </c>
      <c r="G191" s="75" t="s">
        <v>2818</v>
      </c>
      <c r="H191" s="75" t="s">
        <v>2819</v>
      </c>
    </row>
    <row r="192" spans="2:8" x14ac:dyDescent="0.3">
      <c r="B192" s="65">
        <v>45798</v>
      </c>
      <c r="C192" s="74">
        <v>45779</v>
      </c>
      <c r="D192" s="56" t="s">
        <v>2811</v>
      </c>
      <c r="E192" s="75" t="s">
        <v>1790</v>
      </c>
      <c r="F192" s="63" t="s">
        <v>6</v>
      </c>
      <c r="G192" s="56" t="s">
        <v>2814</v>
      </c>
      <c r="H192" s="56" t="s">
        <v>2815</v>
      </c>
    </row>
    <row r="193" spans="2:8" x14ac:dyDescent="0.3">
      <c r="B193" s="65">
        <v>45798</v>
      </c>
      <c r="C193" s="74">
        <v>45779</v>
      </c>
      <c r="D193" s="56" t="s">
        <v>2811</v>
      </c>
      <c r="E193" s="75" t="s">
        <v>1790</v>
      </c>
      <c r="F193" s="63" t="s">
        <v>6</v>
      </c>
      <c r="G193" s="56" t="s">
        <v>2816</v>
      </c>
      <c r="H193" s="56" t="s">
        <v>2817</v>
      </c>
    </row>
    <row r="194" spans="2:8" x14ac:dyDescent="0.3">
      <c r="B194" s="65">
        <v>45798</v>
      </c>
      <c r="C194" s="74">
        <v>45779</v>
      </c>
      <c r="D194" s="56" t="s">
        <v>2811</v>
      </c>
      <c r="E194" s="75" t="s">
        <v>1790</v>
      </c>
      <c r="F194" s="63" t="s">
        <v>6</v>
      </c>
      <c r="G194" s="56" t="s">
        <v>2818</v>
      </c>
      <c r="H194" s="56" t="s">
        <v>2819</v>
      </c>
    </row>
    <row r="195" spans="2:8" x14ac:dyDescent="0.3">
      <c r="B195" s="65">
        <v>45799</v>
      </c>
      <c r="C195" s="74">
        <v>45779</v>
      </c>
      <c r="D195" s="56" t="s">
        <v>2811</v>
      </c>
      <c r="E195" s="75" t="s">
        <v>1790</v>
      </c>
      <c r="F195" s="63" t="s">
        <v>6</v>
      </c>
      <c r="G195" s="56" t="s">
        <v>2814</v>
      </c>
      <c r="H195" s="56" t="s">
        <v>2815</v>
      </c>
    </row>
    <row r="196" spans="2:8" x14ac:dyDescent="0.3">
      <c r="B196" s="65">
        <v>45799</v>
      </c>
      <c r="C196" s="74">
        <v>45779</v>
      </c>
      <c r="D196" s="56" t="s">
        <v>2811</v>
      </c>
      <c r="E196" s="75" t="s">
        <v>1790</v>
      </c>
      <c r="F196" s="63" t="s">
        <v>6</v>
      </c>
      <c r="G196" s="56" t="s">
        <v>2816</v>
      </c>
      <c r="H196" s="56" t="s">
        <v>2817</v>
      </c>
    </row>
    <row r="197" spans="2:8" x14ac:dyDescent="0.3">
      <c r="B197" s="65">
        <v>45799</v>
      </c>
      <c r="C197" s="74">
        <v>45779</v>
      </c>
      <c r="D197" s="56" t="s">
        <v>2811</v>
      </c>
      <c r="E197" s="75" t="s">
        <v>1790</v>
      </c>
      <c r="F197" s="63" t="s">
        <v>6</v>
      </c>
      <c r="G197" s="56" t="s">
        <v>2818</v>
      </c>
      <c r="H197" s="56" t="s">
        <v>2819</v>
      </c>
    </row>
    <row r="198" spans="2:8" x14ac:dyDescent="0.3">
      <c r="B198" s="65">
        <v>45800</v>
      </c>
      <c r="C198" s="74">
        <v>45779</v>
      </c>
      <c r="D198" s="56" t="s">
        <v>2811</v>
      </c>
      <c r="E198" s="75" t="s">
        <v>1790</v>
      </c>
      <c r="F198" s="63" t="s">
        <v>6</v>
      </c>
      <c r="G198" s="56" t="s">
        <v>2814</v>
      </c>
      <c r="H198" s="56" t="s">
        <v>2815</v>
      </c>
    </row>
    <row r="199" spans="2:8" x14ac:dyDescent="0.3">
      <c r="B199" s="65">
        <v>45800</v>
      </c>
      <c r="C199" s="74">
        <v>45779</v>
      </c>
      <c r="D199" s="56" t="s">
        <v>2811</v>
      </c>
      <c r="E199" s="75" t="s">
        <v>1790</v>
      </c>
      <c r="F199" s="63" t="s">
        <v>6</v>
      </c>
      <c r="G199" s="56" t="s">
        <v>2816</v>
      </c>
      <c r="H199" s="56" t="s">
        <v>2817</v>
      </c>
    </row>
    <row r="200" spans="2:8" x14ac:dyDescent="0.3">
      <c r="B200" s="65">
        <v>45800</v>
      </c>
      <c r="C200" s="74">
        <v>45779</v>
      </c>
      <c r="D200" s="56" t="s">
        <v>2811</v>
      </c>
      <c r="E200" s="75" t="s">
        <v>1790</v>
      </c>
      <c r="F200" s="63" t="s">
        <v>6</v>
      </c>
      <c r="G200" s="56" t="s">
        <v>2818</v>
      </c>
      <c r="H200" s="56" t="s">
        <v>2819</v>
      </c>
    </row>
    <row r="201" spans="2:8" x14ac:dyDescent="0.3">
      <c r="B201" s="65">
        <v>45803</v>
      </c>
      <c r="C201" s="74">
        <v>45779</v>
      </c>
      <c r="D201" s="56" t="s">
        <v>2811</v>
      </c>
      <c r="E201" s="75" t="s">
        <v>1790</v>
      </c>
      <c r="F201" s="63" t="s">
        <v>6</v>
      </c>
      <c r="G201" s="56" t="s">
        <v>2814</v>
      </c>
      <c r="H201" s="56" t="s">
        <v>2815</v>
      </c>
    </row>
    <row r="202" spans="2:8" x14ac:dyDescent="0.3">
      <c r="B202" s="65">
        <v>45803</v>
      </c>
      <c r="C202" s="74">
        <v>45779</v>
      </c>
      <c r="D202" s="56" t="s">
        <v>2811</v>
      </c>
      <c r="E202" s="75" t="s">
        <v>1790</v>
      </c>
      <c r="F202" s="63" t="s">
        <v>6</v>
      </c>
      <c r="G202" s="56" t="s">
        <v>2816</v>
      </c>
      <c r="H202" s="56" t="s">
        <v>2817</v>
      </c>
    </row>
    <row r="203" spans="2:8" x14ac:dyDescent="0.3">
      <c r="B203" s="65">
        <v>45803</v>
      </c>
      <c r="C203" s="74">
        <v>45779</v>
      </c>
      <c r="D203" s="56" t="s">
        <v>2811</v>
      </c>
      <c r="E203" s="75" t="s">
        <v>1790</v>
      </c>
      <c r="F203" s="63" t="s">
        <v>6</v>
      </c>
      <c r="G203" s="56" t="s">
        <v>2818</v>
      </c>
      <c r="H203" s="56" t="s">
        <v>2819</v>
      </c>
    </row>
    <row r="204" spans="2:8" x14ac:dyDescent="0.3">
      <c r="B204" s="65">
        <v>45804</v>
      </c>
      <c r="C204" s="74">
        <v>45779</v>
      </c>
      <c r="D204" s="56" t="s">
        <v>2811</v>
      </c>
      <c r="E204" s="75" t="s">
        <v>1790</v>
      </c>
      <c r="F204" s="63" t="s">
        <v>6</v>
      </c>
      <c r="G204" s="56" t="s">
        <v>2814</v>
      </c>
      <c r="H204" s="56" t="s">
        <v>2815</v>
      </c>
    </row>
    <row r="205" spans="2:8" x14ac:dyDescent="0.3">
      <c r="B205" s="65">
        <v>45804</v>
      </c>
      <c r="C205" s="74">
        <v>45779</v>
      </c>
      <c r="D205" s="56" t="s">
        <v>2811</v>
      </c>
      <c r="E205" s="75" t="s">
        <v>1790</v>
      </c>
      <c r="F205" s="63" t="s">
        <v>6</v>
      </c>
      <c r="G205" s="56" t="s">
        <v>2816</v>
      </c>
      <c r="H205" s="56" t="s">
        <v>2817</v>
      </c>
    </row>
    <row r="206" spans="2:8" x14ac:dyDescent="0.3">
      <c r="B206" s="65">
        <v>45804</v>
      </c>
      <c r="C206" s="74">
        <v>45779</v>
      </c>
      <c r="D206" s="56" t="s">
        <v>2811</v>
      </c>
      <c r="E206" s="75" t="s">
        <v>1790</v>
      </c>
      <c r="F206" s="63" t="s">
        <v>6</v>
      </c>
      <c r="G206" s="56" t="s">
        <v>2818</v>
      </c>
      <c r="H206" s="56" t="s">
        <v>2819</v>
      </c>
    </row>
    <row r="207" spans="2:8" x14ac:dyDescent="0.3">
      <c r="B207" s="65">
        <v>45805</v>
      </c>
      <c r="C207" s="74">
        <v>45779</v>
      </c>
      <c r="D207" s="56" t="s">
        <v>2811</v>
      </c>
      <c r="E207" s="75" t="s">
        <v>1790</v>
      </c>
      <c r="F207" s="63" t="s">
        <v>6</v>
      </c>
      <c r="G207" s="56" t="s">
        <v>2814</v>
      </c>
      <c r="H207" s="56" t="s">
        <v>2815</v>
      </c>
    </row>
    <row r="208" spans="2:8" x14ac:dyDescent="0.3">
      <c r="B208" s="65">
        <v>45805</v>
      </c>
      <c r="C208" s="74">
        <v>45779</v>
      </c>
      <c r="D208" s="56" t="s">
        <v>2811</v>
      </c>
      <c r="E208" s="75" t="s">
        <v>1790</v>
      </c>
      <c r="F208" s="63" t="s">
        <v>6</v>
      </c>
      <c r="G208" s="56" t="s">
        <v>2816</v>
      </c>
      <c r="H208" s="56" t="s">
        <v>2817</v>
      </c>
    </row>
    <row r="209" spans="2:8" x14ac:dyDescent="0.3">
      <c r="B209" s="65">
        <v>45805</v>
      </c>
      <c r="C209" s="74">
        <v>45779</v>
      </c>
      <c r="D209" s="56" t="s">
        <v>2811</v>
      </c>
      <c r="E209" s="75" t="s">
        <v>1790</v>
      </c>
      <c r="F209" s="63" t="s">
        <v>6</v>
      </c>
      <c r="G209" s="56" t="s">
        <v>2818</v>
      </c>
      <c r="H209" s="56" t="s">
        <v>2819</v>
      </c>
    </row>
    <row r="210" spans="2:8" x14ac:dyDescent="0.3">
      <c r="B210" s="65">
        <v>45806</v>
      </c>
      <c r="C210" s="74">
        <v>45779</v>
      </c>
      <c r="D210" s="56" t="s">
        <v>2811</v>
      </c>
      <c r="E210" s="75" t="s">
        <v>1790</v>
      </c>
      <c r="F210" s="63" t="s">
        <v>6</v>
      </c>
      <c r="G210" s="56" t="s">
        <v>2814</v>
      </c>
      <c r="H210" s="56" t="s">
        <v>2815</v>
      </c>
    </row>
    <row r="211" spans="2:8" x14ac:dyDescent="0.3">
      <c r="B211" s="65">
        <v>45806</v>
      </c>
      <c r="C211" s="74">
        <v>45779</v>
      </c>
      <c r="D211" s="56" t="s">
        <v>2811</v>
      </c>
      <c r="E211" s="75" t="s">
        <v>1790</v>
      </c>
      <c r="F211" s="63" t="s">
        <v>6</v>
      </c>
      <c r="G211" s="56" t="s">
        <v>2816</v>
      </c>
      <c r="H211" s="56" t="s">
        <v>2817</v>
      </c>
    </row>
    <row r="212" spans="2:8" x14ac:dyDescent="0.3">
      <c r="B212" s="65">
        <v>45806</v>
      </c>
      <c r="C212" s="74">
        <v>45779</v>
      </c>
      <c r="D212" s="56" t="s">
        <v>2811</v>
      </c>
      <c r="E212" s="75" t="s">
        <v>1790</v>
      </c>
      <c r="F212" s="63" t="s">
        <v>6</v>
      </c>
      <c r="G212" s="56" t="s">
        <v>2818</v>
      </c>
      <c r="H212" s="56" t="s">
        <v>2819</v>
      </c>
    </row>
    <row r="213" spans="2:8" x14ac:dyDescent="0.3">
      <c r="B213" s="65">
        <v>45807</v>
      </c>
      <c r="C213" s="74">
        <v>45779</v>
      </c>
      <c r="D213" s="56" t="s">
        <v>2811</v>
      </c>
      <c r="E213" s="75" t="s">
        <v>1790</v>
      </c>
      <c r="F213" s="63" t="s">
        <v>6</v>
      </c>
      <c r="G213" s="56" t="s">
        <v>2814</v>
      </c>
      <c r="H213" s="56" t="s">
        <v>2815</v>
      </c>
    </row>
    <row r="214" spans="2:8" x14ac:dyDescent="0.3">
      <c r="B214" s="65">
        <v>45807</v>
      </c>
      <c r="C214" s="74">
        <v>45779</v>
      </c>
      <c r="D214" s="56" t="s">
        <v>2811</v>
      </c>
      <c r="E214" s="75" t="s">
        <v>1790</v>
      </c>
      <c r="F214" s="63" t="s">
        <v>6</v>
      </c>
      <c r="G214" s="56" t="s">
        <v>2816</v>
      </c>
      <c r="H214" s="56" t="s">
        <v>2817</v>
      </c>
    </row>
    <row r="215" spans="2:8" x14ac:dyDescent="0.3">
      <c r="B215" s="65">
        <v>45807</v>
      </c>
      <c r="C215" s="74">
        <v>45779</v>
      </c>
      <c r="D215" s="56" t="s">
        <v>2811</v>
      </c>
      <c r="E215" s="75" t="s">
        <v>1790</v>
      </c>
      <c r="F215" s="63" t="s">
        <v>6</v>
      </c>
      <c r="G215" s="56" t="s">
        <v>2818</v>
      </c>
      <c r="H215" s="56" t="s">
        <v>2819</v>
      </c>
    </row>
    <row r="216" spans="2:8" x14ac:dyDescent="0.3">
      <c r="B216" s="65">
        <v>45810</v>
      </c>
      <c r="C216" s="74">
        <v>45810</v>
      </c>
      <c r="D216" s="56" t="s">
        <v>2811</v>
      </c>
      <c r="E216" s="75" t="s">
        <v>1790</v>
      </c>
      <c r="F216" s="63" t="s">
        <v>6</v>
      </c>
      <c r="G216" s="56" t="s">
        <v>2814</v>
      </c>
      <c r="H216" s="56" t="s">
        <v>2815</v>
      </c>
    </row>
    <row r="217" spans="2:8" x14ac:dyDescent="0.3">
      <c r="B217" s="65">
        <v>45810</v>
      </c>
      <c r="C217" s="74">
        <v>45810</v>
      </c>
      <c r="D217" s="56" t="s">
        <v>2811</v>
      </c>
      <c r="E217" s="75" t="s">
        <v>1790</v>
      </c>
      <c r="F217" s="63" t="s">
        <v>6</v>
      </c>
      <c r="G217" s="56" t="s">
        <v>2816</v>
      </c>
      <c r="H217" s="56" t="s">
        <v>2817</v>
      </c>
    </row>
    <row r="218" spans="2:8" x14ac:dyDescent="0.3">
      <c r="B218" s="65">
        <v>45810</v>
      </c>
      <c r="C218" s="74">
        <v>45810</v>
      </c>
      <c r="D218" s="56" t="s">
        <v>2811</v>
      </c>
      <c r="E218" s="75" t="s">
        <v>1790</v>
      </c>
      <c r="F218" s="63" t="s">
        <v>6</v>
      </c>
      <c r="G218" s="56" t="s">
        <v>2818</v>
      </c>
      <c r="H218" s="56" t="s">
        <v>2819</v>
      </c>
    </row>
    <row r="219" spans="2:8" x14ac:dyDescent="0.3">
      <c r="B219" s="65">
        <v>45811</v>
      </c>
      <c r="C219" s="74">
        <v>45810</v>
      </c>
      <c r="D219" s="56" t="s">
        <v>2811</v>
      </c>
      <c r="E219" s="75" t="s">
        <v>1790</v>
      </c>
      <c r="F219" s="63" t="s">
        <v>6</v>
      </c>
      <c r="G219" s="56" t="s">
        <v>2814</v>
      </c>
      <c r="H219" s="56" t="s">
        <v>2815</v>
      </c>
    </row>
    <row r="220" spans="2:8" x14ac:dyDescent="0.3">
      <c r="B220" s="65">
        <v>45811</v>
      </c>
      <c r="C220" s="74">
        <v>45810</v>
      </c>
      <c r="D220" s="56" t="s">
        <v>2811</v>
      </c>
      <c r="E220" s="75" t="s">
        <v>1790</v>
      </c>
      <c r="F220" s="63" t="s">
        <v>6</v>
      </c>
      <c r="G220" s="56" t="s">
        <v>2816</v>
      </c>
      <c r="H220" s="56" t="s">
        <v>2817</v>
      </c>
    </row>
    <row r="221" spans="2:8" x14ac:dyDescent="0.3">
      <c r="B221" s="65">
        <v>45811</v>
      </c>
      <c r="C221" s="74">
        <v>45810</v>
      </c>
      <c r="D221" s="56" t="s">
        <v>2811</v>
      </c>
      <c r="E221" s="75" t="s">
        <v>1790</v>
      </c>
      <c r="F221" s="63" t="s">
        <v>6</v>
      </c>
      <c r="G221" s="56" t="s">
        <v>2818</v>
      </c>
      <c r="H221" s="56" t="s">
        <v>2819</v>
      </c>
    </row>
    <row r="222" spans="2:8" x14ac:dyDescent="0.3">
      <c r="B222" s="65">
        <v>45812</v>
      </c>
      <c r="C222" s="74">
        <v>45810</v>
      </c>
      <c r="D222" s="56" t="s">
        <v>2811</v>
      </c>
      <c r="E222" s="75" t="s">
        <v>1790</v>
      </c>
      <c r="F222" s="63" t="s">
        <v>6</v>
      </c>
      <c r="G222" s="56" t="s">
        <v>2814</v>
      </c>
      <c r="H222" s="56" t="s">
        <v>2815</v>
      </c>
    </row>
    <row r="223" spans="2:8" x14ac:dyDescent="0.3">
      <c r="B223" s="65">
        <v>45812</v>
      </c>
      <c r="C223" s="74">
        <v>45810</v>
      </c>
      <c r="D223" s="56" t="s">
        <v>2811</v>
      </c>
      <c r="E223" s="75" t="s">
        <v>1790</v>
      </c>
      <c r="F223" s="63" t="s">
        <v>6</v>
      </c>
      <c r="G223" s="56" t="s">
        <v>2816</v>
      </c>
      <c r="H223" s="56" t="s">
        <v>2817</v>
      </c>
    </row>
    <row r="224" spans="2:8" x14ac:dyDescent="0.3">
      <c r="B224" s="65">
        <v>45812</v>
      </c>
      <c r="C224" s="74">
        <v>45810</v>
      </c>
      <c r="D224" s="56" t="s">
        <v>2811</v>
      </c>
      <c r="E224" s="75" t="s">
        <v>1790</v>
      </c>
      <c r="F224" s="63" t="s">
        <v>6</v>
      </c>
      <c r="G224" s="56" t="s">
        <v>2818</v>
      </c>
      <c r="H224" s="56" t="s">
        <v>2819</v>
      </c>
    </row>
    <row r="225" spans="2:8" x14ac:dyDescent="0.3">
      <c r="B225" s="65">
        <v>45813</v>
      </c>
      <c r="C225" s="74">
        <v>45810</v>
      </c>
      <c r="D225" s="56" t="s">
        <v>2811</v>
      </c>
      <c r="E225" s="75" t="s">
        <v>1790</v>
      </c>
      <c r="F225" s="63" t="s">
        <v>6</v>
      </c>
      <c r="G225" s="56" t="s">
        <v>2814</v>
      </c>
      <c r="H225" s="56" t="s">
        <v>2815</v>
      </c>
    </row>
    <row r="226" spans="2:8" x14ac:dyDescent="0.3">
      <c r="B226" s="65">
        <v>45813</v>
      </c>
      <c r="C226" s="74">
        <v>45810</v>
      </c>
      <c r="D226" s="56" t="s">
        <v>2811</v>
      </c>
      <c r="E226" s="75" t="s">
        <v>1790</v>
      </c>
      <c r="F226" s="63" t="s">
        <v>6</v>
      </c>
      <c r="G226" s="56" t="s">
        <v>2816</v>
      </c>
      <c r="H226" s="56" t="s">
        <v>2817</v>
      </c>
    </row>
    <row r="227" spans="2:8" x14ac:dyDescent="0.3">
      <c r="B227" s="65">
        <v>45813</v>
      </c>
      <c r="C227" s="74">
        <v>45810</v>
      </c>
      <c r="D227" s="56" t="s">
        <v>2811</v>
      </c>
      <c r="E227" s="75" t="s">
        <v>1790</v>
      </c>
      <c r="F227" s="63" t="s">
        <v>6</v>
      </c>
      <c r="G227" s="56" t="s">
        <v>2818</v>
      </c>
      <c r="H227" s="56" t="s">
        <v>2819</v>
      </c>
    </row>
    <row r="228" spans="2:8" x14ac:dyDescent="0.3">
      <c r="B228" s="65">
        <v>45814</v>
      </c>
      <c r="C228" s="74">
        <v>45810</v>
      </c>
      <c r="D228" s="75" t="s">
        <v>2811</v>
      </c>
      <c r="E228" s="75" t="s">
        <v>1790</v>
      </c>
      <c r="F228" s="64" t="s">
        <v>4</v>
      </c>
      <c r="G228" s="56" t="s">
        <v>2988</v>
      </c>
      <c r="H228" s="56" t="s">
        <v>2988</v>
      </c>
    </row>
    <row r="229" spans="2:8" x14ac:dyDescent="0.3">
      <c r="B229" s="65">
        <v>45814</v>
      </c>
      <c r="C229" s="74">
        <v>45810</v>
      </c>
      <c r="D229" s="56" t="s">
        <v>2811</v>
      </c>
      <c r="E229" s="75" t="s">
        <v>1790</v>
      </c>
      <c r="F229" s="63" t="s">
        <v>6</v>
      </c>
      <c r="G229" s="56" t="s">
        <v>2814</v>
      </c>
      <c r="H229" s="56" t="s">
        <v>2815</v>
      </c>
    </row>
    <row r="230" spans="2:8" x14ac:dyDescent="0.3">
      <c r="B230" s="65">
        <v>45814</v>
      </c>
      <c r="C230" s="74">
        <v>45810</v>
      </c>
      <c r="D230" s="56" t="s">
        <v>2811</v>
      </c>
      <c r="E230" s="75" t="s">
        <v>1790</v>
      </c>
      <c r="F230" s="63" t="s">
        <v>6</v>
      </c>
      <c r="G230" s="56" t="s">
        <v>2816</v>
      </c>
      <c r="H230" s="56" t="s">
        <v>2817</v>
      </c>
    </row>
    <row r="231" spans="2:8" x14ac:dyDescent="0.3">
      <c r="B231" s="65">
        <v>45814</v>
      </c>
      <c r="C231" s="74">
        <v>45810</v>
      </c>
      <c r="D231" s="56" t="s">
        <v>2811</v>
      </c>
      <c r="E231" s="75" t="s">
        <v>1790</v>
      </c>
      <c r="F231" s="63" t="s">
        <v>6</v>
      </c>
      <c r="G231" s="56" t="s">
        <v>2818</v>
      </c>
      <c r="H231" s="56" t="s">
        <v>2819</v>
      </c>
    </row>
    <row r="232" spans="2:8" x14ac:dyDescent="0.3">
      <c r="B232" s="65">
        <v>45817</v>
      </c>
      <c r="C232" s="74">
        <v>45810</v>
      </c>
      <c r="D232" s="56" t="s">
        <v>2811</v>
      </c>
      <c r="E232" s="75" t="s">
        <v>1790</v>
      </c>
      <c r="F232" s="63" t="s">
        <v>6</v>
      </c>
      <c r="G232" s="56" t="s">
        <v>2814</v>
      </c>
      <c r="H232" s="56" t="s">
        <v>2815</v>
      </c>
    </row>
    <row r="233" spans="2:8" x14ac:dyDescent="0.3">
      <c r="B233" s="65">
        <v>45817</v>
      </c>
      <c r="C233" s="74">
        <v>45810</v>
      </c>
      <c r="D233" s="56" t="s">
        <v>2811</v>
      </c>
      <c r="E233" s="75" t="s">
        <v>1790</v>
      </c>
      <c r="F233" s="63" t="s">
        <v>6</v>
      </c>
      <c r="G233" s="56" t="s">
        <v>2816</v>
      </c>
      <c r="H233" s="56" t="s">
        <v>2817</v>
      </c>
    </row>
    <row r="234" spans="2:8" x14ac:dyDescent="0.3">
      <c r="B234" s="65">
        <v>45817</v>
      </c>
      <c r="C234" s="74">
        <v>45810</v>
      </c>
      <c r="D234" s="56" t="s">
        <v>2811</v>
      </c>
      <c r="E234" s="75" t="s">
        <v>1790</v>
      </c>
      <c r="F234" s="63" t="s">
        <v>6</v>
      </c>
      <c r="G234" s="56" t="s">
        <v>2818</v>
      </c>
      <c r="H234" s="56" t="s">
        <v>2819</v>
      </c>
    </row>
    <row r="235" spans="2:8" x14ac:dyDescent="0.3">
      <c r="B235" s="65">
        <v>45818</v>
      </c>
      <c r="C235" s="74">
        <v>45810</v>
      </c>
      <c r="D235" s="56" t="s">
        <v>2811</v>
      </c>
      <c r="E235" s="75" t="s">
        <v>1790</v>
      </c>
      <c r="F235" s="63" t="s">
        <v>6</v>
      </c>
      <c r="G235" s="56" t="s">
        <v>2814</v>
      </c>
      <c r="H235" s="56" t="s">
        <v>2815</v>
      </c>
    </row>
    <row r="236" spans="2:8" x14ac:dyDescent="0.3">
      <c r="B236" s="65">
        <v>45818</v>
      </c>
      <c r="C236" s="74">
        <v>45810</v>
      </c>
      <c r="D236" s="56" t="s">
        <v>2811</v>
      </c>
      <c r="E236" s="75" t="s">
        <v>1790</v>
      </c>
      <c r="F236" s="63" t="s">
        <v>6</v>
      </c>
      <c r="G236" s="56" t="s">
        <v>2816</v>
      </c>
      <c r="H236" s="56" t="s">
        <v>2817</v>
      </c>
    </row>
    <row r="237" spans="2:8" x14ac:dyDescent="0.3">
      <c r="B237" s="65">
        <v>45818</v>
      </c>
      <c r="C237" s="74">
        <v>45810</v>
      </c>
      <c r="D237" s="56" t="s">
        <v>2811</v>
      </c>
      <c r="E237" s="75" t="s">
        <v>1790</v>
      </c>
      <c r="F237" s="63" t="s">
        <v>6</v>
      </c>
      <c r="G237" s="56" t="s">
        <v>2818</v>
      </c>
      <c r="H237" s="56" t="s">
        <v>2819</v>
      </c>
    </row>
    <row r="238" spans="2:8" x14ac:dyDescent="0.3">
      <c r="B238" s="65">
        <v>45819</v>
      </c>
      <c r="C238" s="74">
        <v>45810</v>
      </c>
      <c r="D238" s="56" t="s">
        <v>2811</v>
      </c>
      <c r="E238" s="75" t="s">
        <v>1790</v>
      </c>
      <c r="F238" s="63" t="s">
        <v>6</v>
      </c>
      <c r="G238" s="56" t="s">
        <v>2814</v>
      </c>
      <c r="H238" s="56" t="s">
        <v>2815</v>
      </c>
    </row>
    <row r="239" spans="2:8" x14ac:dyDescent="0.3">
      <c r="B239" s="65">
        <v>45819</v>
      </c>
      <c r="C239" s="74">
        <v>45810</v>
      </c>
      <c r="D239" s="56" t="s">
        <v>2811</v>
      </c>
      <c r="E239" s="75" t="s">
        <v>1790</v>
      </c>
      <c r="F239" s="63" t="s">
        <v>6</v>
      </c>
      <c r="G239" s="56" t="s">
        <v>2816</v>
      </c>
      <c r="H239" s="56" t="s">
        <v>2817</v>
      </c>
    </row>
    <row r="240" spans="2:8" x14ac:dyDescent="0.3">
      <c r="B240" s="65">
        <v>45819</v>
      </c>
      <c r="C240" s="74">
        <v>45810</v>
      </c>
      <c r="D240" s="56" t="s">
        <v>2811</v>
      </c>
      <c r="E240" s="75" t="s">
        <v>1790</v>
      </c>
      <c r="F240" s="63" t="s">
        <v>6</v>
      </c>
      <c r="G240" s="56" t="s">
        <v>2818</v>
      </c>
      <c r="H240" s="56" t="s">
        <v>2819</v>
      </c>
    </row>
    <row r="241" spans="2:8" x14ac:dyDescent="0.3">
      <c r="B241" s="65">
        <v>45820</v>
      </c>
      <c r="C241" s="74">
        <v>45810</v>
      </c>
      <c r="D241" s="56" t="s">
        <v>2811</v>
      </c>
      <c r="E241" s="75" t="s">
        <v>1790</v>
      </c>
      <c r="F241" s="63" t="s">
        <v>6</v>
      </c>
      <c r="G241" s="56" t="s">
        <v>2814</v>
      </c>
      <c r="H241" s="56" t="s">
        <v>2815</v>
      </c>
    </row>
    <row r="242" spans="2:8" x14ac:dyDescent="0.3">
      <c r="B242" s="65">
        <v>45820</v>
      </c>
      <c r="C242" s="74">
        <v>45810</v>
      </c>
      <c r="D242" s="56" t="s">
        <v>2811</v>
      </c>
      <c r="E242" s="75" t="s">
        <v>1790</v>
      </c>
      <c r="F242" s="63" t="s">
        <v>6</v>
      </c>
      <c r="G242" s="56" t="s">
        <v>2816</v>
      </c>
      <c r="H242" s="56" t="s">
        <v>2817</v>
      </c>
    </row>
    <row r="243" spans="2:8" x14ac:dyDescent="0.3">
      <c r="B243" s="65">
        <v>45820</v>
      </c>
      <c r="C243" s="74">
        <v>45810</v>
      </c>
      <c r="D243" s="56" t="s">
        <v>2811</v>
      </c>
      <c r="E243" s="75" t="s">
        <v>1790</v>
      </c>
      <c r="F243" s="63" t="s">
        <v>6</v>
      </c>
      <c r="G243" s="56" t="s">
        <v>2818</v>
      </c>
      <c r="H243" s="56" t="s">
        <v>2819</v>
      </c>
    </row>
    <row r="244" spans="2:8" x14ac:dyDescent="0.3">
      <c r="B244" s="65">
        <v>45821</v>
      </c>
      <c r="C244" s="74">
        <v>45810</v>
      </c>
      <c r="D244" s="56" t="s">
        <v>2811</v>
      </c>
      <c r="E244" s="75" t="s">
        <v>1790</v>
      </c>
      <c r="F244" s="63" t="s">
        <v>6</v>
      </c>
      <c r="G244" s="56" t="s">
        <v>2814</v>
      </c>
      <c r="H244" s="56" t="s">
        <v>2815</v>
      </c>
    </row>
    <row r="245" spans="2:8" x14ac:dyDescent="0.3">
      <c r="B245" s="65">
        <v>45821</v>
      </c>
      <c r="C245" s="74">
        <v>45810</v>
      </c>
      <c r="D245" s="56" t="s">
        <v>2811</v>
      </c>
      <c r="E245" s="75" t="s">
        <v>1790</v>
      </c>
      <c r="F245" s="63" t="s">
        <v>6</v>
      </c>
      <c r="G245" s="56" t="s">
        <v>2816</v>
      </c>
      <c r="H245" s="56" t="s">
        <v>2817</v>
      </c>
    </row>
    <row r="246" spans="2:8" x14ac:dyDescent="0.3">
      <c r="B246" s="65">
        <v>45821</v>
      </c>
      <c r="C246" s="74">
        <v>45810</v>
      </c>
      <c r="D246" s="56" t="s">
        <v>2811</v>
      </c>
      <c r="E246" s="75" t="s">
        <v>1790</v>
      </c>
      <c r="F246" s="63" t="s">
        <v>6</v>
      </c>
      <c r="G246" s="56" t="s">
        <v>2818</v>
      </c>
      <c r="H246" s="56" t="s">
        <v>2819</v>
      </c>
    </row>
    <row r="247" spans="2:8" x14ac:dyDescent="0.3">
      <c r="B247" s="65">
        <v>45822</v>
      </c>
      <c r="C247" s="74">
        <v>45810</v>
      </c>
      <c r="D247" s="56" t="s">
        <v>2811</v>
      </c>
      <c r="E247" s="75" t="s">
        <v>1790</v>
      </c>
      <c r="F247" s="64" t="s">
        <v>4</v>
      </c>
      <c r="G247" s="56" t="s">
        <v>2989</v>
      </c>
      <c r="H247" s="56" t="s">
        <v>2989</v>
      </c>
    </row>
    <row r="248" spans="2:8" x14ac:dyDescent="0.3">
      <c r="B248" s="65">
        <v>45822</v>
      </c>
      <c r="C248" s="74">
        <v>45810</v>
      </c>
      <c r="D248" s="56" t="s">
        <v>2811</v>
      </c>
      <c r="E248" s="75" t="s">
        <v>1790</v>
      </c>
      <c r="F248" s="64" t="s">
        <v>4</v>
      </c>
      <c r="G248" s="56" t="s">
        <v>2990</v>
      </c>
      <c r="H248" s="56" t="s">
        <v>2990</v>
      </c>
    </row>
    <row r="249" spans="2:8" x14ac:dyDescent="0.3">
      <c r="B249" s="65">
        <v>45824</v>
      </c>
      <c r="C249" s="74">
        <v>45810</v>
      </c>
      <c r="D249" s="56" t="s">
        <v>2811</v>
      </c>
      <c r="E249" s="75" t="s">
        <v>1790</v>
      </c>
      <c r="F249" s="63" t="s">
        <v>6</v>
      </c>
      <c r="G249" s="56" t="s">
        <v>2814</v>
      </c>
      <c r="H249" s="56" t="s">
        <v>2815</v>
      </c>
    </row>
    <row r="250" spans="2:8" x14ac:dyDescent="0.3">
      <c r="B250" s="65">
        <v>45824</v>
      </c>
      <c r="C250" s="74">
        <v>45810</v>
      </c>
      <c r="D250" s="56" t="s">
        <v>2811</v>
      </c>
      <c r="E250" s="75" t="s">
        <v>1790</v>
      </c>
      <c r="F250" s="63" t="s">
        <v>6</v>
      </c>
      <c r="G250" s="56" t="s">
        <v>2816</v>
      </c>
      <c r="H250" s="56" t="s">
        <v>2817</v>
      </c>
    </row>
    <row r="251" spans="2:8" x14ac:dyDescent="0.3">
      <c r="B251" s="65">
        <v>45824</v>
      </c>
      <c r="C251" s="74">
        <v>45810</v>
      </c>
      <c r="D251" s="56" t="s">
        <v>2811</v>
      </c>
      <c r="E251" s="75" t="s">
        <v>1790</v>
      </c>
      <c r="F251" s="63" t="s">
        <v>6</v>
      </c>
      <c r="G251" s="56" t="s">
        <v>2818</v>
      </c>
      <c r="H251" s="56" t="s">
        <v>2819</v>
      </c>
    </row>
    <row r="252" spans="2:8" x14ac:dyDescent="0.3">
      <c r="B252" s="65">
        <v>45825</v>
      </c>
      <c r="C252" s="74">
        <v>45810</v>
      </c>
      <c r="D252" s="56" t="s">
        <v>2811</v>
      </c>
      <c r="E252" s="75" t="s">
        <v>1790</v>
      </c>
      <c r="F252" s="63" t="s">
        <v>6</v>
      </c>
      <c r="G252" s="56" t="s">
        <v>2814</v>
      </c>
      <c r="H252" s="56" t="s">
        <v>2815</v>
      </c>
    </row>
    <row r="253" spans="2:8" x14ac:dyDescent="0.3">
      <c r="B253" s="65">
        <v>45825</v>
      </c>
      <c r="C253" s="74">
        <v>45810</v>
      </c>
      <c r="D253" s="56" t="s">
        <v>2811</v>
      </c>
      <c r="E253" s="75" t="s">
        <v>1790</v>
      </c>
      <c r="F253" s="63" t="s">
        <v>6</v>
      </c>
      <c r="G253" s="56" t="s">
        <v>2816</v>
      </c>
      <c r="H253" s="56" t="s">
        <v>2817</v>
      </c>
    </row>
    <row r="254" spans="2:8" x14ac:dyDescent="0.3">
      <c r="B254" s="65">
        <v>45825</v>
      </c>
      <c r="C254" s="74">
        <v>45810</v>
      </c>
      <c r="D254" s="56" t="s">
        <v>2811</v>
      </c>
      <c r="E254" s="75" t="s">
        <v>1790</v>
      </c>
      <c r="F254" s="63" t="s">
        <v>6</v>
      </c>
      <c r="G254" s="56" t="s">
        <v>2818</v>
      </c>
      <c r="H254" s="56" t="s">
        <v>2819</v>
      </c>
    </row>
    <row r="255" spans="2:8" x14ac:dyDescent="0.3">
      <c r="B255" s="65">
        <v>45826</v>
      </c>
      <c r="C255" s="74">
        <v>45810</v>
      </c>
      <c r="D255" s="56" t="s">
        <v>2811</v>
      </c>
      <c r="E255" s="75" t="s">
        <v>1790</v>
      </c>
      <c r="F255" s="63" t="s">
        <v>6</v>
      </c>
      <c r="G255" s="56" t="s">
        <v>2814</v>
      </c>
      <c r="H255" s="56" t="s">
        <v>2815</v>
      </c>
    </row>
    <row r="256" spans="2:8" x14ac:dyDescent="0.3">
      <c r="B256" s="65">
        <v>45826</v>
      </c>
      <c r="C256" s="74">
        <v>45810</v>
      </c>
      <c r="D256" s="56" t="s">
        <v>2811</v>
      </c>
      <c r="E256" s="75" t="s">
        <v>1790</v>
      </c>
      <c r="F256" s="63" t="s">
        <v>6</v>
      </c>
      <c r="G256" s="56" t="s">
        <v>2816</v>
      </c>
      <c r="H256" s="56" t="s">
        <v>2817</v>
      </c>
    </row>
    <row r="257" spans="2:8" x14ac:dyDescent="0.3">
      <c r="B257" s="65">
        <v>45826</v>
      </c>
      <c r="C257" s="74">
        <v>45810</v>
      </c>
      <c r="D257" s="56" t="s">
        <v>2811</v>
      </c>
      <c r="E257" s="75" t="s">
        <v>1790</v>
      </c>
      <c r="F257" s="63" t="s">
        <v>6</v>
      </c>
      <c r="G257" s="56" t="s">
        <v>2818</v>
      </c>
      <c r="H257" s="56" t="s">
        <v>2819</v>
      </c>
    </row>
    <row r="258" spans="2:8" x14ac:dyDescent="0.3">
      <c r="B258" s="65">
        <v>45827</v>
      </c>
      <c r="C258" s="74">
        <v>45810</v>
      </c>
      <c r="D258" s="56" t="s">
        <v>2811</v>
      </c>
      <c r="E258" s="75" t="s">
        <v>1790</v>
      </c>
      <c r="F258" s="63" t="s">
        <v>6</v>
      </c>
      <c r="G258" s="56" t="s">
        <v>2814</v>
      </c>
      <c r="H258" s="56" t="s">
        <v>2815</v>
      </c>
    </row>
    <row r="259" spans="2:8" x14ac:dyDescent="0.3">
      <c r="B259" s="65">
        <v>45827</v>
      </c>
      <c r="C259" s="74">
        <v>45810</v>
      </c>
      <c r="D259" s="56" t="s">
        <v>2811</v>
      </c>
      <c r="E259" s="75" t="s">
        <v>1790</v>
      </c>
      <c r="F259" s="63" t="s">
        <v>6</v>
      </c>
      <c r="G259" s="56" t="s">
        <v>2816</v>
      </c>
      <c r="H259" s="56" t="s">
        <v>2817</v>
      </c>
    </row>
    <row r="260" spans="2:8" x14ac:dyDescent="0.3">
      <c r="B260" s="65">
        <v>45827</v>
      </c>
      <c r="C260" s="74">
        <v>45810</v>
      </c>
      <c r="D260" s="56" t="s">
        <v>2811</v>
      </c>
      <c r="E260" s="75" t="s">
        <v>1790</v>
      </c>
      <c r="F260" s="63" t="s">
        <v>6</v>
      </c>
      <c r="G260" s="56" t="s">
        <v>2818</v>
      </c>
      <c r="H260" s="56" t="s">
        <v>2819</v>
      </c>
    </row>
    <row r="261" spans="2:8" x14ac:dyDescent="0.3">
      <c r="B261" s="65">
        <v>45831</v>
      </c>
      <c r="C261" s="74">
        <v>45810</v>
      </c>
      <c r="D261" s="56" t="s">
        <v>2811</v>
      </c>
      <c r="E261" s="75" t="s">
        <v>1790</v>
      </c>
      <c r="F261" s="64" t="s">
        <v>4</v>
      </c>
      <c r="G261" s="56" t="s">
        <v>2991</v>
      </c>
      <c r="H261" s="56" t="s">
        <v>2991</v>
      </c>
    </row>
    <row r="262" spans="2:8" x14ac:dyDescent="0.3">
      <c r="B262" s="65">
        <v>45831</v>
      </c>
      <c r="C262" s="74">
        <v>45810</v>
      </c>
      <c r="D262" s="56" t="s">
        <v>2811</v>
      </c>
      <c r="E262" s="75" t="s">
        <v>1790</v>
      </c>
      <c r="F262" s="63" t="s">
        <v>6</v>
      </c>
      <c r="G262" s="56" t="s">
        <v>2814</v>
      </c>
      <c r="H262" s="56" t="s">
        <v>2815</v>
      </c>
    </row>
    <row r="263" spans="2:8" x14ac:dyDescent="0.3">
      <c r="B263" s="65">
        <v>45831</v>
      </c>
      <c r="C263" s="74">
        <v>45810</v>
      </c>
      <c r="D263" s="56" t="s">
        <v>2811</v>
      </c>
      <c r="E263" s="75" t="s">
        <v>1790</v>
      </c>
      <c r="F263" s="63" t="s">
        <v>6</v>
      </c>
      <c r="G263" s="56" t="s">
        <v>2816</v>
      </c>
      <c r="H263" s="56" t="s">
        <v>2817</v>
      </c>
    </row>
    <row r="264" spans="2:8" x14ac:dyDescent="0.3">
      <c r="B264" s="65">
        <v>45831</v>
      </c>
      <c r="C264" s="74">
        <v>45810</v>
      </c>
      <c r="D264" s="56" t="s">
        <v>2811</v>
      </c>
      <c r="E264" s="75" t="s">
        <v>1790</v>
      </c>
      <c r="F264" s="63" t="s">
        <v>6</v>
      </c>
      <c r="G264" s="56" t="s">
        <v>2818</v>
      </c>
      <c r="H264" s="56" t="s">
        <v>2819</v>
      </c>
    </row>
    <row r="265" spans="2:8" x14ac:dyDescent="0.3">
      <c r="B265" s="65">
        <v>45832</v>
      </c>
      <c r="C265" s="74">
        <v>45810</v>
      </c>
      <c r="D265" s="56" t="s">
        <v>2811</v>
      </c>
      <c r="E265" s="75" t="s">
        <v>1790</v>
      </c>
      <c r="F265" s="63" t="s">
        <v>6</v>
      </c>
      <c r="G265" s="56" t="s">
        <v>2814</v>
      </c>
      <c r="H265" s="56" t="s">
        <v>2815</v>
      </c>
    </row>
    <row r="266" spans="2:8" x14ac:dyDescent="0.3">
      <c r="B266" s="65">
        <v>45832</v>
      </c>
      <c r="C266" s="74">
        <v>45810</v>
      </c>
      <c r="D266" s="56" t="s">
        <v>2811</v>
      </c>
      <c r="E266" s="75" t="s">
        <v>1790</v>
      </c>
      <c r="F266" s="63" t="s">
        <v>6</v>
      </c>
      <c r="G266" s="56" t="s">
        <v>2816</v>
      </c>
      <c r="H266" s="56" t="s">
        <v>2817</v>
      </c>
    </row>
    <row r="267" spans="2:8" x14ac:dyDescent="0.3">
      <c r="B267" s="65">
        <v>45832</v>
      </c>
      <c r="C267" s="74">
        <v>45810</v>
      </c>
      <c r="D267" s="56" t="s">
        <v>2811</v>
      </c>
      <c r="E267" s="75" t="s">
        <v>1790</v>
      </c>
      <c r="F267" s="63" t="s">
        <v>6</v>
      </c>
      <c r="G267" s="56" t="s">
        <v>2818</v>
      </c>
      <c r="H267" s="56" t="s">
        <v>2819</v>
      </c>
    </row>
    <row r="268" spans="2:8" x14ac:dyDescent="0.3">
      <c r="B268" s="65">
        <v>45833</v>
      </c>
      <c r="C268" s="74">
        <v>45810</v>
      </c>
      <c r="D268" s="56" t="s">
        <v>2811</v>
      </c>
      <c r="E268" s="75" t="s">
        <v>1790</v>
      </c>
      <c r="F268" s="63" t="s">
        <v>6</v>
      </c>
      <c r="G268" s="56" t="s">
        <v>2814</v>
      </c>
      <c r="H268" s="56" t="s">
        <v>2815</v>
      </c>
    </row>
    <row r="269" spans="2:8" x14ac:dyDescent="0.3">
      <c r="B269" s="65">
        <v>45833</v>
      </c>
      <c r="C269" s="74">
        <v>45810</v>
      </c>
      <c r="D269" s="56" t="s">
        <v>2811</v>
      </c>
      <c r="E269" s="75" t="s">
        <v>1790</v>
      </c>
      <c r="F269" s="63" t="s">
        <v>6</v>
      </c>
      <c r="G269" s="56" t="s">
        <v>2816</v>
      </c>
      <c r="H269" s="56" t="s">
        <v>2817</v>
      </c>
    </row>
    <row r="270" spans="2:8" x14ac:dyDescent="0.3">
      <c r="B270" s="65">
        <v>45833</v>
      </c>
      <c r="C270" s="74">
        <v>45810</v>
      </c>
      <c r="D270" s="56" t="s">
        <v>2811</v>
      </c>
      <c r="E270" s="75" t="s">
        <v>1790</v>
      </c>
      <c r="F270" s="63" t="s">
        <v>6</v>
      </c>
      <c r="G270" s="56" t="s">
        <v>2818</v>
      </c>
      <c r="H270" s="56" t="s">
        <v>2819</v>
      </c>
    </row>
    <row r="271" spans="2:8" x14ac:dyDescent="0.3">
      <c r="B271" s="65">
        <v>45834</v>
      </c>
      <c r="C271" s="74">
        <v>45810</v>
      </c>
      <c r="D271" s="56" t="s">
        <v>2811</v>
      </c>
      <c r="E271" s="75" t="s">
        <v>1790</v>
      </c>
      <c r="F271" s="63" t="s">
        <v>6</v>
      </c>
      <c r="G271" s="56" t="s">
        <v>2814</v>
      </c>
      <c r="H271" s="56" t="s">
        <v>2815</v>
      </c>
    </row>
    <row r="272" spans="2:8" x14ac:dyDescent="0.3">
      <c r="B272" s="65">
        <v>45834</v>
      </c>
      <c r="C272" s="74">
        <v>45810</v>
      </c>
      <c r="D272" s="56" t="s">
        <v>2811</v>
      </c>
      <c r="E272" s="75" t="s">
        <v>1790</v>
      </c>
      <c r="F272" s="63" t="s">
        <v>6</v>
      </c>
      <c r="G272" s="56" t="s">
        <v>2816</v>
      </c>
      <c r="H272" s="56" t="s">
        <v>2817</v>
      </c>
    </row>
    <row r="273" spans="2:8" x14ac:dyDescent="0.3">
      <c r="B273" s="65">
        <v>45834</v>
      </c>
      <c r="C273" s="74">
        <v>45810</v>
      </c>
      <c r="D273" s="56" t="s">
        <v>2811</v>
      </c>
      <c r="E273" s="75" t="s">
        <v>1790</v>
      </c>
      <c r="F273" s="63" t="s">
        <v>6</v>
      </c>
      <c r="G273" s="56" t="s">
        <v>2818</v>
      </c>
      <c r="H273" s="56" t="s">
        <v>2819</v>
      </c>
    </row>
    <row r="274" spans="2:8" x14ac:dyDescent="0.3">
      <c r="B274" s="65">
        <v>45835</v>
      </c>
      <c r="C274" s="74">
        <v>45810</v>
      </c>
      <c r="D274" s="56" t="s">
        <v>2811</v>
      </c>
      <c r="E274" s="75" t="s">
        <v>1790</v>
      </c>
      <c r="F274" s="63" t="s">
        <v>6</v>
      </c>
      <c r="G274" s="56" t="s">
        <v>2814</v>
      </c>
      <c r="H274" s="56" t="s">
        <v>2815</v>
      </c>
    </row>
    <row r="275" spans="2:8" x14ac:dyDescent="0.3">
      <c r="B275" s="65">
        <v>45835</v>
      </c>
      <c r="C275" s="74">
        <v>45810</v>
      </c>
      <c r="D275" s="56" t="s">
        <v>2811</v>
      </c>
      <c r="E275" s="75" t="s">
        <v>1790</v>
      </c>
      <c r="F275" s="63" t="s">
        <v>6</v>
      </c>
      <c r="G275" s="56" t="s">
        <v>2816</v>
      </c>
      <c r="H275" s="56" t="s">
        <v>2817</v>
      </c>
    </row>
    <row r="276" spans="2:8" x14ac:dyDescent="0.3">
      <c r="B276" s="65">
        <v>45835</v>
      </c>
      <c r="C276" s="74">
        <v>45810</v>
      </c>
      <c r="D276" s="56" t="s">
        <v>2811</v>
      </c>
      <c r="E276" s="75" t="s">
        <v>1790</v>
      </c>
      <c r="F276" s="63" t="s">
        <v>6</v>
      </c>
      <c r="G276" s="56" t="s">
        <v>2818</v>
      </c>
      <c r="H276" s="56" t="s">
        <v>2819</v>
      </c>
    </row>
    <row r="277" spans="2:8" x14ac:dyDescent="0.3">
      <c r="B277" s="65">
        <v>45838</v>
      </c>
      <c r="C277" s="74">
        <v>45810</v>
      </c>
      <c r="D277" s="56" t="s">
        <v>2811</v>
      </c>
      <c r="E277" s="75" t="s">
        <v>1790</v>
      </c>
      <c r="F277" s="63" t="s">
        <v>6</v>
      </c>
      <c r="G277" s="56" t="s">
        <v>2814</v>
      </c>
      <c r="H277" s="56" t="s">
        <v>2815</v>
      </c>
    </row>
    <row r="278" spans="2:8" x14ac:dyDescent="0.3">
      <c r="B278" s="65">
        <v>45838</v>
      </c>
      <c r="C278" s="74">
        <v>45810</v>
      </c>
      <c r="D278" s="56" t="s">
        <v>2811</v>
      </c>
      <c r="E278" s="75" t="s">
        <v>1790</v>
      </c>
      <c r="F278" s="63" t="s">
        <v>6</v>
      </c>
      <c r="G278" s="56" t="s">
        <v>2816</v>
      </c>
      <c r="H278" s="56" t="s">
        <v>2817</v>
      </c>
    </row>
    <row r="279" spans="2:8" x14ac:dyDescent="0.3">
      <c r="B279" s="65">
        <v>45838</v>
      </c>
      <c r="C279" s="74">
        <v>45810</v>
      </c>
      <c r="D279" s="56" t="s">
        <v>2811</v>
      </c>
      <c r="E279" s="75" t="s">
        <v>1790</v>
      </c>
      <c r="F279" s="63" t="s">
        <v>6</v>
      </c>
      <c r="G279" s="56" t="s">
        <v>2818</v>
      </c>
      <c r="H279" s="56" t="s">
        <v>2819</v>
      </c>
    </row>
    <row r="280" spans="2:8" x14ac:dyDescent="0.3">
      <c r="B280" s="65">
        <v>45839</v>
      </c>
      <c r="C280" s="74">
        <v>45839</v>
      </c>
      <c r="D280" s="56" t="s">
        <v>2811</v>
      </c>
      <c r="E280" s="75" t="s">
        <v>1790</v>
      </c>
      <c r="F280" s="63" t="s">
        <v>6</v>
      </c>
      <c r="G280" s="56" t="s">
        <v>2814</v>
      </c>
      <c r="H280" s="56" t="s">
        <v>2815</v>
      </c>
    </row>
    <row r="281" spans="2:8" x14ac:dyDescent="0.3">
      <c r="B281" s="65">
        <v>45839</v>
      </c>
      <c r="C281" s="74">
        <v>45839</v>
      </c>
      <c r="D281" s="56" t="s">
        <v>2811</v>
      </c>
      <c r="E281" s="75" t="s">
        <v>1790</v>
      </c>
      <c r="F281" s="63" t="s">
        <v>6</v>
      </c>
      <c r="G281" s="56" t="s">
        <v>2816</v>
      </c>
      <c r="H281" s="56" t="s">
        <v>2817</v>
      </c>
    </row>
    <row r="282" spans="2:8" x14ac:dyDescent="0.3">
      <c r="B282" s="65">
        <v>45839</v>
      </c>
      <c r="C282" s="74">
        <v>45839</v>
      </c>
      <c r="D282" s="56" t="s">
        <v>2811</v>
      </c>
      <c r="E282" s="75" t="s">
        <v>1790</v>
      </c>
      <c r="F282" s="63" t="s">
        <v>6</v>
      </c>
      <c r="G282" s="56" t="s">
        <v>2818</v>
      </c>
      <c r="H282" s="56" t="s">
        <v>2819</v>
      </c>
    </row>
    <row r="283" spans="2:8" x14ac:dyDescent="0.3">
      <c r="B283" s="65">
        <v>45840</v>
      </c>
      <c r="C283" s="74">
        <v>45839</v>
      </c>
      <c r="D283" s="56" t="s">
        <v>2811</v>
      </c>
      <c r="E283" s="75" t="s">
        <v>1790</v>
      </c>
      <c r="F283" s="63" t="s">
        <v>6</v>
      </c>
      <c r="G283" s="56" t="s">
        <v>2814</v>
      </c>
      <c r="H283" s="56" t="s">
        <v>2815</v>
      </c>
    </row>
    <row r="284" spans="2:8" x14ac:dyDescent="0.3">
      <c r="B284" s="65">
        <v>45840</v>
      </c>
      <c r="C284" s="74">
        <v>45839</v>
      </c>
      <c r="D284" s="56" t="s">
        <v>2811</v>
      </c>
      <c r="E284" s="75" t="s">
        <v>1790</v>
      </c>
      <c r="F284" s="63" t="s">
        <v>6</v>
      </c>
      <c r="G284" s="56" t="s">
        <v>2816</v>
      </c>
      <c r="H284" s="56" t="s">
        <v>2817</v>
      </c>
    </row>
    <row r="285" spans="2:8" x14ac:dyDescent="0.3">
      <c r="B285" s="65">
        <v>45840</v>
      </c>
      <c r="C285" s="74">
        <v>45839</v>
      </c>
      <c r="D285" s="56" t="s">
        <v>2811</v>
      </c>
      <c r="E285" s="75" t="s">
        <v>1790</v>
      </c>
      <c r="F285" s="63" t="s">
        <v>6</v>
      </c>
      <c r="G285" s="56" t="s">
        <v>2818</v>
      </c>
      <c r="H285" s="56" t="s">
        <v>2819</v>
      </c>
    </row>
    <row r="286" spans="2:8" x14ac:dyDescent="0.3">
      <c r="B286" s="65">
        <v>45841</v>
      </c>
      <c r="C286" s="74">
        <v>45839</v>
      </c>
      <c r="D286" s="56" t="s">
        <v>2811</v>
      </c>
      <c r="E286" s="75" t="s">
        <v>1790</v>
      </c>
      <c r="F286" s="63" t="s">
        <v>6</v>
      </c>
      <c r="G286" s="56" t="s">
        <v>2814</v>
      </c>
      <c r="H286" s="56" t="s">
        <v>2815</v>
      </c>
    </row>
    <row r="287" spans="2:8" x14ac:dyDescent="0.3">
      <c r="B287" s="65">
        <v>45841</v>
      </c>
      <c r="C287" s="74">
        <v>45839</v>
      </c>
      <c r="D287" s="56" t="s">
        <v>2811</v>
      </c>
      <c r="E287" s="75" t="s">
        <v>1790</v>
      </c>
      <c r="F287" s="63" t="s">
        <v>6</v>
      </c>
      <c r="G287" s="56" t="s">
        <v>2816</v>
      </c>
      <c r="H287" s="56" t="s">
        <v>2817</v>
      </c>
    </row>
    <row r="288" spans="2:8" x14ac:dyDescent="0.3">
      <c r="B288" s="65">
        <v>45841</v>
      </c>
      <c r="C288" s="74">
        <v>45839</v>
      </c>
      <c r="D288" s="56" t="s">
        <v>2811</v>
      </c>
      <c r="E288" s="75" t="s">
        <v>1790</v>
      </c>
      <c r="F288" s="63" t="s">
        <v>6</v>
      </c>
      <c r="G288" s="56" t="s">
        <v>2818</v>
      </c>
      <c r="H288" s="56" t="s">
        <v>2819</v>
      </c>
    </row>
    <row r="289" spans="2:8" x14ac:dyDescent="0.3">
      <c r="B289" s="65">
        <v>45842</v>
      </c>
      <c r="C289" s="74">
        <v>45839</v>
      </c>
      <c r="D289" s="56" t="s">
        <v>2811</v>
      </c>
      <c r="E289" s="75" t="s">
        <v>1790</v>
      </c>
      <c r="F289" s="63" t="s">
        <v>6</v>
      </c>
      <c r="G289" s="56" t="s">
        <v>2814</v>
      </c>
      <c r="H289" s="56" t="s">
        <v>2815</v>
      </c>
    </row>
    <row r="290" spans="2:8" x14ac:dyDescent="0.3">
      <c r="B290" s="65">
        <v>45842</v>
      </c>
      <c r="C290" s="74">
        <v>45839</v>
      </c>
      <c r="D290" s="56" t="s">
        <v>2811</v>
      </c>
      <c r="E290" s="75" t="s">
        <v>1790</v>
      </c>
      <c r="F290" s="63" t="s">
        <v>6</v>
      </c>
      <c r="G290" s="56" t="s">
        <v>2816</v>
      </c>
      <c r="H290" s="56" t="s">
        <v>2817</v>
      </c>
    </row>
    <row r="291" spans="2:8" x14ac:dyDescent="0.3">
      <c r="B291" s="65">
        <v>45842</v>
      </c>
      <c r="C291" s="74">
        <v>45839</v>
      </c>
      <c r="D291" s="56" t="s">
        <v>2811</v>
      </c>
      <c r="E291" s="75" t="s">
        <v>1790</v>
      </c>
      <c r="F291" s="63" t="s">
        <v>6</v>
      </c>
      <c r="G291" s="56" t="s">
        <v>2818</v>
      </c>
      <c r="H291" s="56" t="s">
        <v>2819</v>
      </c>
    </row>
    <row r="292" spans="2:8" x14ac:dyDescent="0.3">
      <c r="B292" s="65">
        <v>45844</v>
      </c>
      <c r="C292" s="74">
        <v>45839</v>
      </c>
      <c r="D292" s="56" t="s">
        <v>2811</v>
      </c>
      <c r="E292" s="75" t="s">
        <v>1790</v>
      </c>
      <c r="F292" s="64" t="s">
        <v>4</v>
      </c>
      <c r="G292" s="56" t="s">
        <v>2992</v>
      </c>
      <c r="H292" s="56" t="s">
        <v>2992</v>
      </c>
    </row>
    <row r="293" spans="2:8" x14ac:dyDescent="0.3">
      <c r="B293" s="65">
        <v>45845</v>
      </c>
      <c r="C293" s="74">
        <v>45839</v>
      </c>
      <c r="D293" s="56" t="s">
        <v>2811</v>
      </c>
      <c r="E293" s="75" t="s">
        <v>1790</v>
      </c>
      <c r="F293" s="63" t="s">
        <v>6</v>
      </c>
      <c r="G293" s="56" t="s">
        <v>2814</v>
      </c>
      <c r="H293" s="56" t="s">
        <v>2815</v>
      </c>
    </row>
    <row r="294" spans="2:8" x14ac:dyDescent="0.3">
      <c r="B294" s="65">
        <v>45845</v>
      </c>
      <c r="C294" s="74">
        <v>45839</v>
      </c>
      <c r="D294" s="56" t="s">
        <v>2811</v>
      </c>
      <c r="E294" s="75" t="s">
        <v>1790</v>
      </c>
      <c r="F294" s="63" t="s">
        <v>6</v>
      </c>
      <c r="G294" s="56" t="s">
        <v>2816</v>
      </c>
      <c r="H294" s="56" t="s">
        <v>2817</v>
      </c>
    </row>
    <row r="295" spans="2:8" x14ac:dyDescent="0.3">
      <c r="B295" s="65">
        <v>45845</v>
      </c>
      <c r="C295" s="74">
        <v>45839</v>
      </c>
      <c r="D295" s="56" t="s">
        <v>2811</v>
      </c>
      <c r="E295" s="75" t="s">
        <v>1790</v>
      </c>
      <c r="F295" s="63" t="s">
        <v>6</v>
      </c>
      <c r="G295" s="56" t="s">
        <v>2818</v>
      </c>
      <c r="H295" s="56" t="s">
        <v>2819</v>
      </c>
    </row>
    <row r="296" spans="2:8" x14ac:dyDescent="0.3">
      <c r="B296" s="65">
        <v>45846</v>
      </c>
      <c r="C296" s="74">
        <v>45839</v>
      </c>
      <c r="D296" s="56" t="s">
        <v>2811</v>
      </c>
      <c r="E296" s="75" t="s">
        <v>1790</v>
      </c>
      <c r="F296" s="63" t="s">
        <v>6</v>
      </c>
      <c r="G296" s="56" t="s">
        <v>2814</v>
      </c>
      <c r="H296" s="56" t="s">
        <v>2815</v>
      </c>
    </row>
    <row r="297" spans="2:8" x14ac:dyDescent="0.3">
      <c r="B297" s="65">
        <v>45846</v>
      </c>
      <c r="C297" s="74">
        <v>45839</v>
      </c>
      <c r="D297" s="56" t="s">
        <v>2811</v>
      </c>
      <c r="E297" s="75" t="s">
        <v>1790</v>
      </c>
      <c r="F297" s="63" t="s">
        <v>6</v>
      </c>
      <c r="G297" s="56" t="s">
        <v>2816</v>
      </c>
      <c r="H297" s="56" t="s">
        <v>2817</v>
      </c>
    </row>
    <row r="298" spans="2:8" x14ac:dyDescent="0.3">
      <c r="B298" s="65">
        <v>45846</v>
      </c>
      <c r="C298" s="74">
        <v>45839</v>
      </c>
      <c r="D298" s="56" t="s">
        <v>2811</v>
      </c>
      <c r="E298" s="75" t="s">
        <v>1790</v>
      </c>
      <c r="F298" s="63" t="s">
        <v>6</v>
      </c>
      <c r="G298" s="56" t="s">
        <v>2818</v>
      </c>
      <c r="H298" s="56" t="s">
        <v>2819</v>
      </c>
    </row>
    <row r="299" spans="2:8" x14ac:dyDescent="0.3">
      <c r="B299" s="65">
        <v>45847</v>
      </c>
      <c r="C299" s="74">
        <v>45839</v>
      </c>
      <c r="D299" s="56" t="s">
        <v>2811</v>
      </c>
      <c r="E299" s="75" t="s">
        <v>1790</v>
      </c>
      <c r="F299" s="64" t="s">
        <v>4</v>
      </c>
      <c r="G299" s="56" t="s">
        <v>2993</v>
      </c>
      <c r="H299" s="56" t="s">
        <v>2993</v>
      </c>
    </row>
    <row r="300" spans="2:8" x14ac:dyDescent="0.3">
      <c r="B300" s="65">
        <v>45847</v>
      </c>
      <c r="C300" s="74">
        <v>45839</v>
      </c>
      <c r="D300" s="56" t="s">
        <v>2811</v>
      </c>
      <c r="E300" s="75" t="s">
        <v>1790</v>
      </c>
      <c r="F300" s="63" t="s">
        <v>6</v>
      </c>
      <c r="G300" s="56" t="s">
        <v>2814</v>
      </c>
      <c r="H300" s="56" t="s">
        <v>2815</v>
      </c>
    </row>
    <row r="301" spans="2:8" x14ac:dyDescent="0.3">
      <c r="B301" s="65">
        <v>45847</v>
      </c>
      <c r="C301" s="74">
        <v>45839</v>
      </c>
      <c r="D301" s="56" t="s">
        <v>2811</v>
      </c>
      <c r="E301" s="75" t="s">
        <v>1790</v>
      </c>
      <c r="F301" s="63" t="s">
        <v>6</v>
      </c>
      <c r="G301" s="56" t="s">
        <v>2816</v>
      </c>
      <c r="H301" s="56" t="s">
        <v>2817</v>
      </c>
    </row>
    <row r="302" spans="2:8" x14ac:dyDescent="0.3">
      <c r="B302" s="65">
        <v>45847</v>
      </c>
      <c r="C302" s="74">
        <v>45839</v>
      </c>
      <c r="D302" s="56" t="s">
        <v>2811</v>
      </c>
      <c r="E302" s="75" t="s">
        <v>1790</v>
      </c>
      <c r="F302" s="63" t="s">
        <v>6</v>
      </c>
      <c r="G302" s="56" t="s">
        <v>2818</v>
      </c>
      <c r="H302" s="56" t="s">
        <v>2819</v>
      </c>
    </row>
    <row r="303" spans="2:8" x14ac:dyDescent="0.3">
      <c r="B303" s="65">
        <v>45848</v>
      </c>
      <c r="C303" s="74">
        <v>45839</v>
      </c>
      <c r="D303" s="56" t="s">
        <v>2811</v>
      </c>
      <c r="E303" s="75" t="s">
        <v>1790</v>
      </c>
      <c r="F303" s="63" t="s">
        <v>6</v>
      </c>
      <c r="G303" s="56" t="s">
        <v>2814</v>
      </c>
      <c r="H303" s="56" t="s">
        <v>2815</v>
      </c>
    </row>
    <row r="304" spans="2:8" x14ac:dyDescent="0.3">
      <c r="B304" s="65">
        <v>45848</v>
      </c>
      <c r="C304" s="74">
        <v>45839</v>
      </c>
      <c r="D304" s="56" t="s">
        <v>2811</v>
      </c>
      <c r="E304" s="75" t="s">
        <v>1790</v>
      </c>
      <c r="F304" s="63" t="s">
        <v>6</v>
      </c>
      <c r="G304" s="56" t="s">
        <v>2816</v>
      </c>
      <c r="H304" s="56" t="s">
        <v>2817</v>
      </c>
    </row>
    <row r="305" spans="2:8" x14ac:dyDescent="0.3">
      <c r="B305" s="65">
        <v>45848</v>
      </c>
      <c r="C305" s="74">
        <v>45839</v>
      </c>
      <c r="D305" s="56" t="s">
        <v>2811</v>
      </c>
      <c r="E305" s="75" t="s">
        <v>1790</v>
      </c>
      <c r="F305" s="63" t="s">
        <v>6</v>
      </c>
      <c r="G305" s="56" t="s">
        <v>2818</v>
      </c>
      <c r="H305" s="56" t="s">
        <v>2819</v>
      </c>
    </row>
    <row r="306" spans="2:8" x14ac:dyDescent="0.3">
      <c r="B306" s="65">
        <v>45849</v>
      </c>
      <c r="C306" s="74">
        <v>45839</v>
      </c>
      <c r="D306" s="56" t="s">
        <v>2811</v>
      </c>
      <c r="E306" s="75" t="s">
        <v>1790</v>
      </c>
      <c r="F306" s="63" t="s">
        <v>6</v>
      </c>
      <c r="G306" s="56" t="s">
        <v>2814</v>
      </c>
      <c r="H306" s="56" t="s">
        <v>2815</v>
      </c>
    </row>
    <row r="307" spans="2:8" x14ac:dyDescent="0.3">
      <c r="B307" s="65">
        <v>45849</v>
      </c>
      <c r="C307" s="74">
        <v>45839</v>
      </c>
      <c r="D307" s="56" t="s">
        <v>2811</v>
      </c>
      <c r="E307" s="75" t="s">
        <v>1790</v>
      </c>
      <c r="F307" s="63" t="s">
        <v>6</v>
      </c>
      <c r="G307" s="56" t="s">
        <v>2816</v>
      </c>
      <c r="H307" s="56" t="s">
        <v>2817</v>
      </c>
    </row>
    <row r="308" spans="2:8" x14ac:dyDescent="0.3">
      <c r="B308" s="65">
        <v>45849</v>
      </c>
      <c r="C308" s="74">
        <v>45839</v>
      </c>
      <c r="D308" s="56" t="s">
        <v>2811</v>
      </c>
      <c r="E308" s="75" t="s">
        <v>1790</v>
      </c>
      <c r="F308" s="63" t="s">
        <v>6</v>
      </c>
      <c r="G308" s="56" t="s">
        <v>2818</v>
      </c>
      <c r="H308" s="56" t="s">
        <v>2819</v>
      </c>
    </row>
    <row r="309" spans="2:8" x14ac:dyDescent="0.3">
      <c r="B309" s="65">
        <v>45852</v>
      </c>
      <c r="C309" s="74">
        <v>45839</v>
      </c>
      <c r="D309" s="56" t="s">
        <v>2811</v>
      </c>
      <c r="E309" s="75" t="s">
        <v>1790</v>
      </c>
      <c r="F309" s="63" t="s">
        <v>6</v>
      </c>
      <c r="G309" s="56" t="s">
        <v>2814</v>
      </c>
      <c r="H309" s="56" t="s">
        <v>2815</v>
      </c>
    </row>
    <row r="310" spans="2:8" x14ac:dyDescent="0.3">
      <c r="B310" s="65">
        <v>45852</v>
      </c>
      <c r="C310" s="74">
        <v>45839</v>
      </c>
      <c r="D310" s="56" t="s">
        <v>2811</v>
      </c>
      <c r="E310" s="75" t="s">
        <v>1790</v>
      </c>
      <c r="F310" s="63" t="s">
        <v>6</v>
      </c>
      <c r="G310" s="56" t="s">
        <v>2816</v>
      </c>
      <c r="H310" s="56" t="s">
        <v>2817</v>
      </c>
    </row>
    <row r="311" spans="2:8" x14ac:dyDescent="0.3">
      <c r="B311" s="65">
        <v>45852</v>
      </c>
      <c r="C311" s="74">
        <v>45839</v>
      </c>
      <c r="D311" s="56" t="s">
        <v>2811</v>
      </c>
      <c r="E311" s="75" t="s">
        <v>1790</v>
      </c>
      <c r="F311" s="63" t="s">
        <v>6</v>
      </c>
      <c r="G311" s="56" t="s">
        <v>2818</v>
      </c>
      <c r="H311" s="56" t="s">
        <v>2819</v>
      </c>
    </row>
    <row r="312" spans="2:8" x14ac:dyDescent="0.3">
      <c r="B312" s="65">
        <v>45853</v>
      </c>
      <c r="C312" s="74">
        <v>45839</v>
      </c>
      <c r="D312" s="56" t="s">
        <v>2811</v>
      </c>
      <c r="E312" s="75" t="s">
        <v>1790</v>
      </c>
      <c r="F312" s="64" t="s">
        <v>4</v>
      </c>
      <c r="G312" s="56" t="s">
        <v>2994</v>
      </c>
      <c r="H312" s="56" t="s">
        <v>2994</v>
      </c>
    </row>
    <row r="313" spans="2:8" x14ac:dyDescent="0.3">
      <c r="B313" s="65">
        <v>45853</v>
      </c>
      <c r="C313" s="74">
        <v>45839</v>
      </c>
      <c r="D313" s="56" t="s">
        <v>2811</v>
      </c>
      <c r="E313" s="75" t="s">
        <v>1790</v>
      </c>
      <c r="F313" s="63" t="s">
        <v>6</v>
      </c>
      <c r="G313" s="56" t="s">
        <v>2814</v>
      </c>
      <c r="H313" s="56" t="s">
        <v>2815</v>
      </c>
    </row>
    <row r="314" spans="2:8" x14ac:dyDescent="0.3">
      <c r="B314" s="65">
        <v>45853</v>
      </c>
      <c r="C314" s="74">
        <v>45839</v>
      </c>
      <c r="D314" s="56" t="s">
        <v>2811</v>
      </c>
      <c r="E314" s="75" t="s">
        <v>1790</v>
      </c>
      <c r="F314" s="63" t="s">
        <v>6</v>
      </c>
      <c r="G314" s="56" t="s">
        <v>2816</v>
      </c>
      <c r="H314" s="56" t="s">
        <v>2817</v>
      </c>
    </row>
    <row r="315" spans="2:8" x14ac:dyDescent="0.3">
      <c r="B315" s="65">
        <v>45853</v>
      </c>
      <c r="C315" s="74">
        <v>45839</v>
      </c>
      <c r="D315" s="56" t="s">
        <v>2811</v>
      </c>
      <c r="E315" s="75" t="s">
        <v>1790</v>
      </c>
      <c r="F315" s="63" t="s">
        <v>6</v>
      </c>
      <c r="G315" s="56" t="s">
        <v>2818</v>
      </c>
      <c r="H315" s="56" t="s">
        <v>2819</v>
      </c>
    </row>
    <row r="316" spans="2:8" x14ac:dyDescent="0.3">
      <c r="B316" s="65">
        <v>45854</v>
      </c>
      <c r="C316" s="74">
        <v>45839</v>
      </c>
      <c r="D316" s="56" t="s">
        <v>2811</v>
      </c>
      <c r="E316" s="75" t="s">
        <v>1790</v>
      </c>
      <c r="F316" s="63" t="s">
        <v>6</v>
      </c>
      <c r="G316" s="56" t="s">
        <v>2814</v>
      </c>
      <c r="H316" s="56" t="s">
        <v>2815</v>
      </c>
    </row>
    <row r="317" spans="2:8" x14ac:dyDescent="0.3">
      <c r="B317" s="65">
        <v>45854</v>
      </c>
      <c r="C317" s="74">
        <v>45839</v>
      </c>
      <c r="D317" s="56" t="s">
        <v>2811</v>
      </c>
      <c r="E317" s="75" t="s">
        <v>1790</v>
      </c>
      <c r="F317" s="63" t="s">
        <v>6</v>
      </c>
      <c r="G317" s="56" t="s">
        <v>2816</v>
      </c>
      <c r="H317" s="56" t="s">
        <v>2817</v>
      </c>
    </row>
    <row r="318" spans="2:8" x14ac:dyDescent="0.3">
      <c r="B318" s="65">
        <v>45854</v>
      </c>
      <c r="C318" s="74">
        <v>45839</v>
      </c>
      <c r="D318" s="56" t="s">
        <v>2811</v>
      </c>
      <c r="E318" s="75" t="s">
        <v>1790</v>
      </c>
      <c r="F318" s="63" t="s">
        <v>6</v>
      </c>
      <c r="G318" s="56" t="s">
        <v>2818</v>
      </c>
      <c r="H318" s="56" t="s">
        <v>2819</v>
      </c>
    </row>
    <row r="319" spans="2:8" x14ac:dyDescent="0.3">
      <c r="B319" s="65">
        <v>45855</v>
      </c>
      <c r="C319" s="74">
        <v>45839</v>
      </c>
      <c r="D319" s="56" t="s">
        <v>2811</v>
      </c>
      <c r="E319" s="75" t="s">
        <v>1790</v>
      </c>
      <c r="F319" s="63" t="s">
        <v>6</v>
      </c>
      <c r="G319" s="56" t="s">
        <v>2814</v>
      </c>
      <c r="H319" s="56" t="s">
        <v>2815</v>
      </c>
    </row>
    <row r="320" spans="2:8" x14ac:dyDescent="0.3">
      <c r="B320" s="65">
        <v>45855</v>
      </c>
      <c r="C320" s="74">
        <v>45839</v>
      </c>
      <c r="D320" s="56" t="s">
        <v>2811</v>
      </c>
      <c r="E320" s="75" t="s">
        <v>1790</v>
      </c>
      <c r="F320" s="63" t="s">
        <v>6</v>
      </c>
      <c r="G320" s="56" t="s">
        <v>2816</v>
      </c>
      <c r="H320" s="56" t="s">
        <v>2817</v>
      </c>
    </row>
    <row r="321" spans="2:8" x14ac:dyDescent="0.3">
      <c r="B321" s="65">
        <v>45855</v>
      </c>
      <c r="C321" s="74">
        <v>45839</v>
      </c>
      <c r="D321" s="56" t="s">
        <v>2811</v>
      </c>
      <c r="E321" s="75" t="s">
        <v>1790</v>
      </c>
      <c r="F321" s="63" t="s">
        <v>6</v>
      </c>
      <c r="G321" s="56" t="s">
        <v>2818</v>
      </c>
      <c r="H321" s="56" t="s">
        <v>2819</v>
      </c>
    </row>
    <row r="322" spans="2:8" x14ac:dyDescent="0.3">
      <c r="B322" s="65">
        <v>45856</v>
      </c>
      <c r="C322" s="74">
        <v>45839</v>
      </c>
      <c r="D322" s="56" t="s">
        <v>2811</v>
      </c>
      <c r="E322" s="75" t="s">
        <v>1790</v>
      </c>
      <c r="F322" s="63" t="s">
        <v>6</v>
      </c>
      <c r="G322" s="56" t="s">
        <v>2814</v>
      </c>
      <c r="H322" s="56" t="s">
        <v>2815</v>
      </c>
    </row>
    <row r="323" spans="2:8" x14ac:dyDescent="0.3">
      <c r="B323" s="65">
        <v>45856</v>
      </c>
      <c r="C323" s="74">
        <v>45839</v>
      </c>
      <c r="D323" s="56" t="s">
        <v>2811</v>
      </c>
      <c r="E323" s="75" t="s">
        <v>1790</v>
      </c>
      <c r="F323" s="63" t="s">
        <v>6</v>
      </c>
      <c r="G323" s="56" t="s">
        <v>2816</v>
      </c>
      <c r="H323" s="56" t="s">
        <v>2817</v>
      </c>
    </row>
    <row r="324" spans="2:8" x14ac:dyDescent="0.3">
      <c r="B324" s="65">
        <v>45856</v>
      </c>
      <c r="C324" s="74">
        <v>45839</v>
      </c>
      <c r="D324" s="56" t="s">
        <v>2811</v>
      </c>
      <c r="E324" s="75" t="s">
        <v>1790</v>
      </c>
      <c r="F324" s="63" t="s">
        <v>6</v>
      </c>
      <c r="G324" s="56" t="s">
        <v>2818</v>
      </c>
      <c r="H324" s="56" t="s">
        <v>2819</v>
      </c>
    </row>
    <row r="325" spans="2:8" x14ac:dyDescent="0.3">
      <c r="B325" s="65">
        <v>45859</v>
      </c>
      <c r="C325" s="74">
        <v>45839</v>
      </c>
      <c r="D325" s="56" t="s">
        <v>2811</v>
      </c>
      <c r="E325" s="75" t="s">
        <v>1790</v>
      </c>
      <c r="F325" s="64" t="s">
        <v>4</v>
      </c>
      <c r="G325" s="56" t="s">
        <v>2995</v>
      </c>
      <c r="H325" s="56" t="s">
        <v>2995</v>
      </c>
    </row>
    <row r="326" spans="2:8" x14ac:dyDescent="0.3">
      <c r="B326" s="65">
        <v>45859</v>
      </c>
      <c r="C326" s="74">
        <v>45839</v>
      </c>
      <c r="D326" s="56" t="s">
        <v>2811</v>
      </c>
      <c r="E326" s="75" t="s">
        <v>1790</v>
      </c>
      <c r="F326" s="63" t="s">
        <v>6</v>
      </c>
      <c r="G326" s="56" t="s">
        <v>2814</v>
      </c>
      <c r="H326" s="56" t="s">
        <v>2815</v>
      </c>
    </row>
    <row r="327" spans="2:8" x14ac:dyDescent="0.3">
      <c r="B327" s="65">
        <v>45859</v>
      </c>
      <c r="C327" s="74">
        <v>45839</v>
      </c>
      <c r="D327" s="56" t="s">
        <v>2811</v>
      </c>
      <c r="E327" s="75" t="s">
        <v>1790</v>
      </c>
      <c r="F327" s="63" t="s">
        <v>6</v>
      </c>
      <c r="G327" s="56" t="s">
        <v>2816</v>
      </c>
      <c r="H327" s="56" t="s">
        <v>2817</v>
      </c>
    </row>
    <row r="328" spans="2:8" x14ac:dyDescent="0.3">
      <c r="B328" s="65">
        <v>45859</v>
      </c>
      <c r="C328" s="74">
        <v>45839</v>
      </c>
      <c r="D328" s="56" t="s">
        <v>2811</v>
      </c>
      <c r="E328" s="75" t="s">
        <v>1790</v>
      </c>
      <c r="F328" s="63" t="s">
        <v>6</v>
      </c>
      <c r="G328" s="56" t="s">
        <v>2818</v>
      </c>
      <c r="H328" s="56" t="s">
        <v>2819</v>
      </c>
    </row>
    <row r="329" spans="2:8" x14ac:dyDescent="0.3">
      <c r="B329" s="65">
        <v>45860</v>
      </c>
      <c r="C329" s="74">
        <v>45839</v>
      </c>
      <c r="D329" s="56" t="s">
        <v>2811</v>
      </c>
      <c r="E329" s="75" t="s">
        <v>1790</v>
      </c>
      <c r="F329" s="63" t="s">
        <v>6</v>
      </c>
      <c r="G329" s="56" t="s">
        <v>2899</v>
      </c>
      <c r="H329" s="56" t="s">
        <v>2900</v>
      </c>
    </row>
    <row r="330" spans="2:8" x14ac:dyDescent="0.3">
      <c r="B330" s="65">
        <v>45860</v>
      </c>
      <c r="C330" s="74">
        <v>45839</v>
      </c>
      <c r="D330" s="56" t="s">
        <v>2811</v>
      </c>
      <c r="E330" s="75" t="s">
        <v>1790</v>
      </c>
      <c r="F330" s="63" t="s">
        <v>6</v>
      </c>
      <c r="G330" s="56" t="s">
        <v>2814</v>
      </c>
      <c r="H330" s="56" t="s">
        <v>2815</v>
      </c>
    </row>
    <row r="331" spans="2:8" x14ac:dyDescent="0.3">
      <c r="B331" s="65">
        <v>45860</v>
      </c>
      <c r="C331" s="74">
        <v>45839</v>
      </c>
      <c r="D331" s="56" t="s">
        <v>2811</v>
      </c>
      <c r="E331" s="75" t="s">
        <v>1790</v>
      </c>
      <c r="F331" s="63" t="s">
        <v>6</v>
      </c>
      <c r="G331" s="56" t="s">
        <v>2816</v>
      </c>
      <c r="H331" s="56" t="s">
        <v>2817</v>
      </c>
    </row>
    <row r="332" spans="2:8" x14ac:dyDescent="0.3">
      <c r="B332" s="65">
        <v>45860</v>
      </c>
      <c r="C332" s="74">
        <v>45839</v>
      </c>
      <c r="D332" s="56" t="s">
        <v>2811</v>
      </c>
      <c r="E332" s="75" t="s">
        <v>1790</v>
      </c>
      <c r="F332" s="63" t="s">
        <v>6</v>
      </c>
      <c r="G332" s="56" t="s">
        <v>2818</v>
      </c>
      <c r="H332" s="56" t="s">
        <v>2819</v>
      </c>
    </row>
    <row r="333" spans="2:8" x14ac:dyDescent="0.3">
      <c r="B333" s="65">
        <v>45861</v>
      </c>
      <c r="C333" s="74">
        <v>45839</v>
      </c>
      <c r="D333" s="56" t="s">
        <v>2811</v>
      </c>
      <c r="E333" s="75" t="s">
        <v>1790</v>
      </c>
      <c r="F333" s="63" t="s">
        <v>6</v>
      </c>
      <c r="G333" s="56" t="s">
        <v>2899</v>
      </c>
      <c r="H333" s="56" t="s">
        <v>2900</v>
      </c>
    </row>
    <row r="334" spans="2:8" x14ac:dyDescent="0.3">
      <c r="B334" s="65">
        <v>45861</v>
      </c>
      <c r="C334" s="74">
        <v>45839</v>
      </c>
      <c r="D334" s="56" t="s">
        <v>2811</v>
      </c>
      <c r="E334" s="75" t="s">
        <v>1790</v>
      </c>
      <c r="F334" s="63" t="s">
        <v>6</v>
      </c>
      <c r="G334" s="56" t="s">
        <v>2814</v>
      </c>
      <c r="H334" s="56" t="s">
        <v>2815</v>
      </c>
    </row>
    <row r="335" spans="2:8" x14ac:dyDescent="0.3">
      <c r="B335" s="65">
        <v>45861</v>
      </c>
      <c r="C335" s="74">
        <v>45839</v>
      </c>
      <c r="D335" s="56" t="s">
        <v>2811</v>
      </c>
      <c r="E335" s="75" t="s">
        <v>1790</v>
      </c>
      <c r="F335" s="63" t="s">
        <v>6</v>
      </c>
      <c r="G335" s="56" t="s">
        <v>2816</v>
      </c>
      <c r="H335" s="56" t="s">
        <v>2817</v>
      </c>
    </row>
    <row r="336" spans="2:8" x14ac:dyDescent="0.3">
      <c r="B336" s="65">
        <v>45861</v>
      </c>
      <c r="C336" s="74">
        <v>45839</v>
      </c>
      <c r="D336" s="56" t="s">
        <v>2811</v>
      </c>
      <c r="E336" s="75" t="s">
        <v>1790</v>
      </c>
      <c r="F336" s="63" t="s">
        <v>6</v>
      </c>
      <c r="G336" s="56" t="s">
        <v>2818</v>
      </c>
      <c r="H336" s="56" t="s">
        <v>2819</v>
      </c>
    </row>
    <row r="337" spans="2:8" x14ac:dyDescent="0.3">
      <c r="B337" s="65">
        <v>45862</v>
      </c>
      <c r="C337" s="74">
        <v>45839</v>
      </c>
      <c r="D337" s="56" t="s">
        <v>2811</v>
      </c>
      <c r="E337" s="75" t="s">
        <v>1790</v>
      </c>
      <c r="F337" s="63" t="s">
        <v>6</v>
      </c>
      <c r="G337" s="56" t="s">
        <v>2899</v>
      </c>
      <c r="H337" s="56" t="s">
        <v>2900</v>
      </c>
    </row>
    <row r="338" spans="2:8" x14ac:dyDescent="0.3">
      <c r="B338" s="65">
        <v>45862</v>
      </c>
      <c r="C338" s="74">
        <v>45839</v>
      </c>
      <c r="D338" s="56" t="s">
        <v>2811</v>
      </c>
      <c r="E338" s="75" t="s">
        <v>1790</v>
      </c>
      <c r="F338" s="63" t="s">
        <v>6</v>
      </c>
      <c r="G338" s="56" t="s">
        <v>2814</v>
      </c>
      <c r="H338" s="56" t="s">
        <v>2815</v>
      </c>
    </row>
    <row r="339" spans="2:8" x14ac:dyDescent="0.3">
      <c r="B339" s="65">
        <v>45862</v>
      </c>
      <c r="C339" s="74">
        <v>45839</v>
      </c>
      <c r="D339" s="56" t="s">
        <v>2811</v>
      </c>
      <c r="E339" s="75" t="s">
        <v>1790</v>
      </c>
      <c r="F339" s="63" t="s">
        <v>6</v>
      </c>
      <c r="G339" s="56" t="s">
        <v>2816</v>
      </c>
      <c r="H339" s="56" t="s">
        <v>2817</v>
      </c>
    </row>
    <row r="340" spans="2:8" x14ac:dyDescent="0.3">
      <c r="B340" s="65">
        <v>45862</v>
      </c>
      <c r="C340" s="74">
        <v>45839</v>
      </c>
      <c r="D340" s="56" t="s">
        <v>2811</v>
      </c>
      <c r="E340" s="75" t="s">
        <v>1790</v>
      </c>
      <c r="F340" s="63" t="s">
        <v>6</v>
      </c>
      <c r="G340" s="56" t="s">
        <v>2818</v>
      </c>
      <c r="H340" s="56" t="s">
        <v>2819</v>
      </c>
    </row>
    <row r="341" spans="2:8" x14ac:dyDescent="0.3">
      <c r="B341" s="65">
        <v>45863</v>
      </c>
      <c r="C341" s="74">
        <v>45839</v>
      </c>
      <c r="D341" s="56" t="s">
        <v>2811</v>
      </c>
      <c r="E341" s="75" t="s">
        <v>1790</v>
      </c>
      <c r="F341" s="64" t="s">
        <v>4</v>
      </c>
      <c r="G341" s="56" t="s">
        <v>2996</v>
      </c>
      <c r="H341" s="56" t="s">
        <v>2996</v>
      </c>
    </row>
    <row r="342" spans="2:8" x14ac:dyDescent="0.3">
      <c r="B342" s="65">
        <v>45863</v>
      </c>
      <c r="C342" s="74">
        <v>45839</v>
      </c>
      <c r="D342" s="56" t="s">
        <v>2811</v>
      </c>
      <c r="E342" s="75" t="s">
        <v>1790</v>
      </c>
      <c r="F342" s="63" t="s">
        <v>6</v>
      </c>
      <c r="G342" s="56" t="s">
        <v>2899</v>
      </c>
      <c r="H342" s="56" t="s">
        <v>2900</v>
      </c>
    </row>
    <row r="343" spans="2:8" x14ac:dyDescent="0.3">
      <c r="B343" s="65">
        <v>45863</v>
      </c>
      <c r="C343" s="74">
        <v>45839</v>
      </c>
      <c r="D343" s="56" t="s">
        <v>2811</v>
      </c>
      <c r="E343" s="75" t="s">
        <v>1790</v>
      </c>
      <c r="F343" s="63" t="s">
        <v>6</v>
      </c>
      <c r="G343" s="56" t="s">
        <v>2814</v>
      </c>
      <c r="H343" s="56" t="s">
        <v>2815</v>
      </c>
    </row>
    <row r="344" spans="2:8" x14ac:dyDescent="0.3">
      <c r="B344" s="65">
        <v>45863</v>
      </c>
      <c r="C344" s="74">
        <v>45839</v>
      </c>
      <c r="D344" s="56" t="s">
        <v>2811</v>
      </c>
      <c r="E344" s="75" t="s">
        <v>1790</v>
      </c>
      <c r="F344" s="63" t="s">
        <v>6</v>
      </c>
      <c r="G344" s="56" t="s">
        <v>2816</v>
      </c>
      <c r="H344" s="56" t="s">
        <v>2817</v>
      </c>
    </row>
    <row r="345" spans="2:8" x14ac:dyDescent="0.3">
      <c r="B345" s="65">
        <v>45863</v>
      </c>
      <c r="C345" s="74">
        <v>45839</v>
      </c>
      <c r="D345" s="56" t="s">
        <v>2811</v>
      </c>
      <c r="E345" s="75" t="s">
        <v>1790</v>
      </c>
      <c r="F345" s="63" t="s">
        <v>6</v>
      </c>
      <c r="G345" s="56" t="s">
        <v>2818</v>
      </c>
      <c r="H345" s="56" t="s">
        <v>2819</v>
      </c>
    </row>
    <row r="346" spans="2:8" x14ac:dyDescent="0.3">
      <c r="B346" s="65">
        <v>45866</v>
      </c>
      <c r="C346" s="74">
        <v>45839</v>
      </c>
      <c r="D346" s="56" t="s">
        <v>2811</v>
      </c>
      <c r="E346" s="75" t="s">
        <v>1790</v>
      </c>
      <c r="F346" s="63" t="s">
        <v>6</v>
      </c>
      <c r="G346" s="56" t="s">
        <v>2899</v>
      </c>
      <c r="H346" s="56" t="s">
        <v>2900</v>
      </c>
    </row>
    <row r="347" spans="2:8" x14ac:dyDescent="0.3">
      <c r="B347" s="65">
        <v>45866</v>
      </c>
      <c r="C347" s="74">
        <v>45839</v>
      </c>
      <c r="D347" s="56" t="s">
        <v>2811</v>
      </c>
      <c r="E347" s="75" t="s">
        <v>1790</v>
      </c>
      <c r="F347" s="63" t="s">
        <v>6</v>
      </c>
      <c r="G347" s="56" t="s">
        <v>2814</v>
      </c>
      <c r="H347" s="56" t="s">
        <v>2815</v>
      </c>
    </row>
    <row r="348" spans="2:8" x14ac:dyDescent="0.3">
      <c r="B348" s="65">
        <v>45866</v>
      </c>
      <c r="C348" s="74">
        <v>45839</v>
      </c>
      <c r="D348" s="56" t="s">
        <v>2811</v>
      </c>
      <c r="E348" s="75" t="s">
        <v>1790</v>
      </c>
      <c r="F348" s="63" t="s">
        <v>6</v>
      </c>
      <c r="G348" s="56" t="s">
        <v>2816</v>
      </c>
      <c r="H348" s="56" t="s">
        <v>2817</v>
      </c>
    </row>
    <row r="349" spans="2:8" x14ac:dyDescent="0.3">
      <c r="B349" s="65">
        <v>45866</v>
      </c>
      <c r="C349" s="74">
        <v>45839</v>
      </c>
      <c r="D349" s="56" t="s">
        <v>2811</v>
      </c>
      <c r="E349" s="75" t="s">
        <v>1790</v>
      </c>
      <c r="F349" s="63" t="s">
        <v>6</v>
      </c>
      <c r="G349" s="56" t="s">
        <v>2818</v>
      </c>
      <c r="H349" s="56" t="s">
        <v>2819</v>
      </c>
    </row>
    <row r="350" spans="2:8" x14ac:dyDescent="0.3">
      <c r="B350" s="65">
        <v>45867</v>
      </c>
      <c r="C350" s="74">
        <v>45839</v>
      </c>
      <c r="D350" s="56" t="s">
        <v>2811</v>
      </c>
      <c r="E350" s="75" t="s">
        <v>1790</v>
      </c>
      <c r="F350" s="64" t="s">
        <v>4</v>
      </c>
      <c r="G350" s="56" t="s">
        <v>2997</v>
      </c>
      <c r="H350" s="56" t="s">
        <v>2997</v>
      </c>
    </row>
    <row r="351" spans="2:8" x14ac:dyDescent="0.3">
      <c r="B351" s="65">
        <v>45867</v>
      </c>
      <c r="C351" s="74">
        <v>45839</v>
      </c>
      <c r="D351" s="56" t="s">
        <v>2811</v>
      </c>
      <c r="E351" s="75" t="s">
        <v>1790</v>
      </c>
      <c r="F351" s="63" t="s">
        <v>6</v>
      </c>
      <c r="G351" s="56" t="s">
        <v>2899</v>
      </c>
      <c r="H351" s="56" t="s">
        <v>2900</v>
      </c>
    </row>
    <row r="352" spans="2:8" x14ac:dyDescent="0.3">
      <c r="B352" s="65">
        <v>45867</v>
      </c>
      <c r="C352" s="74">
        <v>45839</v>
      </c>
      <c r="D352" s="56" t="s">
        <v>2811</v>
      </c>
      <c r="E352" s="75" t="s">
        <v>1790</v>
      </c>
      <c r="F352" s="63" t="s">
        <v>6</v>
      </c>
      <c r="G352" s="56" t="s">
        <v>2814</v>
      </c>
      <c r="H352" s="56" t="s">
        <v>2815</v>
      </c>
    </row>
    <row r="353" spans="2:8" x14ac:dyDescent="0.3">
      <c r="B353" s="65">
        <v>45867</v>
      </c>
      <c r="C353" s="74">
        <v>45839</v>
      </c>
      <c r="D353" s="56" t="s">
        <v>2811</v>
      </c>
      <c r="E353" s="75" t="s">
        <v>1790</v>
      </c>
      <c r="F353" s="63" t="s">
        <v>6</v>
      </c>
      <c r="G353" s="56" t="s">
        <v>2816</v>
      </c>
      <c r="H353" s="56" t="s">
        <v>2817</v>
      </c>
    </row>
    <row r="354" spans="2:8" x14ac:dyDescent="0.3">
      <c r="B354" s="65">
        <v>45867</v>
      </c>
      <c r="C354" s="74">
        <v>45839</v>
      </c>
      <c r="D354" s="56" t="s">
        <v>2811</v>
      </c>
      <c r="E354" s="75" t="s">
        <v>1790</v>
      </c>
      <c r="F354" s="63" t="s">
        <v>6</v>
      </c>
      <c r="G354" s="56" t="s">
        <v>2818</v>
      </c>
      <c r="H354" s="56" t="s">
        <v>2819</v>
      </c>
    </row>
    <row r="355" spans="2:8" x14ac:dyDescent="0.3">
      <c r="B355" s="65">
        <v>45868</v>
      </c>
      <c r="C355" s="74">
        <v>45839</v>
      </c>
      <c r="D355" s="56" t="s">
        <v>2811</v>
      </c>
      <c r="E355" s="75" t="s">
        <v>1790</v>
      </c>
      <c r="F355" s="63" t="s">
        <v>6</v>
      </c>
      <c r="G355" s="56" t="s">
        <v>2899</v>
      </c>
      <c r="H355" s="56" t="s">
        <v>2900</v>
      </c>
    </row>
    <row r="356" spans="2:8" x14ac:dyDescent="0.3">
      <c r="B356" s="65">
        <v>45868</v>
      </c>
      <c r="C356" s="74">
        <v>45839</v>
      </c>
      <c r="D356" s="56" t="s">
        <v>2811</v>
      </c>
      <c r="E356" s="75" t="s">
        <v>1790</v>
      </c>
      <c r="F356" s="63" t="s">
        <v>6</v>
      </c>
      <c r="G356" s="56" t="s">
        <v>2814</v>
      </c>
      <c r="H356" s="56" t="s">
        <v>2815</v>
      </c>
    </row>
    <row r="357" spans="2:8" x14ac:dyDescent="0.3">
      <c r="B357" s="65">
        <v>45868</v>
      </c>
      <c r="C357" s="74">
        <v>45839</v>
      </c>
      <c r="D357" s="56" t="s">
        <v>2811</v>
      </c>
      <c r="E357" s="75" t="s">
        <v>1790</v>
      </c>
      <c r="F357" s="63" t="s">
        <v>6</v>
      </c>
      <c r="G357" s="56" t="s">
        <v>2816</v>
      </c>
      <c r="H357" s="56" t="s">
        <v>2817</v>
      </c>
    </row>
    <row r="358" spans="2:8" x14ac:dyDescent="0.3">
      <c r="B358" s="65">
        <v>45868</v>
      </c>
      <c r="C358" s="74">
        <v>45839</v>
      </c>
      <c r="D358" s="56" t="s">
        <v>2811</v>
      </c>
      <c r="E358" s="75" t="s">
        <v>1790</v>
      </c>
      <c r="F358" s="63" t="s">
        <v>6</v>
      </c>
      <c r="G358" s="56" t="s">
        <v>2818</v>
      </c>
      <c r="H358" s="56" t="s">
        <v>2819</v>
      </c>
    </row>
    <row r="359" spans="2:8" x14ac:dyDescent="0.3">
      <c r="B359" s="65">
        <v>45869</v>
      </c>
      <c r="C359" s="74">
        <v>45839</v>
      </c>
      <c r="D359" s="56" t="s">
        <v>2811</v>
      </c>
      <c r="E359" s="75" t="s">
        <v>1790</v>
      </c>
      <c r="F359" s="63" t="s">
        <v>6</v>
      </c>
      <c r="G359" s="56" t="s">
        <v>2899</v>
      </c>
      <c r="H359" s="56" t="s">
        <v>2900</v>
      </c>
    </row>
    <row r="360" spans="2:8" x14ac:dyDescent="0.3">
      <c r="B360" s="65">
        <v>45869</v>
      </c>
      <c r="C360" s="74">
        <v>45839</v>
      </c>
      <c r="D360" s="56" t="s">
        <v>2811</v>
      </c>
      <c r="E360" s="75" t="s">
        <v>1790</v>
      </c>
      <c r="F360" s="63" t="s">
        <v>6</v>
      </c>
      <c r="G360" s="56" t="s">
        <v>2814</v>
      </c>
      <c r="H360" s="56" t="s">
        <v>2815</v>
      </c>
    </row>
    <row r="361" spans="2:8" x14ac:dyDescent="0.3">
      <c r="B361" s="65">
        <v>45869</v>
      </c>
      <c r="C361" s="74">
        <v>45839</v>
      </c>
      <c r="D361" s="56" t="s">
        <v>2811</v>
      </c>
      <c r="E361" s="75" t="s">
        <v>1790</v>
      </c>
      <c r="F361" s="63" t="s">
        <v>6</v>
      </c>
      <c r="G361" s="56" t="s">
        <v>2816</v>
      </c>
      <c r="H361" s="56" t="s">
        <v>2817</v>
      </c>
    </row>
    <row r="362" spans="2:8" x14ac:dyDescent="0.3">
      <c r="B362" s="65">
        <v>45869</v>
      </c>
      <c r="C362" s="74">
        <v>45839</v>
      </c>
      <c r="D362" s="56" t="s">
        <v>2811</v>
      </c>
      <c r="E362" s="75" t="s">
        <v>1790</v>
      </c>
      <c r="F362" s="63" t="s">
        <v>6</v>
      </c>
      <c r="G362" s="56" t="s">
        <v>2818</v>
      </c>
      <c r="H362" s="56" t="s">
        <v>2819</v>
      </c>
    </row>
    <row r="363" spans="2:8" x14ac:dyDescent="0.3">
      <c r="B363" s="65">
        <v>45870</v>
      </c>
      <c r="C363" s="74">
        <v>45870</v>
      </c>
      <c r="D363" s="56" t="s">
        <v>2811</v>
      </c>
      <c r="E363" s="75" t="s">
        <v>1790</v>
      </c>
      <c r="F363" s="63" t="s">
        <v>6</v>
      </c>
      <c r="G363" s="56" t="s">
        <v>2899</v>
      </c>
      <c r="H363" s="56" t="s">
        <v>2900</v>
      </c>
    </row>
    <row r="364" spans="2:8" x14ac:dyDescent="0.3">
      <c r="B364" s="65">
        <v>45870</v>
      </c>
      <c r="C364" s="74">
        <v>45870</v>
      </c>
      <c r="D364" s="56" t="s">
        <v>2811</v>
      </c>
      <c r="E364" s="75" t="s">
        <v>1790</v>
      </c>
      <c r="F364" s="63" t="s">
        <v>6</v>
      </c>
      <c r="G364" s="56" t="s">
        <v>2814</v>
      </c>
      <c r="H364" s="56" t="s">
        <v>2815</v>
      </c>
    </row>
    <row r="365" spans="2:8" x14ac:dyDescent="0.3">
      <c r="B365" s="65">
        <v>45870</v>
      </c>
      <c r="C365" s="74">
        <v>45870</v>
      </c>
      <c r="D365" s="56" t="s">
        <v>2811</v>
      </c>
      <c r="E365" s="75" t="s">
        <v>1790</v>
      </c>
      <c r="F365" s="63" t="s">
        <v>6</v>
      </c>
      <c r="G365" s="56" t="s">
        <v>2816</v>
      </c>
      <c r="H365" s="56" t="s">
        <v>2817</v>
      </c>
    </row>
    <row r="366" spans="2:8" x14ac:dyDescent="0.3">
      <c r="B366" s="65">
        <v>45870</v>
      </c>
      <c r="C366" s="74">
        <v>45870</v>
      </c>
      <c r="D366" s="56" t="s">
        <v>2811</v>
      </c>
      <c r="E366" s="75" t="s">
        <v>1790</v>
      </c>
      <c r="F366" s="63" t="s">
        <v>6</v>
      </c>
      <c r="G366" s="56" t="s">
        <v>2818</v>
      </c>
      <c r="H366" s="56" t="s">
        <v>2819</v>
      </c>
    </row>
    <row r="367" spans="2:8" x14ac:dyDescent="0.3">
      <c r="B367" s="65">
        <v>45873</v>
      </c>
      <c r="C367" s="74">
        <v>45870</v>
      </c>
      <c r="D367" s="56" t="s">
        <v>2811</v>
      </c>
      <c r="E367" s="75" t="s">
        <v>1790</v>
      </c>
      <c r="F367" s="63" t="s">
        <v>6</v>
      </c>
      <c r="G367" s="56" t="s">
        <v>2870</v>
      </c>
      <c r="H367" s="56" t="s">
        <v>2870</v>
      </c>
    </row>
    <row r="368" spans="2:8" x14ac:dyDescent="0.3">
      <c r="B368" s="65">
        <v>45873</v>
      </c>
      <c r="C368" s="74">
        <v>45870</v>
      </c>
      <c r="D368" s="56" t="s">
        <v>2811</v>
      </c>
      <c r="E368" s="75" t="s">
        <v>1790</v>
      </c>
      <c r="F368" s="64" t="s">
        <v>4</v>
      </c>
      <c r="G368" s="56" t="s">
        <v>2998</v>
      </c>
      <c r="H368" s="56" t="s">
        <v>2998</v>
      </c>
    </row>
    <row r="369" spans="2:8" x14ac:dyDescent="0.3">
      <c r="B369" s="65">
        <v>45873</v>
      </c>
      <c r="C369" s="74">
        <v>45870</v>
      </c>
      <c r="D369" s="56" t="s">
        <v>2811</v>
      </c>
      <c r="E369" s="75" t="s">
        <v>1790</v>
      </c>
      <c r="F369" s="64" t="s">
        <v>4</v>
      </c>
      <c r="G369" s="56" t="s">
        <v>2999</v>
      </c>
      <c r="H369" s="56" t="s">
        <v>2999</v>
      </c>
    </row>
    <row r="370" spans="2:8" x14ac:dyDescent="0.3">
      <c r="B370" s="65">
        <v>45873</v>
      </c>
      <c r="C370" s="74">
        <v>45870</v>
      </c>
      <c r="D370" s="56" t="s">
        <v>2811</v>
      </c>
      <c r="E370" s="75" t="s">
        <v>1790</v>
      </c>
      <c r="F370" s="63" t="s">
        <v>6</v>
      </c>
      <c r="G370" s="56" t="s">
        <v>2899</v>
      </c>
      <c r="H370" s="56" t="s">
        <v>2900</v>
      </c>
    </row>
    <row r="371" spans="2:8" x14ac:dyDescent="0.3">
      <c r="B371" s="65">
        <v>45873</v>
      </c>
      <c r="C371" s="74">
        <v>45870</v>
      </c>
      <c r="D371" s="56" t="s">
        <v>2811</v>
      </c>
      <c r="E371" s="75" t="s">
        <v>1790</v>
      </c>
      <c r="F371" s="63" t="s">
        <v>6</v>
      </c>
      <c r="G371" s="56" t="s">
        <v>2814</v>
      </c>
      <c r="H371" s="56" t="s">
        <v>2815</v>
      </c>
    </row>
    <row r="372" spans="2:8" x14ac:dyDescent="0.3">
      <c r="B372" s="65">
        <v>45873</v>
      </c>
      <c r="C372" s="74">
        <v>45870</v>
      </c>
      <c r="D372" s="56" t="s">
        <v>2811</v>
      </c>
      <c r="E372" s="75" t="s">
        <v>1790</v>
      </c>
      <c r="F372" s="63" t="s">
        <v>6</v>
      </c>
      <c r="G372" s="56" t="s">
        <v>2816</v>
      </c>
      <c r="H372" s="56" t="s">
        <v>2817</v>
      </c>
    </row>
    <row r="373" spans="2:8" x14ac:dyDescent="0.3">
      <c r="B373" s="65">
        <v>45873</v>
      </c>
      <c r="C373" s="74">
        <v>45870</v>
      </c>
      <c r="D373" s="56" t="s">
        <v>2811</v>
      </c>
      <c r="E373" s="75" t="s">
        <v>1790</v>
      </c>
      <c r="F373" s="63" t="s">
        <v>6</v>
      </c>
      <c r="G373" s="56" t="s">
        <v>2818</v>
      </c>
      <c r="H373" s="56" t="s">
        <v>2819</v>
      </c>
    </row>
    <row r="374" spans="2:8" x14ac:dyDescent="0.3">
      <c r="B374" s="65">
        <v>45874</v>
      </c>
      <c r="C374" s="74">
        <v>45870</v>
      </c>
      <c r="D374" s="56" t="s">
        <v>2811</v>
      </c>
      <c r="E374" s="75" t="s">
        <v>1790</v>
      </c>
      <c r="F374" s="63" t="s">
        <v>6</v>
      </c>
      <c r="G374" s="56" t="s">
        <v>2870</v>
      </c>
      <c r="H374" s="56" t="s">
        <v>2870</v>
      </c>
    </row>
    <row r="375" spans="2:8" x14ac:dyDescent="0.3">
      <c r="B375" s="65">
        <v>45874</v>
      </c>
      <c r="C375" s="74">
        <v>45870</v>
      </c>
      <c r="D375" s="56" t="s">
        <v>2811</v>
      </c>
      <c r="E375" s="75" t="s">
        <v>1790</v>
      </c>
      <c r="F375" s="63" t="s">
        <v>6</v>
      </c>
      <c r="G375" s="56" t="s">
        <v>2899</v>
      </c>
      <c r="H375" s="56" t="s">
        <v>2900</v>
      </c>
    </row>
    <row r="376" spans="2:8" x14ac:dyDescent="0.3">
      <c r="B376" s="65">
        <v>45874</v>
      </c>
      <c r="C376" s="74">
        <v>45870</v>
      </c>
      <c r="D376" s="56" t="s">
        <v>2811</v>
      </c>
      <c r="E376" s="75" t="s">
        <v>1790</v>
      </c>
      <c r="F376" s="63" t="s">
        <v>6</v>
      </c>
      <c r="G376" s="56" t="s">
        <v>2814</v>
      </c>
      <c r="H376" s="56" t="s">
        <v>2815</v>
      </c>
    </row>
    <row r="377" spans="2:8" x14ac:dyDescent="0.3">
      <c r="B377" s="65">
        <v>45874</v>
      </c>
      <c r="C377" s="74">
        <v>45870</v>
      </c>
      <c r="D377" s="56" t="s">
        <v>2811</v>
      </c>
      <c r="E377" s="75" t="s">
        <v>1790</v>
      </c>
      <c r="F377" s="63" t="s">
        <v>6</v>
      </c>
      <c r="G377" s="56" t="s">
        <v>2816</v>
      </c>
      <c r="H377" s="56" t="s">
        <v>2817</v>
      </c>
    </row>
    <row r="378" spans="2:8" x14ac:dyDescent="0.3">
      <c r="B378" s="65">
        <v>45874</v>
      </c>
      <c r="C378" s="74">
        <v>45870</v>
      </c>
      <c r="D378" s="56" t="s">
        <v>2811</v>
      </c>
      <c r="E378" s="75" t="s">
        <v>1790</v>
      </c>
      <c r="F378" s="63" t="s">
        <v>6</v>
      </c>
      <c r="G378" s="56" t="s">
        <v>2818</v>
      </c>
      <c r="H378" s="56" t="s">
        <v>2819</v>
      </c>
    </row>
    <row r="379" spans="2:8" x14ac:dyDescent="0.3">
      <c r="B379" s="65">
        <v>45875</v>
      </c>
      <c r="C379" s="74">
        <v>45870</v>
      </c>
      <c r="D379" s="56" t="s">
        <v>2811</v>
      </c>
      <c r="E379" s="75" t="s">
        <v>1790</v>
      </c>
      <c r="F379" s="63" t="s">
        <v>6</v>
      </c>
      <c r="G379" s="56" t="s">
        <v>2870</v>
      </c>
      <c r="H379" s="56" t="s">
        <v>2870</v>
      </c>
    </row>
    <row r="380" spans="2:8" x14ac:dyDescent="0.3">
      <c r="B380" s="65">
        <v>45875</v>
      </c>
      <c r="C380" s="74">
        <v>45870</v>
      </c>
      <c r="D380" s="56" t="s">
        <v>2811</v>
      </c>
      <c r="E380" s="75" t="s">
        <v>1790</v>
      </c>
      <c r="F380" s="63" t="s">
        <v>6</v>
      </c>
      <c r="G380" s="56" t="s">
        <v>2899</v>
      </c>
      <c r="H380" s="56" t="s">
        <v>2900</v>
      </c>
    </row>
    <row r="381" spans="2:8" x14ac:dyDescent="0.3">
      <c r="B381" s="65">
        <v>45875</v>
      </c>
      <c r="C381" s="74">
        <v>45870</v>
      </c>
      <c r="D381" s="56" t="s">
        <v>2811</v>
      </c>
      <c r="E381" s="75" t="s">
        <v>1790</v>
      </c>
      <c r="F381" s="63" t="s">
        <v>6</v>
      </c>
      <c r="G381" s="56" t="s">
        <v>2814</v>
      </c>
      <c r="H381" s="56" t="s">
        <v>2815</v>
      </c>
    </row>
    <row r="382" spans="2:8" x14ac:dyDescent="0.3">
      <c r="B382" s="65">
        <v>45875</v>
      </c>
      <c r="C382" s="74">
        <v>45870</v>
      </c>
      <c r="D382" s="56" t="s">
        <v>2811</v>
      </c>
      <c r="E382" s="75" t="s">
        <v>1790</v>
      </c>
      <c r="F382" s="63" t="s">
        <v>6</v>
      </c>
      <c r="G382" s="56" t="s">
        <v>2816</v>
      </c>
      <c r="H382" s="56" t="s">
        <v>2817</v>
      </c>
    </row>
    <row r="383" spans="2:8" x14ac:dyDescent="0.3">
      <c r="B383" s="65">
        <v>45875</v>
      </c>
      <c r="C383" s="74">
        <v>45870</v>
      </c>
      <c r="D383" s="56" t="s">
        <v>2811</v>
      </c>
      <c r="E383" s="75" t="s">
        <v>1790</v>
      </c>
      <c r="F383" s="63" t="s">
        <v>6</v>
      </c>
      <c r="G383" s="56" t="s">
        <v>2818</v>
      </c>
      <c r="H383" s="56" t="s">
        <v>2819</v>
      </c>
    </row>
    <row r="384" spans="2:8" x14ac:dyDescent="0.3">
      <c r="B384" s="65">
        <v>45876</v>
      </c>
      <c r="C384" s="74">
        <v>45870</v>
      </c>
      <c r="D384" s="56" t="s">
        <v>2811</v>
      </c>
      <c r="E384" s="75" t="s">
        <v>1790</v>
      </c>
      <c r="F384" s="63" t="s">
        <v>6</v>
      </c>
      <c r="G384" s="56" t="s">
        <v>2870</v>
      </c>
      <c r="H384" s="56" t="s">
        <v>2870</v>
      </c>
    </row>
    <row r="385" spans="2:8" x14ac:dyDescent="0.3">
      <c r="B385" s="65">
        <v>45876</v>
      </c>
      <c r="C385" s="74">
        <v>45870</v>
      </c>
      <c r="D385" s="56" t="s">
        <v>2811</v>
      </c>
      <c r="E385" s="75" t="s">
        <v>1790</v>
      </c>
      <c r="F385" s="63" t="s">
        <v>6</v>
      </c>
      <c r="G385" s="56" t="s">
        <v>2899</v>
      </c>
      <c r="H385" s="56" t="s">
        <v>2900</v>
      </c>
    </row>
    <row r="386" spans="2:8" x14ac:dyDescent="0.3">
      <c r="B386" s="65">
        <v>45876</v>
      </c>
      <c r="C386" s="74">
        <v>45870</v>
      </c>
      <c r="D386" s="56" t="s">
        <v>2811</v>
      </c>
      <c r="E386" s="75" t="s">
        <v>1790</v>
      </c>
      <c r="F386" s="63" t="s">
        <v>6</v>
      </c>
      <c r="G386" s="56" t="s">
        <v>2814</v>
      </c>
      <c r="H386" s="56" t="s">
        <v>2815</v>
      </c>
    </row>
    <row r="387" spans="2:8" x14ac:dyDescent="0.3">
      <c r="B387" s="65">
        <v>45876</v>
      </c>
      <c r="C387" s="74">
        <v>45870</v>
      </c>
      <c r="D387" s="56" t="s">
        <v>2811</v>
      </c>
      <c r="E387" s="75" t="s">
        <v>1790</v>
      </c>
      <c r="F387" s="63" t="s">
        <v>6</v>
      </c>
      <c r="G387" s="56" t="s">
        <v>2816</v>
      </c>
      <c r="H387" s="56" t="s">
        <v>2817</v>
      </c>
    </row>
    <row r="388" spans="2:8" x14ac:dyDescent="0.3">
      <c r="B388" s="65">
        <v>45876</v>
      </c>
      <c r="C388" s="74">
        <v>45870</v>
      </c>
      <c r="D388" s="56" t="s">
        <v>2811</v>
      </c>
      <c r="E388" s="75" t="s">
        <v>1790</v>
      </c>
      <c r="F388" s="63" t="s">
        <v>6</v>
      </c>
      <c r="G388" s="56" t="s">
        <v>2818</v>
      </c>
      <c r="H388" s="56" t="s">
        <v>2819</v>
      </c>
    </row>
    <row r="389" spans="2:8" x14ac:dyDescent="0.3">
      <c r="B389" s="65">
        <v>45877</v>
      </c>
      <c r="C389" s="74">
        <v>45870</v>
      </c>
      <c r="D389" s="56" t="s">
        <v>2811</v>
      </c>
      <c r="E389" s="75" t="s">
        <v>1790</v>
      </c>
      <c r="F389" s="63" t="s">
        <v>6</v>
      </c>
      <c r="G389" s="56" t="s">
        <v>2870</v>
      </c>
      <c r="H389" s="56" t="s">
        <v>2870</v>
      </c>
    </row>
    <row r="390" spans="2:8" x14ac:dyDescent="0.3">
      <c r="B390" s="65">
        <v>45877</v>
      </c>
      <c r="C390" s="74">
        <v>45870</v>
      </c>
      <c r="D390" s="56" t="s">
        <v>2811</v>
      </c>
      <c r="E390" s="75" t="s">
        <v>1790</v>
      </c>
      <c r="F390" s="63" t="s">
        <v>6</v>
      </c>
      <c r="G390" s="56" t="s">
        <v>2899</v>
      </c>
      <c r="H390" s="56" t="s">
        <v>2900</v>
      </c>
    </row>
    <row r="391" spans="2:8" x14ac:dyDescent="0.3">
      <c r="B391" s="65">
        <v>45877</v>
      </c>
      <c r="C391" s="74">
        <v>45870</v>
      </c>
      <c r="D391" s="56" t="s">
        <v>2811</v>
      </c>
      <c r="E391" s="75" t="s">
        <v>1790</v>
      </c>
      <c r="F391" s="63" t="s">
        <v>6</v>
      </c>
      <c r="G391" s="56" t="s">
        <v>2814</v>
      </c>
      <c r="H391" s="56" t="s">
        <v>2815</v>
      </c>
    </row>
    <row r="392" spans="2:8" x14ac:dyDescent="0.3">
      <c r="B392" s="65">
        <v>45877</v>
      </c>
      <c r="C392" s="74">
        <v>45870</v>
      </c>
      <c r="D392" s="56" t="s">
        <v>2811</v>
      </c>
      <c r="E392" s="75" t="s">
        <v>1790</v>
      </c>
      <c r="F392" s="63" t="s">
        <v>6</v>
      </c>
      <c r="G392" s="56" t="s">
        <v>2816</v>
      </c>
      <c r="H392" s="56" t="s">
        <v>2817</v>
      </c>
    </row>
    <row r="393" spans="2:8" x14ac:dyDescent="0.3">
      <c r="B393" s="65">
        <v>45877</v>
      </c>
      <c r="C393" s="74">
        <v>45870</v>
      </c>
      <c r="D393" s="56" t="s">
        <v>2811</v>
      </c>
      <c r="E393" s="75" t="s">
        <v>1790</v>
      </c>
      <c r="F393" s="63" t="s">
        <v>6</v>
      </c>
      <c r="G393" s="56" t="s">
        <v>2818</v>
      </c>
      <c r="H393" s="56" t="s">
        <v>2819</v>
      </c>
    </row>
    <row r="394" spans="2:8" x14ac:dyDescent="0.3">
      <c r="B394" s="65">
        <v>45880</v>
      </c>
      <c r="C394" s="74">
        <v>45870</v>
      </c>
      <c r="D394" s="56" t="s">
        <v>2811</v>
      </c>
      <c r="E394" s="75" t="s">
        <v>1790</v>
      </c>
      <c r="F394" s="63" t="s">
        <v>6</v>
      </c>
      <c r="G394" s="56" t="s">
        <v>2870</v>
      </c>
      <c r="H394" s="56" t="s">
        <v>2870</v>
      </c>
    </row>
    <row r="395" spans="2:8" x14ac:dyDescent="0.3">
      <c r="B395" s="65">
        <v>45880</v>
      </c>
      <c r="C395" s="74">
        <v>45870</v>
      </c>
      <c r="D395" s="56" t="s">
        <v>2811</v>
      </c>
      <c r="E395" s="75" t="s">
        <v>1790</v>
      </c>
      <c r="F395" s="63" t="s">
        <v>6</v>
      </c>
      <c r="G395" s="56" t="s">
        <v>2899</v>
      </c>
      <c r="H395" s="56" t="s">
        <v>2900</v>
      </c>
    </row>
    <row r="396" spans="2:8" x14ac:dyDescent="0.3">
      <c r="B396" s="65">
        <v>45880</v>
      </c>
      <c r="C396" s="74">
        <v>45870</v>
      </c>
      <c r="D396" s="56" t="s">
        <v>2811</v>
      </c>
      <c r="E396" s="75" t="s">
        <v>1790</v>
      </c>
      <c r="F396" s="63" t="s">
        <v>6</v>
      </c>
      <c r="G396" s="56" t="s">
        <v>2814</v>
      </c>
      <c r="H396" s="56" t="s">
        <v>2815</v>
      </c>
    </row>
    <row r="397" spans="2:8" x14ac:dyDescent="0.3">
      <c r="B397" s="65">
        <v>45880</v>
      </c>
      <c r="C397" s="74">
        <v>45870</v>
      </c>
      <c r="D397" s="56" t="s">
        <v>2811</v>
      </c>
      <c r="E397" s="75" t="s">
        <v>1790</v>
      </c>
      <c r="F397" s="63" t="s">
        <v>6</v>
      </c>
      <c r="G397" s="56" t="s">
        <v>2816</v>
      </c>
      <c r="H397" s="56" t="s">
        <v>2817</v>
      </c>
    </row>
    <row r="398" spans="2:8" x14ac:dyDescent="0.3">
      <c r="B398" s="65">
        <v>45880</v>
      </c>
      <c r="C398" s="74">
        <v>45870</v>
      </c>
      <c r="D398" s="56" t="s">
        <v>2811</v>
      </c>
      <c r="E398" s="75" t="s">
        <v>1790</v>
      </c>
      <c r="F398" s="63" t="s">
        <v>6</v>
      </c>
      <c r="G398" s="56" t="s">
        <v>2818</v>
      </c>
      <c r="H398" s="56" t="s">
        <v>2819</v>
      </c>
    </row>
    <row r="399" spans="2:8" x14ac:dyDescent="0.3">
      <c r="B399" s="65">
        <v>45881</v>
      </c>
      <c r="C399" s="74">
        <v>45870</v>
      </c>
      <c r="D399" s="56" t="s">
        <v>2811</v>
      </c>
      <c r="E399" s="75" t="s">
        <v>1790</v>
      </c>
      <c r="F399" s="63" t="s">
        <v>6</v>
      </c>
      <c r="G399" s="56" t="s">
        <v>2870</v>
      </c>
      <c r="H399" s="56" t="s">
        <v>2870</v>
      </c>
    </row>
    <row r="400" spans="2:8" x14ac:dyDescent="0.3">
      <c r="B400" s="65">
        <v>45881</v>
      </c>
      <c r="C400" s="74">
        <v>45870</v>
      </c>
      <c r="D400" s="56" t="s">
        <v>2811</v>
      </c>
      <c r="E400" s="75" t="s">
        <v>1790</v>
      </c>
      <c r="F400" s="63" t="s">
        <v>6</v>
      </c>
      <c r="G400" s="56" t="s">
        <v>2899</v>
      </c>
      <c r="H400" s="56" t="s">
        <v>2900</v>
      </c>
    </row>
    <row r="401" spans="2:8" x14ac:dyDescent="0.3">
      <c r="B401" s="65">
        <v>45881</v>
      </c>
      <c r="C401" s="74">
        <v>45870</v>
      </c>
      <c r="D401" s="56" t="s">
        <v>2811</v>
      </c>
      <c r="E401" s="75" t="s">
        <v>1790</v>
      </c>
      <c r="F401" s="63" t="s">
        <v>6</v>
      </c>
      <c r="G401" s="56" t="s">
        <v>2814</v>
      </c>
      <c r="H401" s="56" t="s">
        <v>2815</v>
      </c>
    </row>
    <row r="402" spans="2:8" x14ac:dyDescent="0.3">
      <c r="B402" s="65">
        <v>45881</v>
      </c>
      <c r="C402" s="74">
        <v>45870</v>
      </c>
      <c r="D402" s="56" t="s">
        <v>2811</v>
      </c>
      <c r="E402" s="75" t="s">
        <v>1790</v>
      </c>
      <c r="F402" s="63" t="s">
        <v>6</v>
      </c>
      <c r="G402" s="56" t="s">
        <v>2816</v>
      </c>
      <c r="H402" s="56" t="s">
        <v>2817</v>
      </c>
    </row>
    <row r="403" spans="2:8" x14ac:dyDescent="0.3">
      <c r="B403" s="65">
        <v>45881</v>
      </c>
      <c r="C403" s="74">
        <v>45870</v>
      </c>
      <c r="D403" s="56" t="s">
        <v>2811</v>
      </c>
      <c r="E403" s="75" t="s">
        <v>1790</v>
      </c>
      <c r="F403" s="63" t="s">
        <v>6</v>
      </c>
      <c r="G403" s="56" t="s">
        <v>2818</v>
      </c>
      <c r="H403" s="56" t="s">
        <v>2819</v>
      </c>
    </row>
    <row r="404" spans="2:8" x14ac:dyDescent="0.3">
      <c r="B404" s="65">
        <v>45882</v>
      </c>
      <c r="C404" s="74">
        <v>45870</v>
      </c>
      <c r="D404" s="56" t="s">
        <v>2811</v>
      </c>
      <c r="E404" s="75" t="s">
        <v>1790</v>
      </c>
      <c r="F404" s="63" t="s">
        <v>6</v>
      </c>
      <c r="G404" s="56" t="s">
        <v>2870</v>
      </c>
      <c r="H404" s="56" t="s">
        <v>2870</v>
      </c>
    </row>
    <row r="405" spans="2:8" x14ac:dyDescent="0.3">
      <c r="B405" s="65">
        <v>45882</v>
      </c>
      <c r="C405" s="74">
        <v>45870</v>
      </c>
      <c r="D405" s="56" t="s">
        <v>2811</v>
      </c>
      <c r="E405" s="75" t="s">
        <v>1790</v>
      </c>
      <c r="F405" s="63" t="s">
        <v>6</v>
      </c>
      <c r="G405" s="56" t="s">
        <v>2899</v>
      </c>
      <c r="H405" s="56" t="s">
        <v>2900</v>
      </c>
    </row>
    <row r="406" spans="2:8" x14ac:dyDescent="0.3">
      <c r="B406" s="65">
        <v>45882</v>
      </c>
      <c r="C406" s="74">
        <v>45870</v>
      </c>
      <c r="D406" s="56" t="s">
        <v>2811</v>
      </c>
      <c r="E406" s="75" t="s">
        <v>1790</v>
      </c>
      <c r="F406" s="63" t="s">
        <v>6</v>
      </c>
      <c r="G406" s="56" t="s">
        <v>2814</v>
      </c>
      <c r="H406" s="56" t="s">
        <v>2815</v>
      </c>
    </row>
    <row r="407" spans="2:8" x14ac:dyDescent="0.3">
      <c r="B407" s="65">
        <v>45882</v>
      </c>
      <c r="C407" s="74">
        <v>45870</v>
      </c>
      <c r="D407" s="56" t="s">
        <v>2811</v>
      </c>
      <c r="E407" s="75" t="s">
        <v>1790</v>
      </c>
      <c r="F407" s="63" t="s">
        <v>6</v>
      </c>
      <c r="G407" s="56" t="s">
        <v>2816</v>
      </c>
      <c r="H407" s="56" t="s">
        <v>2817</v>
      </c>
    </row>
    <row r="408" spans="2:8" x14ac:dyDescent="0.3">
      <c r="B408" s="65">
        <v>45882</v>
      </c>
      <c r="C408" s="74">
        <v>45870</v>
      </c>
      <c r="D408" s="56" t="s">
        <v>2811</v>
      </c>
      <c r="E408" s="75" t="s">
        <v>1790</v>
      </c>
      <c r="F408" s="63" t="s">
        <v>6</v>
      </c>
      <c r="G408" s="56" t="s">
        <v>2818</v>
      </c>
      <c r="H408" s="56" t="s">
        <v>2819</v>
      </c>
    </row>
    <row r="409" spans="2:8" x14ac:dyDescent="0.3">
      <c r="B409" s="65">
        <v>45883</v>
      </c>
      <c r="C409" s="74">
        <v>45870</v>
      </c>
      <c r="D409" s="56" t="s">
        <v>2811</v>
      </c>
      <c r="E409" s="75" t="s">
        <v>1790</v>
      </c>
      <c r="F409" s="63" t="s">
        <v>6</v>
      </c>
      <c r="G409" s="56" t="s">
        <v>3000</v>
      </c>
      <c r="H409" s="56" t="s">
        <v>3000</v>
      </c>
    </row>
    <row r="410" spans="2:8" x14ac:dyDescent="0.3">
      <c r="B410" s="65">
        <v>45883</v>
      </c>
      <c r="C410" s="74">
        <v>45870</v>
      </c>
      <c r="D410" s="56" t="s">
        <v>2811</v>
      </c>
      <c r="E410" s="75" t="s">
        <v>1790</v>
      </c>
      <c r="F410" s="63" t="s">
        <v>6</v>
      </c>
      <c r="G410" s="56" t="s">
        <v>2870</v>
      </c>
      <c r="H410" s="56" t="s">
        <v>2870</v>
      </c>
    </row>
    <row r="411" spans="2:8" x14ac:dyDescent="0.3">
      <c r="B411" s="65">
        <v>45883</v>
      </c>
      <c r="C411" s="74">
        <v>45870</v>
      </c>
      <c r="D411" s="56" t="s">
        <v>2811</v>
      </c>
      <c r="E411" s="75" t="s">
        <v>1790</v>
      </c>
      <c r="F411" s="63" t="s">
        <v>6</v>
      </c>
      <c r="G411" s="56" t="s">
        <v>2899</v>
      </c>
      <c r="H411" s="56" t="s">
        <v>2900</v>
      </c>
    </row>
    <row r="412" spans="2:8" x14ac:dyDescent="0.3">
      <c r="B412" s="65">
        <v>45883</v>
      </c>
      <c r="C412" s="74">
        <v>45870</v>
      </c>
      <c r="D412" s="56" t="s">
        <v>2811</v>
      </c>
      <c r="E412" s="75" t="s">
        <v>1790</v>
      </c>
      <c r="F412" s="63" t="s">
        <v>6</v>
      </c>
      <c r="G412" s="56" t="s">
        <v>2814</v>
      </c>
      <c r="H412" s="56" t="s">
        <v>2815</v>
      </c>
    </row>
    <row r="413" spans="2:8" x14ac:dyDescent="0.3">
      <c r="B413" s="65">
        <v>45883</v>
      </c>
      <c r="C413" s="74">
        <v>45870</v>
      </c>
      <c r="D413" s="56" t="s">
        <v>2811</v>
      </c>
      <c r="E413" s="75" t="s">
        <v>1790</v>
      </c>
      <c r="F413" s="63" t="s">
        <v>6</v>
      </c>
      <c r="G413" s="56" t="s">
        <v>2816</v>
      </c>
      <c r="H413" s="56" t="s">
        <v>2817</v>
      </c>
    </row>
    <row r="414" spans="2:8" x14ac:dyDescent="0.3">
      <c r="B414" s="65">
        <v>45883</v>
      </c>
      <c r="C414" s="74">
        <v>45870</v>
      </c>
      <c r="D414" s="56" t="s">
        <v>2811</v>
      </c>
      <c r="E414" s="75" t="s">
        <v>1790</v>
      </c>
      <c r="F414" s="63" t="s">
        <v>6</v>
      </c>
      <c r="G414" s="56" t="s">
        <v>2818</v>
      </c>
      <c r="H414" s="56" t="s">
        <v>2819</v>
      </c>
    </row>
    <row r="415" spans="2:8" x14ac:dyDescent="0.3">
      <c r="B415" s="65">
        <v>45887</v>
      </c>
      <c r="C415" s="74">
        <v>45870</v>
      </c>
      <c r="D415" s="56" t="s">
        <v>2811</v>
      </c>
      <c r="E415" s="75" t="s">
        <v>1790</v>
      </c>
      <c r="F415" s="63" t="s">
        <v>6</v>
      </c>
      <c r="G415" s="56" t="s">
        <v>2870</v>
      </c>
      <c r="H415" s="56" t="s">
        <v>2870</v>
      </c>
    </row>
    <row r="416" spans="2:8" x14ac:dyDescent="0.3">
      <c r="B416" s="65">
        <v>45887</v>
      </c>
      <c r="C416" s="74">
        <v>45870</v>
      </c>
      <c r="D416" s="56" t="s">
        <v>2811</v>
      </c>
      <c r="E416" s="75" t="s">
        <v>1790</v>
      </c>
      <c r="F416" s="63" t="s">
        <v>6</v>
      </c>
      <c r="G416" s="56" t="s">
        <v>2899</v>
      </c>
      <c r="H416" s="56" t="s">
        <v>2900</v>
      </c>
    </row>
    <row r="417" spans="2:8" x14ac:dyDescent="0.3">
      <c r="B417" s="65">
        <v>45887</v>
      </c>
      <c r="C417" s="74">
        <v>45870</v>
      </c>
      <c r="D417" s="56" t="s">
        <v>2811</v>
      </c>
      <c r="E417" s="75" t="s">
        <v>1790</v>
      </c>
      <c r="F417" s="63" t="s">
        <v>6</v>
      </c>
      <c r="G417" s="56" t="s">
        <v>2814</v>
      </c>
      <c r="H417" s="56" t="s">
        <v>2815</v>
      </c>
    </row>
    <row r="418" spans="2:8" x14ac:dyDescent="0.3">
      <c r="B418" s="65">
        <v>45887</v>
      </c>
      <c r="C418" s="74">
        <v>45870</v>
      </c>
      <c r="D418" s="56" t="s">
        <v>2811</v>
      </c>
      <c r="E418" s="75" t="s">
        <v>1790</v>
      </c>
      <c r="F418" s="63" t="s">
        <v>6</v>
      </c>
      <c r="G418" s="56" t="s">
        <v>2816</v>
      </c>
      <c r="H418" s="56" t="s">
        <v>2817</v>
      </c>
    </row>
    <row r="419" spans="2:8" x14ac:dyDescent="0.3">
      <c r="B419" s="65">
        <v>45887</v>
      </c>
      <c r="C419" s="74">
        <v>45870</v>
      </c>
      <c r="D419" s="56" t="s">
        <v>2811</v>
      </c>
      <c r="E419" s="75" t="s">
        <v>1790</v>
      </c>
      <c r="F419" s="63" t="s">
        <v>6</v>
      </c>
      <c r="G419" s="56" t="s">
        <v>2818</v>
      </c>
      <c r="H419" s="56" t="s">
        <v>2819</v>
      </c>
    </row>
    <row r="420" spans="2:8" x14ac:dyDescent="0.3">
      <c r="B420" s="65">
        <v>45888</v>
      </c>
      <c r="C420" s="74">
        <v>45870</v>
      </c>
      <c r="D420" s="56" t="s">
        <v>2811</v>
      </c>
      <c r="E420" s="75" t="s">
        <v>1790</v>
      </c>
      <c r="F420" s="63" t="s">
        <v>6</v>
      </c>
      <c r="G420" s="56" t="s">
        <v>2870</v>
      </c>
      <c r="H420" s="56" t="s">
        <v>2870</v>
      </c>
    </row>
    <row r="421" spans="2:8" x14ac:dyDescent="0.3">
      <c r="B421" s="65">
        <v>45888</v>
      </c>
      <c r="C421" s="74">
        <v>45870</v>
      </c>
      <c r="D421" s="56" t="s">
        <v>2811</v>
      </c>
      <c r="E421" s="75" t="s">
        <v>1790</v>
      </c>
      <c r="F421" s="63" t="s">
        <v>6</v>
      </c>
      <c r="G421" s="56" t="s">
        <v>2899</v>
      </c>
      <c r="H421" s="56" t="s">
        <v>2900</v>
      </c>
    </row>
    <row r="422" spans="2:8" x14ac:dyDescent="0.3">
      <c r="B422" s="65">
        <v>45888</v>
      </c>
      <c r="C422" s="74">
        <v>45870</v>
      </c>
      <c r="D422" s="56" t="s">
        <v>2811</v>
      </c>
      <c r="E422" s="75" t="s">
        <v>1790</v>
      </c>
      <c r="F422" s="63" t="s">
        <v>6</v>
      </c>
      <c r="G422" s="56" t="s">
        <v>2814</v>
      </c>
      <c r="H422" s="56" t="s">
        <v>2815</v>
      </c>
    </row>
    <row r="423" spans="2:8" x14ac:dyDescent="0.3">
      <c r="B423" s="65">
        <v>45888</v>
      </c>
      <c r="C423" s="74">
        <v>45870</v>
      </c>
      <c r="D423" s="56" t="s">
        <v>2811</v>
      </c>
      <c r="E423" s="75" t="s">
        <v>1790</v>
      </c>
      <c r="F423" s="63" t="s">
        <v>6</v>
      </c>
      <c r="G423" s="56" t="s">
        <v>2816</v>
      </c>
      <c r="H423" s="56" t="s">
        <v>2817</v>
      </c>
    </row>
    <row r="424" spans="2:8" x14ac:dyDescent="0.3">
      <c r="B424" s="65">
        <v>45888</v>
      </c>
      <c r="C424" s="74">
        <v>45870</v>
      </c>
      <c r="D424" s="56" t="s">
        <v>2811</v>
      </c>
      <c r="E424" s="75" t="s">
        <v>1790</v>
      </c>
      <c r="F424" s="63" t="s">
        <v>6</v>
      </c>
      <c r="G424" s="56" t="s">
        <v>2818</v>
      </c>
      <c r="H424" s="56" t="s">
        <v>2819</v>
      </c>
    </row>
    <row r="425" spans="2:8" x14ac:dyDescent="0.3">
      <c r="B425" s="65">
        <v>45889</v>
      </c>
      <c r="C425" s="74">
        <v>45870</v>
      </c>
      <c r="D425" s="56" t="s">
        <v>2811</v>
      </c>
      <c r="E425" s="75" t="s">
        <v>1790</v>
      </c>
      <c r="F425" s="64" t="s">
        <v>4</v>
      </c>
      <c r="G425" s="56" t="s">
        <v>3001</v>
      </c>
      <c r="H425" s="56" t="s">
        <v>3001</v>
      </c>
    </row>
    <row r="426" spans="2:8" x14ac:dyDescent="0.3">
      <c r="B426" s="65">
        <v>45889</v>
      </c>
      <c r="C426" s="74">
        <v>45870</v>
      </c>
      <c r="D426" s="56" t="s">
        <v>2811</v>
      </c>
      <c r="E426" s="75" t="s">
        <v>1790</v>
      </c>
      <c r="F426" s="64" t="s">
        <v>4</v>
      </c>
      <c r="G426" s="56" t="s">
        <v>3002</v>
      </c>
      <c r="H426" s="56" t="s">
        <v>3002</v>
      </c>
    </row>
    <row r="427" spans="2:8" x14ac:dyDescent="0.3">
      <c r="B427" s="65">
        <v>45889</v>
      </c>
      <c r="C427" s="74">
        <v>45870</v>
      </c>
      <c r="D427" s="56" t="s">
        <v>2811</v>
      </c>
      <c r="E427" s="75" t="s">
        <v>1790</v>
      </c>
      <c r="F427" s="63" t="s">
        <v>6</v>
      </c>
      <c r="G427" s="56" t="s">
        <v>2870</v>
      </c>
      <c r="H427" s="56" t="s">
        <v>2870</v>
      </c>
    </row>
    <row r="428" spans="2:8" x14ac:dyDescent="0.3">
      <c r="B428" s="65">
        <v>45889</v>
      </c>
      <c r="C428" s="74">
        <v>45870</v>
      </c>
      <c r="D428" s="56" t="s">
        <v>2811</v>
      </c>
      <c r="E428" s="75" t="s">
        <v>1790</v>
      </c>
      <c r="F428" s="63" t="s">
        <v>6</v>
      </c>
      <c r="G428" s="56" t="s">
        <v>2899</v>
      </c>
      <c r="H428" s="56" t="s">
        <v>2900</v>
      </c>
    </row>
    <row r="429" spans="2:8" x14ac:dyDescent="0.3">
      <c r="B429" s="65">
        <v>45889</v>
      </c>
      <c r="C429" s="74">
        <v>45870</v>
      </c>
      <c r="D429" s="56" t="s">
        <v>2811</v>
      </c>
      <c r="E429" s="75" t="s">
        <v>1790</v>
      </c>
      <c r="F429" s="63" t="s">
        <v>6</v>
      </c>
      <c r="G429" s="56" t="s">
        <v>2814</v>
      </c>
      <c r="H429" s="56" t="s">
        <v>2815</v>
      </c>
    </row>
    <row r="430" spans="2:8" x14ac:dyDescent="0.3">
      <c r="B430" s="65">
        <v>45889</v>
      </c>
      <c r="C430" s="74">
        <v>45870</v>
      </c>
      <c r="D430" s="56" t="s">
        <v>2811</v>
      </c>
      <c r="E430" s="75" t="s">
        <v>1790</v>
      </c>
      <c r="F430" s="63" t="s">
        <v>6</v>
      </c>
      <c r="G430" s="56" t="s">
        <v>2816</v>
      </c>
      <c r="H430" s="56" t="s">
        <v>2817</v>
      </c>
    </row>
    <row r="431" spans="2:8" x14ac:dyDescent="0.3">
      <c r="B431" s="65">
        <v>45889</v>
      </c>
      <c r="C431" s="74">
        <v>45870</v>
      </c>
      <c r="D431" s="56" t="s">
        <v>2811</v>
      </c>
      <c r="E431" s="75" t="s">
        <v>1790</v>
      </c>
      <c r="F431" s="63" t="s">
        <v>6</v>
      </c>
      <c r="G431" s="56" t="s">
        <v>2818</v>
      </c>
      <c r="H431" s="56" t="s">
        <v>2819</v>
      </c>
    </row>
    <row r="432" spans="2:8" x14ac:dyDescent="0.3">
      <c r="B432" s="65">
        <v>45890</v>
      </c>
      <c r="C432" s="74">
        <v>45870</v>
      </c>
      <c r="D432" s="56" t="s">
        <v>2811</v>
      </c>
      <c r="E432" s="75" t="s">
        <v>1790</v>
      </c>
      <c r="F432" s="63" t="s">
        <v>6</v>
      </c>
      <c r="G432" s="56" t="s">
        <v>2870</v>
      </c>
      <c r="H432" s="56" t="s">
        <v>2870</v>
      </c>
    </row>
    <row r="433" spans="2:8" x14ac:dyDescent="0.3">
      <c r="B433" s="65">
        <v>45890</v>
      </c>
      <c r="C433" s="74">
        <v>45870</v>
      </c>
      <c r="D433" s="56" t="s">
        <v>2811</v>
      </c>
      <c r="E433" s="75" t="s">
        <v>1790</v>
      </c>
      <c r="F433" s="63" t="s">
        <v>6</v>
      </c>
      <c r="G433" s="56" t="s">
        <v>2899</v>
      </c>
      <c r="H433" s="56" t="s">
        <v>2900</v>
      </c>
    </row>
    <row r="434" spans="2:8" x14ac:dyDescent="0.3">
      <c r="B434" s="65">
        <v>45890</v>
      </c>
      <c r="C434" s="74">
        <v>45870</v>
      </c>
      <c r="D434" s="56" t="s">
        <v>2811</v>
      </c>
      <c r="E434" s="75" t="s">
        <v>1790</v>
      </c>
      <c r="F434" s="63" t="s">
        <v>6</v>
      </c>
      <c r="G434" s="56" t="s">
        <v>2814</v>
      </c>
      <c r="H434" s="56" t="s">
        <v>2815</v>
      </c>
    </row>
    <row r="435" spans="2:8" x14ac:dyDescent="0.3">
      <c r="B435" s="65">
        <v>45890</v>
      </c>
      <c r="C435" s="74">
        <v>45870</v>
      </c>
      <c r="D435" s="56" t="s">
        <v>2811</v>
      </c>
      <c r="E435" s="75" t="s">
        <v>1790</v>
      </c>
      <c r="F435" s="63" t="s">
        <v>6</v>
      </c>
      <c r="G435" s="56" t="s">
        <v>2816</v>
      </c>
      <c r="H435" s="56" t="s">
        <v>2817</v>
      </c>
    </row>
    <row r="436" spans="2:8" x14ac:dyDescent="0.3">
      <c r="B436" s="65">
        <v>45890</v>
      </c>
      <c r="C436" s="74">
        <v>45870</v>
      </c>
      <c r="D436" s="56" t="s">
        <v>2811</v>
      </c>
      <c r="E436" s="75" t="s">
        <v>1790</v>
      </c>
      <c r="F436" s="63" t="s">
        <v>6</v>
      </c>
      <c r="G436" s="56" t="s">
        <v>2818</v>
      </c>
      <c r="H436" s="56" t="s">
        <v>2819</v>
      </c>
    </row>
    <row r="437" spans="2:8" x14ac:dyDescent="0.3">
      <c r="B437" s="65">
        <v>45891</v>
      </c>
      <c r="C437" s="74">
        <v>45870</v>
      </c>
      <c r="D437" s="56" t="s">
        <v>2811</v>
      </c>
      <c r="E437" s="75" t="s">
        <v>1790</v>
      </c>
      <c r="F437" s="64" t="s">
        <v>4</v>
      </c>
      <c r="G437" s="56" t="s">
        <v>3003</v>
      </c>
      <c r="H437" s="56" t="s">
        <v>3003</v>
      </c>
    </row>
    <row r="438" spans="2:8" x14ac:dyDescent="0.3">
      <c r="B438" s="65">
        <v>45891</v>
      </c>
      <c r="C438" s="74">
        <v>45870</v>
      </c>
      <c r="D438" s="56" t="s">
        <v>2811</v>
      </c>
      <c r="E438" s="75" t="s">
        <v>1790</v>
      </c>
      <c r="F438" s="64" t="s">
        <v>4</v>
      </c>
      <c r="G438" s="56" t="s">
        <v>3004</v>
      </c>
      <c r="H438" s="56" t="s">
        <v>3004</v>
      </c>
    </row>
    <row r="439" spans="2:8" x14ac:dyDescent="0.3">
      <c r="B439" s="65">
        <v>45891</v>
      </c>
      <c r="C439" s="74">
        <v>45870</v>
      </c>
      <c r="D439" s="56" t="s">
        <v>2811</v>
      </c>
      <c r="E439" s="75" t="s">
        <v>1790</v>
      </c>
      <c r="F439" s="64" t="s">
        <v>4</v>
      </c>
      <c r="G439" s="56" t="s">
        <v>3005</v>
      </c>
      <c r="H439" s="56" t="s">
        <v>3005</v>
      </c>
    </row>
    <row r="440" spans="2:8" x14ac:dyDescent="0.3">
      <c r="B440" s="65">
        <v>45891</v>
      </c>
      <c r="C440" s="74">
        <v>45870</v>
      </c>
      <c r="D440" s="56" t="s">
        <v>2811</v>
      </c>
      <c r="E440" s="75" t="s">
        <v>1790</v>
      </c>
      <c r="F440" s="63" t="s">
        <v>6</v>
      </c>
      <c r="G440" s="56" t="s">
        <v>2870</v>
      </c>
      <c r="H440" s="56" t="s">
        <v>2870</v>
      </c>
    </row>
    <row r="441" spans="2:8" x14ac:dyDescent="0.3">
      <c r="B441" s="65">
        <v>45891</v>
      </c>
      <c r="C441" s="74">
        <v>45870</v>
      </c>
      <c r="D441" s="56" t="s">
        <v>2811</v>
      </c>
      <c r="E441" s="75" t="s">
        <v>1790</v>
      </c>
      <c r="F441" s="63" t="s">
        <v>6</v>
      </c>
      <c r="G441" s="56" t="s">
        <v>2899</v>
      </c>
      <c r="H441" s="56" t="s">
        <v>2900</v>
      </c>
    </row>
    <row r="442" spans="2:8" x14ac:dyDescent="0.3">
      <c r="B442" s="65">
        <v>45891</v>
      </c>
      <c r="C442" s="74">
        <v>45870</v>
      </c>
      <c r="D442" s="56" t="s">
        <v>2811</v>
      </c>
      <c r="E442" s="75" t="s">
        <v>1790</v>
      </c>
      <c r="F442" s="63" t="s">
        <v>6</v>
      </c>
      <c r="G442" s="56" t="s">
        <v>2814</v>
      </c>
      <c r="H442" s="56" t="s">
        <v>2815</v>
      </c>
    </row>
    <row r="443" spans="2:8" x14ac:dyDescent="0.3">
      <c r="B443" s="65">
        <v>45891</v>
      </c>
      <c r="C443" s="74">
        <v>45870</v>
      </c>
      <c r="D443" s="56" t="s">
        <v>2811</v>
      </c>
      <c r="E443" s="75" t="s">
        <v>1790</v>
      </c>
      <c r="F443" s="63" t="s">
        <v>6</v>
      </c>
      <c r="G443" s="56" t="s">
        <v>2816</v>
      </c>
      <c r="H443" s="56" t="s">
        <v>2817</v>
      </c>
    </row>
    <row r="444" spans="2:8" x14ac:dyDescent="0.3">
      <c r="B444" s="65">
        <v>45891</v>
      </c>
      <c r="C444" s="74">
        <v>45870</v>
      </c>
      <c r="D444" s="56" t="s">
        <v>2811</v>
      </c>
      <c r="E444" s="75" t="s">
        <v>1790</v>
      </c>
      <c r="F444" s="63" t="s">
        <v>6</v>
      </c>
      <c r="G444" s="56" t="s">
        <v>2818</v>
      </c>
      <c r="H444" s="56" t="s">
        <v>2819</v>
      </c>
    </row>
    <row r="445" spans="2:8" x14ac:dyDescent="0.3">
      <c r="B445" s="65">
        <v>45894</v>
      </c>
      <c r="C445" s="74">
        <v>45870</v>
      </c>
      <c r="D445" s="56" t="s">
        <v>2811</v>
      </c>
      <c r="E445" s="75" t="s">
        <v>1790</v>
      </c>
      <c r="F445" s="64" t="s">
        <v>4</v>
      </c>
      <c r="G445" s="56" t="s">
        <v>3006</v>
      </c>
      <c r="H445" s="56" t="s">
        <v>3006</v>
      </c>
    </row>
    <row r="446" spans="2:8" x14ac:dyDescent="0.3">
      <c r="B446" s="65">
        <v>45894</v>
      </c>
      <c r="C446" s="74">
        <v>45870</v>
      </c>
      <c r="D446" s="56" t="s">
        <v>2811</v>
      </c>
      <c r="E446" s="75" t="s">
        <v>1790</v>
      </c>
      <c r="F446" s="64" t="s">
        <v>4</v>
      </c>
      <c r="G446" s="56" t="s">
        <v>3007</v>
      </c>
      <c r="H446" s="56" t="s">
        <v>3007</v>
      </c>
    </row>
    <row r="447" spans="2:8" x14ac:dyDescent="0.3">
      <c r="B447" s="65">
        <v>45894</v>
      </c>
      <c r="C447" s="74">
        <v>45870</v>
      </c>
      <c r="D447" s="56" t="s">
        <v>2811</v>
      </c>
      <c r="E447" s="75" t="s">
        <v>1790</v>
      </c>
      <c r="F447" s="63" t="s">
        <v>6</v>
      </c>
      <c r="G447" s="56" t="s">
        <v>2870</v>
      </c>
      <c r="H447" s="56" t="s">
        <v>2870</v>
      </c>
    </row>
    <row r="448" spans="2:8" x14ac:dyDescent="0.3">
      <c r="B448" s="65">
        <v>45894</v>
      </c>
      <c r="C448" s="74">
        <v>45870</v>
      </c>
      <c r="D448" s="56" t="s">
        <v>2811</v>
      </c>
      <c r="E448" s="75" t="s">
        <v>1790</v>
      </c>
      <c r="F448" s="63" t="s">
        <v>6</v>
      </c>
      <c r="G448" s="56" t="s">
        <v>2899</v>
      </c>
      <c r="H448" s="56" t="s">
        <v>2900</v>
      </c>
    </row>
    <row r="449" spans="2:8" x14ac:dyDescent="0.3">
      <c r="B449" s="65">
        <v>45894</v>
      </c>
      <c r="C449" s="74">
        <v>45870</v>
      </c>
      <c r="D449" s="56" t="s">
        <v>2811</v>
      </c>
      <c r="E449" s="75" t="s">
        <v>1790</v>
      </c>
      <c r="F449" s="63" t="s">
        <v>6</v>
      </c>
      <c r="G449" s="56" t="s">
        <v>2814</v>
      </c>
      <c r="H449" s="56" t="s">
        <v>2815</v>
      </c>
    </row>
    <row r="450" spans="2:8" x14ac:dyDescent="0.3">
      <c r="B450" s="65">
        <v>45894</v>
      </c>
      <c r="C450" s="74">
        <v>45870</v>
      </c>
      <c r="D450" s="56" t="s">
        <v>2811</v>
      </c>
      <c r="E450" s="75" t="s">
        <v>1790</v>
      </c>
      <c r="F450" s="63" t="s">
        <v>6</v>
      </c>
      <c r="G450" s="56" t="s">
        <v>2816</v>
      </c>
      <c r="H450" s="56" t="s">
        <v>2817</v>
      </c>
    </row>
    <row r="451" spans="2:8" x14ac:dyDescent="0.3">
      <c r="B451" s="65">
        <v>45894</v>
      </c>
      <c r="C451" s="74">
        <v>45870</v>
      </c>
      <c r="D451" s="56" t="s">
        <v>2811</v>
      </c>
      <c r="E451" s="75" t="s">
        <v>1790</v>
      </c>
      <c r="F451" s="63" t="s">
        <v>6</v>
      </c>
      <c r="G451" s="56" t="s">
        <v>2818</v>
      </c>
      <c r="H451" s="56" t="s">
        <v>2819</v>
      </c>
    </row>
    <row r="452" spans="2:8" x14ac:dyDescent="0.3">
      <c r="B452" s="65">
        <v>45895</v>
      </c>
      <c r="C452" s="74">
        <v>45870</v>
      </c>
      <c r="D452" s="56" t="s">
        <v>2811</v>
      </c>
      <c r="E452" s="75" t="s">
        <v>1790</v>
      </c>
      <c r="F452" s="63" t="s">
        <v>6</v>
      </c>
      <c r="G452" s="56" t="s">
        <v>2870</v>
      </c>
      <c r="H452" s="56" t="s">
        <v>2870</v>
      </c>
    </row>
    <row r="453" spans="2:8" x14ac:dyDescent="0.3">
      <c r="B453" s="65">
        <v>45895</v>
      </c>
      <c r="C453" s="74">
        <v>45870</v>
      </c>
      <c r="D453" s="56" t="s">
        <v>2811</v>
      </c>
      <c r="E453" s="75" t="s">
        <v>1790</v>
      </c>
      <c r="F453" s="63" t="s">
        <v>6</v>
      </c>
      <c r="G453" s="56" t="s">
        <v>2899</v>
      </c>
      <c r="H453" s="56" t="s">
        <v>2900</v>
      </c>
    </row>
    <row r="454" spans="2:8" x14ac:dyDescent="0.3">
      <c r="B454" s="65">
        <v>45895</v>
      </c>
      <c r="C454" s="74">
        <v>45870</v>
      </c>
      <c r="D454" s="56" t="s">
        <v>2811</v>
      </c>
      <c r="E454" s="75" t="s">
        <v>1790</v>
      </c>
      <c r="F454" s="63" t="s">
        <v>6</v>
      </c>
      <c r="G454" s="56" t="s">
        <v>2814</v>
      </c>
      <c r="H454" s="56" t="s">
        <v>2815</v>
      </c>
    </row>
    <row r="455" spans="2:8" x14ac:dyDescent="0.3">
      <c r="B455" s="65">
        <v>45895</v>
      </c>
      <c r="C455" s="74">
        <v>45870</v>
      </c>
      <c r="D455" s="56" t="s">
        <v>2811</v>
      </c>
      <c r="E455" s="75" t="s">
        <v>1790</v>
      </c>
      <c r="F455" s="63" t="s">
        <v>6</v>
      </c>
      <c r="G455" s="56" t="s">
        <v>2816</v>
      </c>
      <c r="H455" s="56" t="s">
        <v>2817</v>
      </c>
    </row>
    <row r="456" spans="2:8" x14ac:dyDescent="0.3">
      <c r="B456" s="65">
        <v>45895</v>
      </c>
      <c r="C456" s="74">
        <v>45870</v>
      </c>
      <c r="D456" s="56" t="s">
        <v>2811</v>
      </c>
      <c r="E456" s="75" t="s">
        <v>1790</v>
      </c>
      <c r="F456" s="63" t="s">
        <v>6</v>
      </c>
      <c r="G456" s="56" t="s">
        <v>2818</v>
      </c>
      <c r="H456" s="56" t="s">
        <v>2819</v>
      </c>
    </row>
    <row r="457" spans="2:8" x14ac:dyDescent="0.3">
      <c r="B457" s="65">
        <v>45896</v>
      </c>
      <c r="C457" s="74">
        <v>45870</v>
      </c>
      <c r="D457" s="56" t="s">
        <v>2811</v>
      </c>
      <c r="E457" s="75" t="s">
        <v>1790</v>
      </c>
      <c r="F457" s="63" t="s">
        <v>6</v>
      </c>
      <c r="G457" s="56" t="s">
        <v>2870</v>
      </c>
      <c r="H457" s="56" t="s">
        <v>2870</v>
      </c>
    </row>
    <row r="458" spans="2:8" x14ac:dyDescent="0.3">
      <c r="B458" s="65">
        <v>45896</v>
      </c>
      <c r="C458" s="74">
        <v>45870</v>
      </c>
      <c r="D458" s="56" t="s">
        <v>2811</v>
      </c>
      <c r="E458" s="75" t="s">
        <v>1790</v>
      </c>
      <c r="F458" s="63" t="s">
        <v>6</v>
      </c>
      <c r="G458" s="56" t="s">
        <v>2899</v>
      </c>
      <c r="H458" s="56" t="s">
        <v>2900</v>
      </c>
    </row>
    <row r="459" spans="2:8" x14ac:dyDescent="0.3">
      <c r="B459" s="65">
        <v>45896</v>
      </c>
      <c r="C459" s="74">
        <v>45870</v>
      </c>
      <c r="D459" s="56" t="s">
        <v>2811</v>
      </c>
      <c r="E459" s="75" t="s">
        <v>1790</v>
      </c>
      <c r="F459" s="63" t="s">
        <v>6</v>
      </c>
      <c r="G459" s="56" t="s">
        <v>2814</v>
      </c>
      <c r="H459" s="56" t="s">
        <v>2815</v>
      </c>
    </row>
    <row r="460" spans="2:8" x14ac:dyDescent="0.3">
      <c r="B460" s="65">
        <v>45896</v>
      </c>
      <c r="C460" s="74">
        <v>45870</v>
      </c>
      <c r="D460" s="56" t="s">
        <v>2811</v>
      </c>
      <c r="E460" s="75" t="s">
        <v>1790</v>
      </c>
      <c r="F460" s="63" t="s">
        <v>6</v>
      </c>
      <c r="G460" s="56" t="s">
        <v>2816</v>
      </c>
      <c r="H460" s="56" t="s">
        <v>2817</v>
      </c>
    </row>
    <row r="461" spans="2:8" x14ac:dyDescent="0.3">
      <c r="B461" s="65">
        <v>45896</v>
      </c>
      <c r="C461" s="74">
        <v>45870</v>
      </c>
      <c r="D461" s="56" t="s">
        <v>2811</v>
      </c>
      <c r="E461" s="75" t="s">
        <v>1790</v>
      </c>
      <c r="F461" s="63" t="s">
        <v>6</v>
      </c>
      <c r="G461" s="56" t="s">
        <v>2818</v>
      </c>
      <c r="H461" s="56" t="s">
        <v>2819</v>
      </c>
    </row>
    <row r="462" spans="2:8" x14ac:dyDescent="0.3">
      <c r="B462" s="65">
        <v>45897</v>
      </c>
      <c r="C462" s="74">
        <v>45870</v>
      </c>
      <c r="D462" s="56" t="s">
        <v>2811</v>
      </c>
      <c r="E462" s="75" t="s">
        <v>1790</v>
      </c>
      <c r="F462" s="63" t="s">
        <v>6</v>
      </c>
      <c r="G462" s="56" t="s">
        <v>2870</v>
      </c>
      <c r="H462" s="56" t="s">
        <v>2870</v>
      </c>
    </row>
    <row r="463" spans="2:8" x14ac:dyDescent="0.3">
      <c r="B463" s="65">
        <v>45897</v>
      </c>
      <c r="C463" s="74">
        <v>45870</v>
      </c>
      <c r="D463" s="56" t="s">
        <v>2811</v>
      </c>
      <c r="E463" s="75" t="s">
        <v>1790</v>
      </c>
      <c r="F463" s="63" t="s">
        <v>6</v>
      </c>
      <c r="G463" s="56" t="s">
        <v>2899</v>
      </c>
      <c r="H463" s="56" t="s">
        <v>2900</v>
      </c>
    </row>
    <row r="464" spans="2:8" x14ac:dyDescent="0.3">
      <c r="B464" s="65">
        <v>45897</v>
      </c>
      <c r="C464" s="74">
        <v>45870</v>
      </c>
      <c r="D464" s="56" t="s">
        <v>2811</v>
      </c>
      <c r="E464" s="75" t="s">
        <v>1790</v>
      </c>
      <c r="F464" s="63" t="s">
        <v>6</v>
      </c>
      <c r="G464" s="56" t="s">
        <v>2814</v>
      </c>
      <c r="H464" s="56" t="s">
        <v>2815</v>
      </c>
    </row>
    <row r="465" spans="2:8" x14ac:dyDescent="0.3">
      <c r="B465" s="65">
        <v>45897</v>
      </c>
      <c r="C465" s="74">
        <v>45870</v>
      </c>
      <c r="D465" s="56" t="s">
        <v>2811</v>
      </c>
      <c r="E465" s="75" t="s">
        <v>1790</v>
      </c>
      <c r="F465" s="63" t="s">
        <v>6</v>
      </c>
      <c r="G465" s="56" t="s">
        <v>2816</v>
      </c>
      <c r="H465" s="56" t="s">
        <v>2817</v>
      </c>
    </row>
    <row r="466" spans="2:8" x14ac:dyDescent="0.3">
      <c r="B466" s="65">
        <v>45897</v>
      </c>
      <c r="C466" s="74">
        <v>45870</v>
      </c>
      <c r="D466" s="56" t="s">
        <v>2811</v>
      </c>
      <c r="E466" s="75" t="s">
        <v>1790</v>
      </c>
      <c r="F466" s="63" t="s">
        <v>6</v>
      </c>
      <c r="G466" s="56" t="s">
        <v>2818</v>
      </c>
      <c r="H466" s="56" t="s">
        <v>2819</v>
      </c>
    </row>
    <row r="467" spans="2:8" x14ac:dyDescent="0.3">
      <c r="B467" s="65">
        <v>45898</v>
      </c>
      <c r="C467" s="74">
        <v>45870</v>
      </c>
      <c r="D467" s="56" t="s">
        <v>2811</v>
      </c>
      <c r="E467" s="75" t="s">
        <v>1790</v>
      </c>
      <c r="F467" s="63" t="s">
        <v>6</v>
      </c>
      <c r="G467" s="56" t="s">
        <v>2870</v>
      </c>
      <c r="H467" s="56" t="s">
        <v>2870</v>
      </c>
    </row>
    <row r="468" spans="2:8" x14ac:dyDescent="0.3">
      <c r="B468" s="65">
        <v>45898</v>
      </c>
      <c r="C468" s="74">
        <v>45870</v>
      </c>
      <c r="D468" s="56" t="s">
        <v>2811</v>
      </c>
      <c r="E468" s="75" t="s">
        <v>1790</v>
      </c>
      <c r="F468" s="63" t="s">
        <v>6</v>
      </c>
      <c r="G468" s="56" t="s">
        <v>2899</v>
      </c>
      <c r="H468" s="56" t="s">
        <v>2900</v>
      </c>
    </row>
    <row r="469" spans="2:8" x14ac:dyDescent="0.3">
      <c r="B469" s="65">
        <v>45898</v>
      </c>
      <c r="C469" s="74">
        <v>45870</v>
      </c>
      <c r="D469" s="56" t="s">
        <v>2811</v>
      </c>
      <c r="E469" s="75" t="s">
        <v>1790</v>
      </c>
      <c r="F469" s="63" t="s">
        <v>6</v>
      </c>
      <c r="G469" s="56" t="s">
        <v>2814</v>
      </c>
      <c r="H469" s="56" t="s">
        <v>2815</v>
      </c>
    </row>
    <row r="470" spans="2:8" x14ac:dyDescent="0.3">
      <c r="B470" s="65">
        <v>45898</v>
      </c>
      <c r="C470" s="74">
        <v>45870</v>
      </c>
      <c r="D470" s="56" t="s">
        <v>2811</v>
      </c>
      <c r="E470" s="75" t="s">
        <v>1790</v>
      </c>
      <c r="F470" s="63" t="s">
        <v>6</v>
      </c>
      <c r="G470" s="56" t="s">
        <v>2816</v>
      </c>
      <c r="H470" s="56" t="s">
        <v>2817</v>
      </c>
    </row>
    <row r="471" spans="2:8" x14ac:dyDescent="0.3">
      <c r="B471" s="65">
        <v>45898</v>
      </c>
      <c r="C471" s="74">
        <v>45870</v>
      </c>
      <c r="D471" s="56" t="s">
        <v>2811</v>
      </c>
      <c r="E471" s="75" t="s">
        <v>1790</v>
      </c>
      <c r="F471" s="63" t="s">
        <v>6</v>
      </c>
      <c r="G471" s="56" t="s">
        <v>2818</v>
      </c>
      <c r="H471" s="56" t="s">
        <v>2819</v>
      </c>
    </row>
    <row r="472" spans="2:8" x14ac:dyDescent="0.3">
      <c r="B472" s="65">
        <v>45901</v>
      </c>
      <c r="C472" s="74">
        <v>45870</v>
      </c>
      <c r="D472" s="56" t="s">
        <v>2811</v>
      </c>
      <c r="E472" s="75" t="s">
        <v>1790</v>
      </c>
      <c r="F472" s="64" t="s">
        <v>4</v>
      </c>
      <c r="G472" s="56" t="s">
        <v>3008</v>
      </c>
      <c r="H472" s="56" t="s">
        <v>3008</v>
      </c>
    </row>
    <row r="473" spans="2:8" x14ac:dyDescent="0.3">
      <c r="B473" s="65">
        <v>45901</v>
      </c>
      <c r="C473" s="74">
        <v>45901</v>
      </c>
      <c r="D473" s="56" t="s">
        <v>2811</v>
      </c>
      <c r="E473" s="75" t="s">
        <v>1790</v>
      </c>
      <c r="F473" s="63" t="s">
        <v>6</v>
      </c>
      <c r="G473" s="56" t="s">
        <v>2870</v>
      </c>
      <c r="H473" s="56" t="s">
        <v>2870</v>
      </c>
    </row>
    <row r="474" spans="2:8" x14ac:dyDescent="0.3">
      <c r="B474" s="65">
        <v>45901</v>
      </c>
      <c r="C474" s="74">
        <v>45901</v>
      </c>
      <c r="D474" s="56" t="s">
        <v>2811</v>
      </c>
      <c r="E474" s="75" t="s">
        <v>1790</v>
      </c>
      <c r="F474" s="63" t="s">
        <v>6</v>
      </c>
      <c r="G474" s="56" t="s">
        <v>2899</v>
      </c>
      <c r="H474" s="56" t="s">
        <v>2900</v>
      </c>
    </row>
    <row r="475" spans="2:8" x14ac:dyDescent="0.3">
      <c r="B475" s="65">
        <v>45901</v>
      </c>
      <c r="C475" s="74">
        <v>45901</v>
      </c>
      <c r="D475" s="56" t="s">
        <v>2811</v>
      </c>
      <c r="E475" s="75" t="s">
        <v>1790</v>
      </c>
      <c r="F475" s="63" t="s">
        <v>6</v>
      </c>
      <c r="G475" s="56" t="s">
        <v>2814</v>
      </c>
      <c r="H475" s="56" t="s">
        <v>2815</v>
      </c>
    </row>
    <row r="476" spans="2:8" x14ac:dyDescent="0.3">
      <c r="B476" s="65">
        <v>45901</v>
      </c>
      <c r="C476" s="74">
        <v>45901</v>
      </c>
      <c r="D476" s="56" t="s">
        <v>2811</v>
      </c>
      <c r="E476" s="75" t="s">
        <v>1790</v>
      </c>
      <c r="F476" s="63" t="s">
        <v>6</v>
      </c>
      <c r="G476" s="56" t="s">
        <v>2816</v>
      </c>
      <c r="H476" s="56" t="s">
        <v>2817</v>
      </c>
    </row>
    <row r="477" spans="2:8" x14ac:dyDescent="0.3">
      <c r="B477" s="65">
        <v>45901</v>
      </c>
      <c r="C477" s="74">
        <v>45901</v>
      </c>
      <c r="D477" s="56" t="s">
        <v>2811</v>
      </c>
      <c r="E477" s="75" t="s">
        <v>1790</v>
      </c>
      <c r="F477" s="63" t="s">
        <v>6</v>
      </c>
      <c r="G477" s="56" t="s">
        <v>2818</v>
      </c>
      <c r="H477" s="56" t="s">
        <v>2819</v>
      </c>
    </row>
    <row r="478" spans="2:8" x14ac:dyDescent="0.3">
      <c r="B478" s="65">
        <v>45902</v>
      </c>
      <c r="C478" s="74">
        <v>45870</v>
      </c>
      <c r="D478" s="56" t="s">
        <v>2811</v>
      </c>
      <c r="E478" s="75" t="s">
        <v>1790</v>
      </c>
      <c r="F478" s="64" t="s">
        <v>4</v>
      </c>
      <c r="G478" s="56" t="s">
        <v>3009</v>
      </c>
      <c r="H478" s="56" t="s">
        <v>3009</v>
      </c>
    </row>
    <row r="479" spans="2:8" x14ac:dyDescent="0.3">
      <c r="B479" s="65">
        <v>45902</v>
      </c>
      <c r="C479" s="74">
        <v>45901</v>
      </c>
      <c r="D479" s="56" t="s">
        <v>2811</v>
      </c>
      <c r="E479" s="75" t="s">
        <v>1790</v>
      </c>
      <c r="F479" s="63" t="s">
        <v>6</v>
      </c>
      <c r="G479" s="56" t="s">
        <v>3010</v>
      </c>
      <c r="H479" s="56" t="s">
        <v>3010</v>
      </c>
    </row>
    <row r="480" spans="2:8" x14ac:dyDescent="0.3">
      <c r="B480" s="65">
        <v>45902</v>
      </c>
      <c r="C480" s="74">
        <v>45901</v>
      </c>
      <c r="D480" s="56" t="s">
        <v>2811</v>
      </c>
      <c r="E480" s="75" t="s">
        <v>1790</v>
      </c>
      <c r="F480" s="63" t="s">
        <v>6</v>
      </c>
      <c r="G480" s="56" t="s">
        <v>2870</v>
      </c>
      <c r="H480" s="56" t="s">
        <v>2870</v>
      </c>
    </row>
    <row r="481" spans="2:8" x14ac:dyDescent="0.3">
      <c r="B481" s="65">
        <v>45902</v>
      </c>
      <c r="C481" s="74">
        <v>45901</v>
      </c>
      <c r="D481" s="56" t="s">
        <v>2811</v>
      </c>
      <c r="E481" s="75" t="s">
        <v>1790</v>
      </c>
      <c r="F481" s="63" t="s">
        <v>6</v>
      </c>
      <c r="G481" s="56" t="s">
        <v>2899</v>
      </c>
      <c r="H481" s="56" t="s">
        <v>2900</v>
      </c>
    </row>
    <row r="482" spans="2:8" x14ac:dyDescent="0.3">
      <c r="B482" s="65">
        <v>45902</v>
      </c>
      <c r="C482" s="74">
        <v>45901</v>
      </c>
      <c r="D482" s="56" t="s">
        <v>2811</v>
      </c>
      <c r="E482" s="75" t="s">
        <v>1790</v>
      </c>
      <c r="F482" s="63" t="s">
        <v>6</v>
      </c>
      <c r="G482" s="56" t="s">
        <v>2814</v>
      </c>
      <c r="H482" s="56" t="s">
        <v>2815</v>
      </c>
    </row>
    <row r="483" spans="2:8" x14ac:dyDescent="0.3">
      <c r="B483" s="65">
        <v>45902</v>
      </c>
      <c r="C483" s="74">
        <v>45901</v>
      </c>
      <c r="D483" s="56" t="s">
        <v>2811</v>
      </c>
      <c r="E483" s="75" t="s">
        <v>1790</v>
      </c>
      <c r="F483" s="63" t="s">
        <v>6</v>
      </c>
      <c r="G483" s="56" t="s">
        <v>2816</v>
      </c>
      <c r="H483" s="56" t="s">
        <v>2817</v>
      </c>
    </row>
    <row r="484" spans="2:8" x14ac:dyDescent="0.3">
      <c r="B484" s="65">
        <v>45902</v>
      </c>
      <c r="C484" s="74">
        <v>45901</v>
      </c>
      <c r="D484" s="56" t="s">
        <v>2811</v>
      </c>
      <c r="E484" s="75" t="s">
        <v>1790</v>
      </c>
      <c r="F484" s="63" t="s">
        <v>6</v>
      </c>
      <c r="G484" s="56" t="s">
        <v>2818</v>
      </c>
      <c r="H484" s="56" t="s">
        <v>2819</v>
      </c>
    </row>
    <row r="485" spans="2:8" x14ac:dyDescent="0.3">
      <c r="B485" s="65">
        <v>45903</v>
      </c>
      <c r="C485" s="74">
        <v>45901</v>
      </c>
      <c r="D485" s="56" t="s">
        <v>2811</v>
      </c>
      <c r="E485" s="75" t="s">
        <v>1790</v>
      </c>
      <c r="F485" s="63" t="s">
        <v>6</v>
      </c>
      <c r="G485" s="56" t="s">
        <v>2870</v>
      </c>
      <c r="H485" s="56" t="s">
        <v>2870</v>
      </c>
    </row>
    <row r="486" spans="2:8" x14ac:dyDescent="0.3">
      <c r="B486" s="65">
        <v>45903</v>
      </c>
      <c r="C486" s="74">
        <v>45901</v>
      </c>
      <c r="D486" s="56" t="s">
        <v>2811</v>
      </c>
      <c r="E486" s="75" t="s">
        <v>1790</v>
      </c>
      <c r="F486" s="63" t="s">
        <v>6</v>
      </c>
      <c r="G486" s="56" t="s">
        <v>2899</v>
      </c>
      <c r="H486" s="56" t="s">
        <v>2900</v>
      </c>
    </row>
    <row r="487" spans="2:8" x14ac:dyDescent="0.3">
      <c r="B487" s="65">
        <v>45903</v>
      </c>
      <c r="C487" s="74">
        <v>45901</v>
      </c>
      <c r="D487" s="56" t="s">
        <v>2811</v>
      </c>
      <c r="E487" s="75" t="s">
        <v>1790</v>
      </c>
      <c r="F487" s="63" t="s">
        <v>6</v>
      </c>
      <c r="G487" s="56" t="s">
        <v>2814</v>
      </c>
      <c r="H487" s="56" t="s">
        <v>2815</v>
      </c>
    </row>
    <row r="488" spans="2:8" x14ac:dyDescent="0.3">
      <c r="B488" s="65">
        <v>45903</v>
      </c>
      <c r="C488" s="74">
        <v>45901</v>
      </c>
      <c r="D488" s="56" t="s">
        <v>2811</v>
      </c>
      <c r="E488" s="75" t="s">
        <v>1790</v>
      </c>
      <c r="F488" s="63" t="s">
        <v>6</v>
      </c>
      <c r="G488" s="56" t="s">
        <v>2816</v>
      </c>
      <c r="H488" s="56" t="s">
        <v>2817</v>
      </c>
    </row>
    <row r="489" spans="2:8" x14ac:dyDescent="0.3">
      <c r="B489" s="65">
        <v>45903</v>
      </c>
      <c r="C489" s="74">
        <v>45901</v>
      </c>
      <c r="D489" s="56" t="s">
        <v>2811</v>
      </c>
      <c r="E489" s="75" t="s">
        <v>1790</v>
      </c>
      <c r="F489" s="63" t="s">
        <v>6</v>
      </c>
      <c r="G489" s="56" t="s">
        <v>2818</v>
      </c>
      <c r="H489" s="56" t="s">
        <v>2819</v>
      </c>
    </row>
    <row r="490" spans="2:8" x14ac:dyDescent="0.3">
      <c r="B490" s="65">
        <v>45904</v>
      </c>
      <c r="C490" s="74">
        <v>45901</v>
      </c>
      <c r="D490" s="56" t="s">
        <v>2811</v>
      </c>
      <c r="E490" s="75" t="s">
        <v>1790</v>
      </c>
      <c r="F490" s="63" t="s">
        <v>6</v>
      </c>
      <c r="G490" s="56" t="s">
        <v>2870</v>
      </c>
      <c r="H490" s="56" t="s">
        <v>2870</v>
      </c>
    </row>
    <row r="491" spans="2:8" x14ac:dyDescent="0.3">
      <c r="B491" s="65">
        <v>45904</v>
      </c>
      <c r="C491" s="74">
        <v>45901</v>
      </c>
      <c r="D491" s="56" t="s">
        <v>2811</v>
      </c>
      <c r="E491" s="75" t="s">
        <v>1790</v>
      </c>
      <c r="F491" s="63" t="s">
        <v>6</v>
      </c>
      <c r="G491" s="56" t="s">
        <v>2899</v>
      </c>
      <c r="H491" s="56" t="s">
        <v>2900</v>
      </c>
    </row>
    <row r="492" spans="2:8" x14ac:dyDescent="0.3">
      <c r="B492" s="65">
        <v>45904</v>
      </c>
      <c r="C492" s="74">
        <v>45901</v>
      </c>
      <c r="D492" s="56" t="s">
        <v>2811</v>
      </c>
      <c r="E492" s="75" t="s">
        <v>1790</v>
      </c>
      <c r="F492" s="63" t="s">
        <v>6</v>
      </c>
      <c r="G492" s="56" t="s">
        <v>2814</v>
      </c>
      <c r="H492" s="56" t="s">
        <v>2815</v>
      </c>
    </row>
    <row r="493" spans="2:8" x14ac:dyDescent="0.3">
      <c r="B493" s="65">
        <v>45904</v>
      </c>
      <c r="C493" s="74">
        <v>45901</v>
      </c>
      <c r="D493" s="56" t="s">
        <v>2811</v>
      </c>
      <c r="E493" s="75" t="s">
        <v>1790</v>
      </c>
      <c r="F493" s="63" t="s">
        <v>6</v>
      </c>
      <c r="G493" s="56" t="s">
        <v>2816</v>
      </c>
      <c r="H493" s="56" t="s">
        <v>2817</v>
      </c>
    </row>
    <row r="494" spans="2:8" x14ac:dyDescent="0.3">
      <c r="B494" s="65">
        <v>45904</v>
      </c>
      <c r="C494" s="74">
        <v>45901</v>
      </c>
      <c r="D494" s="56" t="s">
        <v>2811</v>
      </c>
      <c r="E494" s="75" t="s">
        <v>1790</v>
      </c>
      <c r="F494" s="63" t="s">
        <v>6</v>
      </c>
      <c r="G494" s="56" t="s">
        <v>2818</v>
      </c>
      <c r="H494" s="56" t="s">
        <v>2819</v>
      </c>
    </row>
    <row r="495" spans="2:8" x14ac:dyDescent="0.3">
      <c r="B495" s="65">
        <v>45905</v>
      </c>
      <c r="C495" s="74">
        <v>45901</v>
      </c>
      <c r="D495" s="56" t="s">
        <v>2811</v>
      </c>
      <c r="E495" s="75" t="s">
        <v>1790</v>
      </c>
      <c r="F495" s="63" t="s">
        <v>6</v>
      </c>
      <c r="G495" s="56" t="s">
        <v>2870</v>
      </c>
      <c r="H495" s="56" t="s">
        <v>2870</v>
      </c>
    </row>
    <row r="496" spans="2:8" x14ac:dyDescent="0.3">
      <c r="B496" s="65">
        <v>45905</v>
      </c>
      <c r="C496" s="74">
        <v>45901</v>
      </c>
      <c r="D496" s="56" t="s">
        <v>2811</v>
      </c>
      <c r="E496" s="75" t="s">
        <v>1790</v>
      </c>
      <c r="F496" s="63" t="s">
        <v>6</v>
      </c>
      <c r="G496" s="56" t="s">
        <v>2899</v>
      </c>
      <c r="H496" s="56" t="s">
        <v>2900</v>
      </c>
    </row>
    <row r="497" spans="2:8" x14ac:dyDescent="0.3">
      <c r="B497" s="65">
        <v>45905</v>
      </c>
      <c r="C497" s="74">
        <v>45901</v>
      </c>
      <c r="D497" s="56" t="s">
        <v>2811</v>
      </c>
      <c r="E497" s="75" t="s">
        <v>1790</v>
      </c>
      <c r="F497" s="63" t="s">
        <v>6</v>
      </c>
      <c r="G497" s="56" t="s">
        <v>2814</v>
      </c>
      <c r="H497" s="56" t="s">
        <v>2815</v>
      </c>
    </row>
    <row r="498" spans="2:8" x14ac:dyDescent="0.3">
      <c r="B498" s="65">
        <v>45905</v>
      </c>
      <c r="C498" s="74">
        <v>45901</v>
      </c>
      <c r="D498" s="56" t="s">
        <v>2811</v>
      </c>
      <c r="E498" s="75" t="s">
        <v>1790</v>
      </c>
      <c r="F498" s="63" t="s">
        <v>6</v>
      </c>
      <c r="G498" s="56" t="s">
        <v>2816</v>
      </c>
      <c r="H498" s="56" t="s">
        <v>2817</v>
      </c>
    </row>
    <row r="499" spans="2:8" x14ac:dyDescent="0.3">
      <c r="B499" s="65">
        <v>45905</v>
      </c>
      <c r="C499" s="74">
        <v>45901</v>
      </c>
      <c r="D499" s="56" t="s">
        <v>2811</v>
      </c>
      <c r="E499" s="75" t="s">
        <v>1790</v>
      </c>
      <c r="F499" s="63" t="s">
        <v>6</v>
      </c>
      <c r="G499" s="56" t="s">
        <v>2818</v>
      </c>
      <c r="H499" s="56" t="s">
        <v>2819</v>
      </c>
    </row>
    <row r="500" spans="2:8" x14ac:dyDescent="0.3">
      <c r="B500" s="65">
        <v>45906</v>
      </c>
      <c r="C500" s="74">
        <v>45901</v>
      </c>
      <c r="D500" s="56" t="s">
        <v>2811</v>
      </c>
      <c r="E500" s="75" t="s">
        <v>1790</v>
      </c>
      <c r="F500" s="64" t="s">
        <v>4</v>
      </c>
      <c r="G500" s="56" t="s">
        <v>3011</v>
      </c>
      <c r="H500" s="56" t="s">
        <v>3011</v>
      </c>
    </row>
    <row r="501" spans="2:8" x14ac:dyDescent="0.3">
      <c r="B501" s="65">
        <v>45908</v>
      </c>
      <c r="C501" s="74">
        <v>45870</v>
      </c>
      <c r="D501" s="56" t="s">
        <v>2811</v>
      </c>
      <c r="E501" s="75" t="s">
        <v>1790</v>
      </c>
      <c r="F501" s="64" t="s">
        <v>4</v>
      </c>
      <c r="G501" s="56" t="s">
        <v>3012</v>
      </c>
      <c r="H501" s="56" t="s">
        <v>3012</v>
      </c>
    </row>
    <row r="502" spans="2:8" x14ac:dyDescent="0.3">
      <c r="B502" s="65">
        <v>45908</v>
      </c>
      <c r="C502" s="74">
        <v>45870</v>
      </c>
      <c r="D502" s="56" t="s">
        <v>2811</v>
      </c>
      <c r="E502" s="75" t="s">
        <v>1790</v>
      </c>
      <c r="F502" s="64" t="s">
        <v>4</v>
      </c>
      <c r="G502" s="56" t="s">
        <v>3013</v>
      </c>
      <c r="H502" s="56" t="s">
        <v>3013</v>
      </c>
    </row>
    <row r="503" spans="2:8" x14ac:dyDescent="0.3">
      <c r="B503" s="65">
        <v>45908</v>
      </c>
      <c r="C503" s="74">
        <v>45901</v>
      </c>
      <c r="D503" s="56" t="s">
        <v>2811</v>
      </c>
      <c r="E503" s="75" t="s">
        <v>1790</v>
      </c>
      <c r="F503" s="63" t="s">
        <v>6</v>
      </c>
      <c r="G503" s="56" t="s">
        <v>2870</v>
      </c>
      <c r="H503" s="56" t="s">
        <v>2870</v>
      </c>
    </row>
    <row r="504" spans="2:8" x14ac:dyDescent="0.3">
      <c r="B504" s="65">
        <v>45908</v>
      </c>
      <c r="C504" s="74">
        <v>45901</v>
      </c>
      <c r="D504" s="56" t="s">
        <v>2811</v>
      </c>
      <c r="E504" s="75" t="s">
        <v>1790</v>
      </c>
      <c r="F504" s="63" t="s">
        <v>6</v>
      </c>
      <c r="G504" s="56" t="s">
        <v>2899</v>
      </c>
      <c r="H504" s="56" t="s">
        <v>2900</v>
      </c>
    </row>
    <row r="505" spans="2:8" x14ac:dyDescent="0.3">
      <c r="B505" s="65">
        <v>45908</v>
      </c>
      <c r="C505" s="74">
        <v>45901</v>
      </c>
      <c r="D505" s="56" t="s">
        <v>2811</v>
      </c>
      <c r="E505" s="75" t="s">
        <v>1790</v>
      </c>
      <c r="F505" s="63" t="s">
        <v>6</v>
      </c>
      <c r="G505" s="56" t="s">
        <v>2814</v>
      </c>
      <c r="H505" s="56" t="s">
        <v>2815</v>
      </c>
    </row>
    <row r="506" spans="2:8" x14ac:dyDescent="0.3">
      <c r="B506" s="65">
        <v>45908</v>
      </c>
      <c r="C506" s="74">
        <v>45901</v>
      </c>
      <c r="D506" s="56" t="s">
        <v>2811</v>
      </c>
      <c r="E506" s="75" t="s">
        <v>1790</v>
      </c>
      <c r="F506" s="63" t="s">
        <v>6</v>
      </c>
      <c r="G506" s="56" t="s">
        <v>2816</v>
      </c>
      <c r="H506" s="56" t="s">
        <v>2817</v>
      </c>
    </row>
    <row r="507" spans="2:8" x14ac:dyDescent="0.3">
      <c r="B507" s="65">
        <v>45908</v>
      </c>
      <c r="C507" s="74">
        <v>45901</v>
      </c>
      <c r="D507" s="56" t="s">
        <v>2811</v>
      </c>
      <c r="E507" s="75" t="s">
        <v>1790</v>
      </c>
      <c r="F507" s="63" t="s">
        <v>6</v>
      </c>
      <c r="G507" s="56" t="s">
        <v>2818</v>
      </c>
      <c r="H507" s="56" t="s">
        <v>2819</v>
      </c>
    </row>
    <row r="508" spans="2:8" x14ac:dyDescent="0.3">
      <c r="B508" s="65">
        <v>45909</v>
      </c>
      <c r="C508" s="74">
        <v>45901</v>
      </c>
      <c r="D508" s="56" t="s">
        <v>2811</v>
      </c>
      <c r="E508" s="75" t="s">
        <v>1790</v>
      </c>
      <c r="F508" s="63" t="s">
        <v>6</v>
      </c>
      <c r="G508" s="56" t="s">
        <v>2870</v>
      </c>
      <c r="H508" s="56" t="s">
        <v>2870</v>
      </c>
    </row>
    <row r="509" spans="2:8" x14ac:dyDescent="0.3">
      <c r="B509" s="65">
        <v>45909</v>
      </c>
      <c r="C509" s="74">
        <v>45901</v>
      </c>
      <c r="D509" s="56" t="s">
        <v>2811</v>
      </c>
      <c r="E509" s="75" t="s">
        <v>1790</v>
      </c>
      <c r="F509" s="63" t="s">
        <v>6</v>
      </c>
      <c r="G509" s="56" t="s">
        <v>2899</v>
      </c>
      <c r="H509" s="56" t="s">
        <v>2900</v>
      </c>
    </row>
    <row r="510" spans="2:8" x14ac:dyDescent="0.3">
      <c r="B510" s="65">
        <v>45909</v>
      </c>
      <c r="C510" s="74">
        <v>45901</v>
      </c>
      <c r="D510" s="56" t="s">
        <v>2811</v>
      </c>
      <c r="E510" s="75" t="s">
        <v>1790</v>
      </c>
      <c r="F510" s="63" t="s">
        <v>6</v>
      </c>
      <c r="G510" s="56" t="s">
        <v>2814</v>
      </c>
      <c r="H510" s="56" t="s">
        <v>2815</v>
      </c>
    </row>
    <row r="511" spans="2:8" x14ac:dyDescent="0.3">
      <c r="B511" s="65">
        <v>45909</v>
      </c>
      <c r="C511" s="74">
        <v>45901</v>
      </c>
      <c r="D511" s="56" t="s">
        <v>2811</v>
      </c>
      <c r="E511" s="75" t="s">
        <v>1790</v>
      </c>
      <c r="F511" s="63" t="s">
        <v>6</v>
      </c>
      <c r="G511" s="56" t="s">
        <v>2816</v>
      </c>
      <c r="H511" s="56" t="s">
        <v>2817</v>
      </c>
    </row>
    <row r="512" spans="2:8" x14ac:dyDescent="0.3">
      <c r="B512" s="65">
        <v>45909</v>
      </c>
      <c r="C512" s="74">
        <v>45901</v>
      </c>
      <c r="D512" s="56" t="s">
        <v>2811</v>
      </c>
      <c r="E512" s="75" t="s">
        <v>1790</v>
      </c>
      <c r="F512" s="63" t="s">
        <v>6</v>
      </c>
      <c r="G512" s="56" t="s">
        <v>2818</v>
      </c>
      <c r="H512" s="56" t="s">
        <v>2819</v>
      </c>
    </row>
    <row r="513" spans="2:8" x14ac:dyDescent="0.3">
      <c r="B513" s="65">
        <v>45910</v>
      </c>
      <c r="C513" s="74">
        <v>45901</v>
      </c>
      <c r="D513" s="56" t="s">
        <v>2811</v>
      </c>
      <c r="E513" s="75" t="s">
        <v>1790</v>
      </c>
      <c r="F513" s="63" t="s">
        <v>6</v>
      </c>
      <c r="G513" s="56" t="s">
        <v>2870</v>
      </c>
      <c r="H513" s="56" t="s">
        <v>2870</v>
      </c>
    </row>
    <row r="514" spans="2:8" x14ac:dyDescent="0.3">
      <c r="B514" s="65">
        <v>45910</v>
      </c>
      <c r="C514" s="74">
        <v>45901</v>
      </c>
      <c r="D514" s="56" t="s">
        <v>2811</v>
      </c>
      <c r="E514" s="75" t="s">
        <v>1790</v>
      </c>
      <c r="F514" s="63" t="s">
        <v>6</v>
      </c>
      <c r="G514" s="56" t="s">
        <v>2899</v>
      </c>
      <c r="H514" s="56" t="s">
        <v>2900</v>
      </c>
    </row>
    <row r="515" spans="2:8" x14ac:dyDescent="0.3">
      <c r="B515" s="65">
        <v>45910</v>
      </c>
      <c r="C515" s="74">
        <v>45901</v>
      </c>
      <c r="D515" s="56" t="s">
        <v>2811</v>
      </c>
      <c r="E515" s="75" t="s">
        <v>1790</v>
      </c>
      <c r="F515" s="63" t="s">
        <v>6</v>
      </c>
      <c r="G515" s="56" t="s">
        <v>2814</v>
      </c>
      <c r="H515" s="56" t="s">
        <v>2815</v>
      </c>
    </row>
    <row r="516" spans="2:8" x14ac:dyDescent="0.3">
      <c r="B516" s="65">
        <v>45910</v>
      </c>
      <c r="C516" s="74">
        <v>45901</v>
      </c>
      <c r="D516" s="56" t="s">
        <v>2811</v>
      </c>
      <c r="E516" s="75" t="s">
        <v>1790</v>
      </c>
      <c r="F516" s="63" t="s">
        <v>6</v>
      </c>
      <c r="G516" s="56" t="s">
        <v>2816</v>
      </c>
      <c r="H516" s="56" t="s">
        <v>2817</v>
      </c>
    </row>
    <row r="517" spans="2:8" x14ac:dyDescent="0.3">
      <c r="B517" s="65">
        <v>45910</v>
      </c>
      <c r="C517" s="74">
        <v>45901</v>
      </c>
      <c r="D517" s="56" t="s">
        <v>2811</v>
      </c>
      <c r="E517" s="75" t="s">
        <v>1790</v>
      </c>
      <c r="F517" s="63" t="s">
        <v>6</v>
      </c>
      <c r="G517" s="56" t="s">
        <v>2818</v>
      </c>
      <c r="H517" s="56" t="s">
        <v>2819</v>
      </c>
    </row>
    <row r="518" spans="2:8" x14ac:dyDescent="0.3">
      <c r="B518" s="65">
        <v>45911</v>
      </c>
      <c r="C518" s="74">
        <v>45901</v>
      </c>
      <c r="D518" s="56" t="s">
        <v>2811</v>
      </c>
      <c r="E518" s="75" t="s">
        <v>1790</v>
      </c>
      <c r="F518" s="64" t="s">
        <v>4</v>
      </c>
      <c r="G518" s="56" t="s">
        <v>3014</v>
      </c>
      <c r="H518" s="56" t="s">
        <v>3014</v>
      </c>
    </row>
    <row r="519" spans="2:8" x14ac:dyDescent="0.3">
      <c r="B519" s="65">
        <v>45911</v>
      </c>
      <c r="C519" s="74">
        <v>45901</v>
      </c>
      <c r="D519" s="56" t="s">
        <v>2811</v>
      </c>
      <c r="E519" s="75" t="s">
        <v>1790</v>
      </c>
      <c r="F519" s="63" t="s">
        <v>6</v>
      </c>
      <c r="G519" s="56" t="s">
        <v>2870</v>
      </c>
      <c r="H519" s="56" t="s">
        <v>2870</v>
      </c>
    </row>
    <row r="520" spans="2:8" x14ac:dyDescent="0.3">
      <c r="B520" s="65">
        <v>45911</v>
      </c>
      <c r="C520" s="74">
        <v>45901</v>
      </c>
      <c r="D520" s="56" t="s">
        <v>2811</v>
      </c>
      <c r="E520" s="75" t="s">
        <v>1790</v>
      </c>
      <c r="F520" s="63" t="s">
        <v>6</v>
      </c>
      <c r="G520" s="56" t="s">
        <v>2899</v>
      </c>
      <c r="H520" s="56" t="s">
        <v>2900</v>
      </c>
    </row>
    <row r="521" spans="2:8" x14ac:dyDescent="0.3">
      <c r="B521" s="65">
        <v>45911</v>
      </c>
      <c r="C521" s="74">
        <v>45901</v>
      </c>
      <c r="D521" s="56" t="s">
        <v>2811</v>
      </c>
      <c r="E521" s="75" t="s">
        <v>1790</v>
      </c>
      <c r="F521" s="63" t="s">
        <v>6</v>
      </c>
      <c r="G521" s="56" t="s">
        <v>2814</v>
      </c>
      <c r="H521" s="56" t="s">
        <v>2815</v>
      </c>
    </row>
    <row r="522" spans="2:8" x14ac:dyDescent="0.3">
      <c r="B522" s="65">
        <v>45911</v>
      </c>
      <c r="C522" s="74">
        <v>45901</v>
      </c>
      <c r="D522" s="56" t="s">
        <v>2811</v>
      </c>
      <c r="E522" s="75" t="s">
        <v>1790</v>
      </c>
      <c r="F522" s="63" t="s">
        <v>6</v>
      </c>
      <c r="G522" s="56" t="s">
        <v>2816</v>
      </c>
      <c r="H522" s="56" t="s">
        <v>2817</v>
      </c>
    </row>
    <row r="523" spans="2:8" x14ac:dyDescent="0.3">
      <c r="B523" s="65">
        <v>45911</v>
      </c>
      <c r="C523" s="74">
        <v>45901</v>
      </c>
      <c r="D523" s="56" t="s">
        <v>2811</v>
      </c>
      <c r="E523" s="75" t="s">
        <v>1790</v>
      </c>
      <c r="F523" s="63" t="s">
        <v>6</v>
      </c>
      <c r="G523" s="56" t="s">
        <v>2818</v>
      </c>
      <c r="H523" s="56" t="s">
        <v>2819</v>
      </c>
    </row>
    <row r="524" spans="2:8" x14ac:dyDescent="0.3">
      <c r="B524" s="65">
        <v>45912</v>
      </c>
      <c r="C524" s="74">
        <v>45901</v>
      </c>
      <c r="D524" s="56" t="s">
        <v>2811</v>
      </c>
      <c r="E524" s="75" t="s">
        <v>1790</v>
      </c>
      <c r="F524" s="63" t="s">
        <v>6</v>
      </c>
      <c r="G524" s="56" t="s">
        <v>2870</v>
      </c>
      <c r="H524" s="56" t="s">
        <v>2870</v>
      </c>
    </row>
    <row r="525" spans="2:8" x14ac:dyDescent="0.3">
      <c r="B525" s="65">
        <v>45912</v>
      </c>
      <c r="C525" s="74">
        <v>45901</v>
      </c>
      <c r="D525" s="56" t="s">
        <v>2811</v>
      </c>
      <c r="E525" s="75" t="s">
        <v>1790</v>
      </c>
      <c r="F525" s="63" t="s">
        <v>6</v>
      </c>
      <c r="G525" s="56" t="s">
        <v>2899</v>
      </c>
      <c r="H525" s="56" t="s">
        <v>2900</v>
      </c>
    </row>
    <row r="526" spans="2:8" x14ac:dyDescent="0.3">
      <c r="B526" s="65">
        <v>45912</v>
      </c>
      <c r="C526" s="74">
        <v>45901</v>
      </c>
      <c r="D526" s="56" t="s">
        <v>2811</v>
      </c>
      <c r="E526" s="75" t="s">
        <v>1790</v>
      </c>
      <c r="F526" s="63" t="s">
        <v>6</v>
      </c>
      <c r="G526" s="56" t="s">
        <v>2814</v>
      </c>
      <c r="H526" s="56" t="s">
        <v>2815</v>
      </c>
    </row>
    <row r="527" spans="2:8" x14ac:dyDescent="0.3">
      <c r="B527" s="65">
        <v>45912</v>
      </c>
      <c r="C527" s="74">
        <v>45901</v>
      </c>
      <c r="D527" s="56" t="s">
        <v>2811</v>
      </c>
      <c r="E527" s="75" t="s">
        <v>1790</v>
      </c>
      <c r="F527" s="63" t="s">
        <v>6</v>
      </c>
      <c r="G527" s="56" t="s">
        <v>2816</v>
      </c>
      <c r="H527" s="56" t="s">
        <v>2817</v>
      </c>
    </row>
    <row r="528" spans="2:8" x14ac:dyDescent="0.3">
      <c r="B528" s="65">
        <v>45912</v>
      </c>
      <c r="C528" s="74">
        <v>45901</v>
      </c>
      <c r="D528" s="56" t="s">
        <v>2811</v>
      </c>
      <c r="E528" s="75" t="s">
        <v>1790</v>
      </c>
      <c r="F528" s="63" t="s">
        <v>6</v>
      </c>
      <c r="G528" s="56" t="s">
        <v>2818</v>
      </c>
      <c r="H528" s="56" t="s">
        <v>2819</v>
      </c>
    </row>
    <row r="529" spans="2:8" x14ac:dyDescent="0.3">
      <c r="B529" s="65">
        <v>45915</v>
      </c>
      <c r="C529" s="74">
        <v>45901</v>
      </c>
      <c r="D529" s="56" t="s">
        <v>2811</v>
      </c>
      <c r="E529" s="75" t="s">
        <v>1790</v>
      </c>
      <c r="F529" s="64" t="s">
        <v>4</v>
      </c>
      <c r="G529" s="56" t="s">
        <v>3015</v>
      </c>
      <c r="H529" s="56" t="s">
        <v>3015</v>
      </c>
    </row>
    <row r="530" spans="2:8" x14ac:dyDescent="0.3">
      <c r="B530" s="65">
        <v>45915</v>
      </c>
      <c r="C530" s="74">
        <v>45901</v>
      </c>
      <c r="D530" s="56" t="s">
        <v>2811</v>
      </c>
      <c r="E530" s="75" t="s">
        <v>1790</v>
      </c>
      <c r="F530" s="63" t="s">
        <v>6</v>
      </c>
      <c r="G530" s="56" t="s">
        <v>2870</v>
      </c>
      <c r="H530" s="56" t="s">
        <v>2870</v>
      </c>
    </row>
    <row r="531" spans="2:8" x14ac:dyDescent="0.3">
      <c r="B531" s="65">
        <v>45915</v>
      </c>
      <c r="C531" s="74">
        <v>45901</v>
      </c>
      <c r="D531" s="56" t="s">
        <v>2811</v>
      </c>
      <c r="E531" s="75" t="s">
        <v>1790</v>
      </c>
      <c r="F531" s="63" t="s">
        <v>6</v>
      </c>
      <c r="G531" s="56" t="s">
        <v>2899</v>
      </c>
      <c r="H531" s="56" t="s">
        <v>2900</v>
      </c>
    </row>
    <row r="532" spans="2:8" x14ac:dyDescent="0.3">
      <c r="B532" s="65">
        <v>45915</v>
      </c>
      <c r="C532" s="74">
        <v>45901</v>
      </c>
      <c r="D532" s="56" t="s">
        <v>2811</v>
      </c>
      <c r="E532" s="75" t="s">
        <v>1790</v>
      </c>
      <c r="F532" s="63" t="s">
        <v>6</v>
      </c>
      <c r="G532" s="56" t="s">
        <v>2814</v>
      </c>
      <c r="H532" s="56" t="s">
        <v>2815</v>
      </c>
    </row>
    <row r="533" spans="2:8" x14ac:dyDescent="0.3">
      <c r="B533" s="65">
        <v>45915</v>
      </c>
      <c r="C533" s="74">
        <v>45901</v>
      </c>
      <c r="D533" s="56" t="s">
        <v>2811</v>
      </c>
      <c r="E533" s="75" t="s">
        <v>1790</v>
      </c>
      <c r="F533" s="63" t="s">
        <v>6</v>
      </c>
      <c r="G533" s="56" t="s">
        <v>2816</v>
      </c>
      <c r="H533" s="56" t="s">
        <v>2817</v>
      </c>
    </row>
    <row r="534" spans="2:8" x14ac:dyDescent="0.3">
      <c r="B534" s="65">
        <v>45915</v>
      </c>
      <c r="C534" s="74">
        <v>45901</v>
      </c>
      <c r="D534" s="56" t="s">
        <v>2811</v>
      </c>
      <c r="E534" s="75" t="s">
        <v>1790</v>
      </c>
      <c r="F534" s="63" t="s">
        <v>6</v>
      </c>
      <c r="G534" s="56" t="s">
        <v>2818</v>
      </c>
      <c r="H534" s="56" t="s">
        <v>2819</v>
      </c>
    </row>
    <row r="535" spans="2:8" x14ac:dyDescent="0.3">
      <c r="B535" s="65">
        <v>45916</v>
      </c>
      <c r="C535" s="74">
        <v>45901</v>
      </c>
      <c r="D535" s="56" t="s">
        <v>2811</v>
      </c>
      <c r="E535" s="75" t="s">
        <v>1790</v>
      </c>
      <c r="F535" s="64" t="s">
        <v>4</v>
      </c>
      <c r="G535" s="56" t="s">
        <v>3016</v>
      </c>
      <c r="H535" s="56" t="s">
        <v>3016</v>
      </c>
    </row>
    <row r="536" spans="2:8" x14ac:dyDescent="0.3">
      <c r="B536" s="65">
        <v>45916</v>
      </c>
      <c r="C536" s="74">
        <v>45901</v>
      </c>
      <c r="D536" s="56" t="s">
        <v>2811</v>
      </c>
      <c r="E536" s="75" t="s">
        <v>1790</v>
      </c>
      <c r="F536" s="64" t="s">
        <v>4</v>
      </c>
      <c r="G536" s="56" t="s">
        <v>3017</v>
      </c>
      <c r="H536" s="56" t="s">
        <v>3017</v>
      </c>
    </row>
    <row r="537" spans="2:8" x14ac:dyDescent="0.3">
      <c r="B537" s="65">
        <v>45916</v>
      </c>
      <c r="C537" s="74">
        <v>45901</v>
      </c>
      <c r="D537" s="56" t="s">
        <v>2811</v>
      </c>
      <c r="E537" s="75" t="s">
        <v>1790</v>
      </c>
      <c r="F537" s="63" t="s">
        <v>6</v>
      </c>
      <c r="G537" s="56" t="s">
        <v>2870</v>
      </c>
      <c r="H537" s="56" t="s">
        <v>2870</v>
      </c>
    </row>
    <row r="538" spans="2:8" x14ac:dyDescent="0.3">
      <c r="B538" s="65">
        <v>45916</v>
      </c>
      <c r="C538" s="74">
        <v>45901</v>
      </c>
      <c r="D538" s="56" t="s">
        <v>2811</v>
      </c>
      <c r="E538" s="75" t="s">
        <v>1790</v>
      </c>
      <c r="F538" s="63" t="s">
        <v>6</v>
      </c>
      <c r="G538" s="56" t="s">
        <v>2899</v>
      </c>
      <c r="H538" s="56" t="s">
        <v>2900</v>
      </c>
    </row>
    <row r="539" spans="2:8" x14ac:dyDescent="0.3">
      <c r="B539" s="65">
        <v>45916</v>
      </c>
      <c r="C539" s="74">
        <v>45901</v>
      </c>
      <c r="D539" s="56" t="s">
        <v>2811</v>
      </c>
      <c r="E539" s="75" t="s">
        <v>1790</v>
      </c>
      <c r="F539" s="63" t="s">
        <v>6</v>
      </c>
      <c r="G539" s="56" t="s">
        <v>2814</v>
      </c>
      <c r="H539" s="56" t="s">
        <v>2815</v>
      </c>
    </row>
    <row r="540" spans="2:8" x14ac:dyDescent="0.3">
      <c r="B540" s="65">
        <v>45916</v>
      </c>
      <c r="C540" s="74">
        <v>45901</v>
      </c>
      <c r="D540" s="56" t="s">
        <v>2811</v>
      </c>
      <c r="E540" s="75" t="s">
        <v>1790</v>
      </c>
      <c r="F540" s="63" t="s">
        <v>6</v>
      </c>
      <c r="G540" s="56" t="s">
        <v>2816</v>
      </c>
      <c r="H540" s="56" t="s">
        <v>2817</v>
      </c>
    </row>
    <row r="541" spans="2:8" x14ac:dyDescent="0.3">
      <c r="B541" s="65">
        <v>45916</v>
      </c>
      <c r="C541" s="74">
        <v>45901</v>
      </c>
      <c r="D541" s="56" t="s">
        <v>2811</v>
      </c>
      <c r="E541" s="75" t="s">
        <v>1790</v>
      </c>
      <c r="F541" s="63" t="s">
        <v>6</v>
      </c>
      <c r="G541" s="56" t="s">
        <v>2818</v>
      </c>
      <c r="H541" s="56" t="s">
        <v>2819</v>
      </c>
    </row>
    <row r="542" spans="2:8" x14ac:dyDescent="0.3">
      <c r="B542" s="65">
        <v>45917</v>
      </c>
      <c r="C542" s="74">
        <v>45901</v>
      </c>
      <c r="D542" s="56" t="s">
        <v>2811</v>
      </c>
      <c r="E542" s="75" t="s">
        <v>1790</v>
      </c>
      <c r="F542" s="63" t="s">
        <v>6</v>
      </c>
      <c r="G542" s="56" t="s">
        <v>2870</v>
      </c>
      <c r="H542" s="56" t="s">
        <v>2870</v>
      </c>
    </row>
    <row r="543" spans="2:8" x14ac:dyDescent="0.3">
      <c r="B543" s="65">
        <v>45917</v>
      </c>
      <c r="C543" s="74">
        <v>45901</v>
      </c>
      <c r="D543" s="56" t="s">
        <v>2811</v>
      </c>
      <c r="E543" s="75" t="s">
        <v>1790</v>
      </c>
      <c r="F543" s="63" t="s">
        <v>6</v>
      </c>
      <c r="G543" s="56" t="s">
        <v>2899</v>
      </c>
      <c r="H543" s="56" t="s">
        <v>2900</v>
      </c>
    </row>
    <row r="544" spans="2:8" x14ac:dyDescent="0.3">
      <c r="B544" s="65">
        <v>45917</v>
      </c>
      <c r="C544" s="74">
        <v>45901</v>
      </c>
      <c r="D544" s="56" t="s">
        <v>2811</v>
      </c>
      <c r="E544" s="75" t="s">
        <v>1790</v>
      </c>
      <c r="F544" s="63" t="s">
        <v>6</v>
      </c>
      <c r="G544" s="56" t="s">
        <v>2814</v>
      </c>
      <c r="H544" s="56" t="s">
        <v>2815</v>
      </c>
    </row>
    <row r="545" spans="2:8" x14ac:dyDescent="0.3">
      <c r="B545" s="65">
        <v>45917</v>
      </c>
      <c r="C545" s="74">
        <v>45901</v>
      </c>
      <c r="D545" s="56" t="s">
        <v>2811</v>
      </c>
      <c r="E545" s="75" t="s">
        <v>1790</v>
      </c>
      <c r="F545" s="63" t="s">
        <v>6</v>
      </c>
      <c r="G545" s="56" t="s">
        <v>2816</v>
      </c>
      <c r="H545" s="56" t="s">
        <v>2817</v>
      </c>
    </row>
    <row r="546" spans="2:8" x14ac:dyDescent="0.3">
      <c r="B546" s="65">
        <v>45917</v>
      </c>
      <c r="C546" s="74">
        <v>45901</v>
      </c>
      <c r="D546" s="56" t="s">
        <v>2811</v>
      </c>
      <c r="E546" s="75" t="s">
        <v>1790</v>
      </c>
      <c r="F546" s="63" t="s">
        <v>6</v>
      </c>
      <c r="G546" s="56" t="s">
        <v>2818</v>
      </c>
      <c r="H546" s="56" t="s">
        <v>2819</v>
      </c>
    </row>
    <row r="547" spans="2:8" x14ac:dyDescent="0.3">
      <c r="B547" s="65">
        <v>45922</v>
      </c>
      <c r="C547" s="74">
        <v>45901</v>
      </c>
      <c r="D547" s="56" t="s">
        <v>2811</v>
      </c>
      <c r="E547" s="75" t="s">
        <v>1790</v>
      </c>
      <c r="F547" s="64" t="s">
        <v>4</v>
      </c>
      <c r="G547" s="56" t="s">
        <v>3018</v>
      </c>
      <c r="H547" s="56" t="s">
        <v>3018</v>
      </c>
    </row>
    <row r="548" spans="2:8" x14ac:dyDescent="0.3">
      <c r="B548" s="65">
        <v>45922</v>
      </c>
      <c r="C548" s="74">
        <v>45901</v>
      </c>
      <c r="D548" s="56" t="s">
        <v>2811</v>
      </c>
      <c r="E548" s="75" t="s">
        <v>1790</v>
      </c>
      <c r="F548" s="64" t="s">
        <v>4</v>
      </c>
      <c r="G548" s="56" t="s">
        <v>3019</v>
      </c>
      <c r="H548" s="56" t="s">
        <v>3019</v>
      </c>
    </row>
    <row r="549" spans="2:8" x14ac:dyDescent="0.3">
      <c r="B549" s="65">
        <v>45922</v>
      </c>
      <c r="C549" s="74">
        <v>45901</v>
      </c>
      <c r="D549" s="56" t="s">
        <v>2811</v>
      </c>
      <c r="E549" s="75" t="s">
        <v>1790</v>
      </c>
      <c r="F549" s="63" t="s">
        <v>6</v>
      </c>
      <c r="G549" s="56" t="s">
        <v>2870</v>
      </c>
      <c r="H549" s="56" t="s">
        <v>2870</v>
      </c>
    </row>
    <row r="550" spans="2:8" x14ac:dyDescent="0.3">
      <c r="B550" s="65">
        <v>45922</v>
      </c>
      <c r="C550" s="74">
        <v>45901</v>
      </c>
      <c r="D550" s="56" t="s">
        <v>2811</v>
      </c>
      <c r="E550" s="75" t="s">
        <v>1790</v>
      </c>
      <c r="F550" s="63" t="s">
        <v>6</v>
      </c>
      <c r="G550" s="56" t="s">
        <v>2899</v>
      </c>
      <c r="H550" s="56" t="s">
        <v>2900</v>
      </c>
    </row>
    <row r="551" spans="2:8" x14ac:dyDescent="0.3">
      <c r="B551" s="65">
        <v>45922</v>
      </c>
      <c r="C551" s="74">
        <v>45901</v>
      </c>
      <c r="D551" s="56" t="s">
        <v>2811</v>
      </c>
      <c r="E551" s="75" t="s">
        <v>1790</v>
      </c>
      <c r="F551" s="63" t="s">
        <v>6</v>
      </c>
      <c r="G551" s="56" t="s">
        <v>2814</v>
      </c>
      <c r="H551" s="56" t="s">
        <v>2815</v>
      </c>
    </row>
    <row r="552" spans="2:8" x14ac:dyDescent="0.3">
      <c r="B552" s="65">
        <v>45922</v>
      </c>
      <c r="C552" s="74">
        <v>45901</v>
      </c>
      <c r="D552" s="56" t="s">
        <v>2811</v>
      </c>
      <c r="E552" s="75" t="s">
        <v>1790</v>
      </c>
      <c r="F552" s="63" t="s">
        <v>6</v>
      </c>
      <c r="G552" s="56" t="s">
        <v>2816</v>
      </c>
      <c r="H552" s="56" t="s">
        <v>2817</v>
      </c>
    </row>
    <row r="553" spans="2:8" x14ac:dyDescent="0.3">
      <c r="B553" s="65">
        <v>45922</v>
      </c>
      <c r="C553" s="74">
        <v>45901</v>
      </c>
      <c r="D553" s="56" t="s">
        <v>2811</v>
      </c>
      <c r="E553" s="75" t="s">
        <v>1790</v>
      </c>
      <c r="F553" s="63" t="s">
        <v>6</v>
      </c>
      <c r="G553" s="56" t="s">
        <v>2818</v>
      </c>
      <c r="H553" s="56" t="s">
        <v>2819</v>
      </c>
    </row>
    <row r="554" spans="2:8" x14ac:dyDescent="0.3">
      <c r="B554" s="65">
        <v>45923</v>
      </c>
      <c r="C554" s="74">
        <v>45901</v>
      </c>
      <c r="D554" s="56" t="s">
        <v>2811</v>
      </c>
      <c r="E554" s="75" t="s">
        <v>1790</v>
      </c>
      <c r="F554" s="63" t="s">
        <v>6</v>
      </c>
      <c r="G554" s="56" t="s">
        <v>2870</v>
      </c>
      <c r="H554" s="56" t="s">
        <v>2870</v>
      </c>
    </row>
    <row r="555" spans="2:8" x14ac:dyDescent="0.3">
      <c r="B555" s="65">
        <v>45923</v>
      </c>
      <c r="C555" s="74">
        <v>45901</v>
      </c>
      <c r="D555" s="56" t="s">
        <v>2811</v>
      </c>
      <c r="E555" s="75" t="s">
        <v>1790</v>
      </c>
      <c r="F555" s="63" t="s">
        <v>6</v>
      </c>
      <c r="G555" s="56" t="s">
        <v>2899</v>
      </c>
      <c r="H555" s="56" t="s">
        <v>2900</v>
      </c>
    </row>
    <row r="556" spans="2:8" x14ac:dyDescent="0.3">
      <c r="B556" s="65">
        <v>45923</v>
      </c>
      <c r="C556" s="74">
        <v>45901</v>
      </c>
      <c r="D556" s="56" t="s">
        <v>2811</v>
      </c>
      <c r="E556" s="75" t="s">
        <v>1790</v>
      </c>
      <c r="F556" s="63" t="s">
        <v>6</v>
      </c>
      <c r="G556" s="56" t="s">
        <v>2814</v>
      </c>
      <c r="H556" s="56" t="s">
        <v>2815</v>
      </c>
    </row>
    <row r="557" spans="2:8" x14ac:dyDescent="0.3">
      <c r="B557" s="65">
        <v>45923</v>
      </c>
      <c r="C557" s="74">
        <v>45901</v>
      </c>
      <c r="D557" s="56" t="s">
        <v>2811</v>
      </c>
      <c r="E557" s="75" t="s">
        <v>1790</v>
      </c>
      <c r="F557" s="63" t="s">
        <v>6</v>
      </c>
      <c r="G557" s="56" t="s">
        <v>2816</v>
      </c>
      <c r="H557" s="56" t="s">
        <v>2817</v>
      </c>
    </row>
    <row r="558" spans="2:8" x14ac:dyDescent="0.3">
      <c r="B558" s="65">
        <v>45923</v>
      </c>
      <c r="C558" s="74">
        <v>45901</v>
      </c>
      <c r="D558" s="56" t="s">
        <v>2811</v>
      </c>
      <c r="E558" s="75" t="s">
        <v>1790</v>
      </c>
      <c r="F558" s="63" t="s">
        <v>6</v>
      </c>
      <c r="G558" s="56" t="s">
        <v>2818</v>
      </c>
      <c r="H558" s="56" t="s">
        <v>2819</v>
      </c>
    </row>
    <row r="559" spans="2:8" x14ac:dyDescent="0.3">
      <c r="B559" s="65">
        <v>45924</v>
      </c>
      <c r="C559" s="74">
        <v>45901</v>
      </c>
      <c r="D559" s="56" t="s">
        <v>2811</v>
      </c>
      <c r="E559" s="75" t="s">
        <v>1790</v>
      </c>
      <c r="F559" s="64" t="s">
        <v>4</v>
      </c>
      <c r="G559" s="56" t="s">
        <v>3020</v>
      </c>
      <c r="H559" s="56" t="s">
        <v>3020</v>
      </c>
    </row>
    <row r="560" spans="2:8" x14ac:dyDescent="0.3">
      <c r="B560" s="65">
        <v>45924</v>
      </c>
      <c r="C560" s="74">
        <v>45901</v>
      </c>
      <c r="D560" s="56" t="s">
        <v>2811</v>
      </c>
      <c r="E560" s="75" t="s">
        <v>1790</v>
      </c>
      <c r="F560" s="63" t="s">
        <v>6</v>
      </c>
      <c r="G560" s="56" t="s">
        <v>2870</v>
      </c>
      <c r="H560" s="56" t="s">
        <v>2870</v>
      </c>
    </row>
    <row r="561" spans="2:8" x14ac:dyDescent="0.3">
      <c r="B561" s="65">
        <v>45924</v>
      </c>
      <c r="C561" s="74">
        <v>45901</v>
      </c>
      <c r="D561" s="56" t="s">
        <v>2811</v>
      </c>
      <c r="E561" s="75" t="s">
        <v>1790</v>
      </c>
      <c r="F561" s="63" t="s">
        <v>6</v>
      </c>
      <c r="G561" s="56" t="s">
        <v>2899</v>
      </c>
      <c r="H561" s="56" t="s">
        <v>2900</v>
      </c>
    </row>
    <row r="562" spans="2:8" x14ac:dyDescent="0.3">
      <c r="B562" s="65">
        <v>45924</v>
      </c>
      <c r="C562" s="74">
        <v>45901</v>
      </c>
      <c r="D562" s="56" t="s">
        <v>2811</v>
      </c>
      <c r="E562" s="75" t="s">
        <v>1790</v>
      </c>
      <c r="F562" s="63" t="s">
        <v>6</v>
      </c>
      <c r="G562" s="56" t="s">
        <v>2814</v>
      </c>
      <c r="H562" s="56" t="s">
        <v>2815</v>
      </c>
    </row>
    <row r="563" spans="2:8" x14ac:dyDescent="0.3">
      <c r="B563" s="65">
        <v>45924</v>
      </c>
      <c r="C563" s="74">
        <v>45901</v>
      </c>
      <c r="D563" s="56" t="s">
        <v>2811</v>
      </c>
      <c r="E563" s="75" t="s">
        <v>1790</v>
      </c>
      <c r="F563" s="63" t="s">
        <v>6</v>
      </c>
      <c r="G563" s="56" t="s">
        <v>2816</v>
      </c>
      <c r="H563" s="56" t="s">
        <v>2817</v>
      </c>
    </row>
    <row r="564" spans="2:8" x14ac:dyDescent="0.3">
      <c r="B564" s="65">
        <v>45924</v>
      </c>
      <c r="C564" s="74">
        <v>45901</v>
      </c>
      <c r="D564" s="56" t="s">
        <v>2811</v>
      </c>
      <c r="E564" s="75" t="s">
        <v>1790</v>
      </c>
      <c r="F564" s="63" t="s">
        <v>6</v>
      </c>
      <c r="G564" s="56" t="s">
        <v>2818</v>
      </c>
      <c r="H564" s="56" t="s">
        <v>2819</v>
      </c>
    </row>
    <row r="565" spans="2:8" x14ac:dyDescent="0.3">
      <c r="B565" s="65">
        <v>45925</v>
      </c>
      <c r="C565" s="74">
        <v>45901</v>
      </c>
      <c r="D565" s="56" t="s">
        <v>2811</v>
      </c>
      <c r="E565" s="75" t="s">
        <v>1790</v>
      </c>
      <c r="F565" s="63" t="s">
        <v>6</v>
      </c>
      <c r="G565" s="56" t="s">
        <v>2870</v>
      </c>
      <c r="H565" s="56" t="s">
        <v>2870</v>
      </c>
    </row>
    <row r="566" spans="2:8" x14ac:dyDescent="0.3">
      <c r="B566" s="65">
        <v>45925</v>
      </c>
      <c r="C566" s="74">
        <v>45901</v>
      </c>
      <c r="D566" s="56" t="s">
        <v>2811</v>
      </c>
      <c r="E566" s="75" t="s">
        <v>1790</v>
      </c>
      <c r="F566" s="63" t="s">
        <v>6</v>
      </c>
      <c r="G566" s="56" t="s">
        <v>2899</v>
      </c>
      <c r="H566" s="56" t="s">
        <v>2900</v>
      </c>
    </row>
    <row r="567" spans="2:8" x14ac:dyDescent="0.3">
      <c r="B567" s="65">
        <v>45925</v>
      </c>
      <c r="C567" s="74">
        <v>45901</v>
      </c>
      <c r="D567" s="56" t="s">
        <v>2811</v>
      </c>
      <c r="E567" s="75" t="s">
        <v>1790</v>
      </c>
      <c r="F567" s="63" t="s">
        <v>6</v>
      </c>
      <c r="G567" s="56" t="s">
        <v>2814</v>
      </c>
      <c r="H567" s="56" t="s">
        <v>2815</v>
      </c>
    </row>
    <row r="568" spans="2:8" x14ac:dyDescent="0.3">
      <c r="B568" s="65">
        <v>45925</v>
      </c>
      <c r="C568" s="74">
        <v>45901</v>
      </c>
      <c r="D568" s="56" t="s">
        <v>2811</v>
      </c>
      <c r="E568" s="75" t="s">
        <v>1790</v>
      </c>
      <c r="F568" s="63" t="s">
        <v>6</v>
      </c>
      <c r="G568" s="56" t="s">
        <v>2816</v>
      </c>
      <c r="H568" s="56" t="s">
        <v>2817</v>
      </c>
    </row>
    <row r="569" spans="2:8" x14ac:dyDescent="0.3">
      <c r="B569" s="65">
        <v>45925</v>
      </c>
      <c r="C569" s="74">
        <v>45901</v>
      </c>
      <c r="D569" s="56" t="s">
        <v>2811</v>
      </c>
      <c r="E569" s="75" t="s">
        <v>1790</v>
      </c>
      <c r="F569" s="63" t="s">
        <v>6</v>
      </c>
      <c r="G569" s="56" t="s">
        <v>2818</v>
      </c>
      <c r="H569" s="56" t="s">
        <v>2819</v>
      </c>
    </row>
    <row r="570" spans="2:8" x14ac:dyDescent="0.3">
      <c r="B570" s="65">
        <v>45926</v>
      </c>
      <c r="C570" s="74">
        <v>45901</v>
      </c>
      <c r="D570" s="56" t="s">
        <v>2811</v>
      </c>
      <c r="E570" s="75" t="s">
        <v>1790</v>
      </c>
      <c r="F570" s="63" t="s">
        <v>6</v>
      </c>
      <c r="G570" s="56" t="s">
        <v>2870</v>
      </c>
      <c r="H570" s="56" t="s">
        <v>2870</v>
      </c>
    </row>
    <row r="571" spans="2:8" x14ac:dyDescent="0.3">
      <c r="B571" s="65">
        <v>45926</v>
      </c>
      <c r="C571" s="74">
        <v>45901</v>
      </c>
      <c r="D571" s="56" t="s">
        <v>2811</v>
      </c>
      <c r="E571" s="75" t="s">
        <v>1790</v>
      </c>
      <c r="F571" s="63" t="s">
        <v>6</v>
      </c>
      <c r="G571" s="56" t="s">
        <v>2899</v>
      </c>
      <c r="H571" s="56" t="s">
        <v>2900</v>
      </c>
    </row>
    <row r="572" spans="2:8" x14ac:dyDescent="0.3">
      <c r="B572" s="65">
        <v>45926</v>
      </c>
      <c r="C572" s="74">
        <v>45901</v>
      </c>
      <c r="D572" s="56" t="s">
        <v>2811</v>
      </c>
      <c r="E572" s="75" t="s">
        <v>1790</v>
      </c>
      <c r="F572" s="63" t="s">
        <v>6</v>
      </c>
      <c r="G572" s="56" t="s">
        <v>2814</v>
      </c>
      <c r="H572" s="56" t="s">
        <v>2815</v>
      </c>
    </row>
    <row r="573" spans="2:8" x14ac:dyDescent="0.3">
      <c r="B573" s="65">
        <v>45926</v>
      </c>
      <c r="C573" s="74">
        <v>45901</v>
      </c>
      <c r="D573" s="56" t="s">
        <v>2811</v>
      </c>
      <c r="E573" s="75" t="s">
        <v>1790</v>
      </c>
      <c r="F573" s="63" t="s">
        <v>6</v>
      </c>
      <c r="G573" s="56" t="s">
        <v>2816</v>
      </c>
      <c r="H573" s="56" t="s">
        <v>2817</v>
      </c>
    </row>
    <row r="574" spans="2:8" x14ac:dyDescent="0.3">
      <c r="B574" s="65">
        <v>45926</v>
      </c>
      <c r="C574" s="74">
        <v>45901</v>
      </c>
      <c r="D574" s="56" t="s">
        <v>2811</v>
      </c>
      <c r="E574" s="75" t="s">
        <v>1790</v>
      </c>
      <c r="F574" s="63" t="s">
        <v>6</v>
      </c>
      <c r="G574" s="56" t="s">
        <v>2818</v>
      </c>
      <c r="H574" s="56" t="s">
        <v>2819</v>
      </c>
    </row>
    <row r="575" spans="2:8" x14ac:dyDescent="0.3">
      <c r="B575" s="65">
        <v>45929</v>
      </c>
      <c r="C575" s="74">
        <v>45901</v>
      </c>
      <c r="D575" s="56" t="s">
        <v>2811</v>
      </c>
      <c r="E575" s="75" t="s">
        <v>1790</v>
      </c>
      <c r="F575" s="64" t="s">
        <v>4</v>
      </c>
      <c r="G575" s="56" t="s">
        <v>3021</v>
      </c>
      <c r="H575" s="56" t="s">
        <v>3021</v>
      </c>
    </row>
    <row r="576" spans="2:8" x14ac:dyDescent="0.3">
      <c r="B576" s="65">
        <v>45929</v>
      </c>
      <c r="C576" s="74">
        <v>45901</v>
      </c>
      <c r="D576" s="56" t="s">
        <v>2811</v>
      </c>
      <c r="E576" s="75" t="s">
        <v>1790</v>
      </c>
      <c r="F576" s="63" t="s">
        <v>6</v>
      </c>
      <c r="G576" s="56" t="s">
        <v>2870</v>
      </c>
      <c r="H576" s="56" t="s">
        <v>2870</v>
      </c>
    </row>
    <row r="577" spans="2:8" x14ac:dyDescent="0.3">
      <c r="B577" s="65">
        <v>45929</v>
      </c>
      <c r="C577" s="74">
        <v>45901</v>
      </c>
      <c r="D577" s="56" t="s">
        <v>2811</v>
      </c>
      <c r="E577" s="75" t="s">
        <v>1790</v>
      </c>
      <c r="F577" s="63" t="s">
        <v>6</v>
      </c>
      <c r="G577" s="56" t="s">
        <v>2899</v>
      </c>
      <c r="H577" s="56" t="s">
        <v>2900</v>
      </c>
    </row>
    <row r="578" spans="2:8" x14ac:dyDescent="0.3">
      <c r="B578" s="65">
        <v>45929</v>
      </c>
      <c r="C578" s="74">
        <v>45901</v>
      </c>
      <c r="D578" s="56" t="s">
        <v>2811</v>
      </c>
      <c r="E578" s="75" t="s">
        <v>1790</v>
      </c>
      <c r="F578" s="63" t="s">
        <v>6</v>
      </c>
      <c r="G578" s="56" t="s">
        <v>2814</v>
      </c>
      <c r="H578" s="56" t="s">
        <v>2815</v>
      </c>
    </row>
    <row r="579" spans="2:8" x14ac:dyDescent="0.3">
      <c r="B579" s="65">
        <v>45929</v>
      </c>
      <c r="C579" s="74">
        <v>45901</v>
      </c>
      <c r="D579" s="56" t="s">
        <v>2811</v>
      </c>
      <c r="E579" s="75" t="s">
        <v>1790</v>
      </c>
      <c r="F579" s="63" t="s">
        <v>6</v>
      </c>
      <c r="G579" s="56" t="s">
        <v>2816</v>
      </c>
      <c r="H579" s="56" t="s">
        <v>2817</v>
      </c>
    </row>
    <row r="580" spans="2:8" x14ac:dyDescent="0.3">
      <c r="B580" s="65">
        <v>45929</v>
      </c>
      <c r="C580" s="74">
        <v>45901</v>
      </c>
      <c r="D580" s="56" t="s">
        <v>2811</v>
      </c>
      <c r="E580" s="75" t="s">
        <v>1790</v>
      </c>
      <c r="F580" s="63" t="s">
        <v>6</v>
      </c>
      <c r="G580" s="56" t="s">
        <v>2818</v>
      </c>
      <c r="H580" s="56" t="s">
        <v>2819</v>
      </c>
    </row>
    <row r="581" spans="2:8" x14ac:dyDescent="0.3">
      <c r="B581" s="65">
        <v>45930</v>
      </c>
      <c r="C581" s="74">
        <v>45901</v>
      </c>
      <c r="D581" s="56" t="s">
        <v>2811</v>
      </c>
      <c r="E581" s="75" t="s">
        <v>1790</v>
      </c>
      <c r="F581" s="63" t="s">
        <v>6</v>
      </c>
      <c r="G581" s="56" t="s">
        <v>2870</v>
      </c>
      <c r="H581" s="56" t="s">
        <v>2870</v>
      </c>
    </row>
    <row r="582" spans="2:8" x14ac:dyDescent="0.3">
      <c r="B582" s="65">
        <v>45930</v>
      </c>
      <c r="C582" s="74">
        <v>45901</v>
      </c>
      <c r="D582" s="56" t="s">
        <v>2811</v>
      </c>
      <c r="E582" s="75" t="s">
        <v>1790</v>
      </c>
      <c r="F582" s="63" t="s">
        <v>6</v>
      </c>
      <c r="G582" s="56" t="s">
        <v>2899</v>
      </c>
      <c r="H582" s="56" t="s">
        <v>2900</v>
      </c>
    </row>
    <row r="583" spans="2:8" x14ac:dyDescent="0.3">
      <c r="B583" s="65">
        <v>45930</v>
      </c>
      <c r="C583" s="74">
        <v>45901</v>
      </c>
      <c r="D583" s="56" t="s">
        <v>2811</v>
      </c>
      <c r="E583" s="75" t="s">
        <v>1790</v>
      </c>
      <c r="F583" s="63" t="s">
        <v>6</v>
      </c>
      <c r="G583" s="56" t="s">
        <v>2814</v>
      </c>
      <c r="H583" s="56" t="s">
        <v>2815</v>
      </c>
    </row>
    <row r="584" spans="2:8" x14ac:dyDescent="0.3">
      <c r="B584" s="65">
        <v>45930</v>
      </c>
      <c r="C584" s="74">
        <v>45901</v>
      </c>
      <c r="D584" s="56" t="s">
        <v>2811</v>
      </c>
      <c r="E584" s="75" t="s">
        <v>1790</v>
      </c>
      <c r="F584" s="63" t="s">
        <v>6</v>
      </c>
      <c r="G584" s="56" t="s">
        <v>2816</v>
      </c>
      <c r="H584" s="56" t="s">
        <v>2817</v>
      </c>
    </row>
    <row r="585" spans="2:8" x14ac:dyDescent="0.3">
      <c r="B585" s="65">
        <v>45930</v>
      </c>
      <c r="C585" s="74">
        <v>45901</v>
      </c>
      <c r="D585" s="56" t="s">
        <v>2811</v>
      </c>
      <c r="E585" s="75" t="s">
        <v>1790</v>
      </c>
      <c r="F585" s="63" t="s">
        <v>6</v>
      </c>
      <c r="G585" s="56" t="s">
        <v>2818</v>
      </c>
      <c r="H585" s="56" t="s">
        <v>2819</v>
      </c>
    </row>
    <row r="586" spans="2:8" x14ac:dyDescent="0.3">
      <c r="B586" s="65">
        <v>45931</v>
      </c>
      <c r="C586" s="74">
        <v>45931</v>
      </c>
      <c r="D586" s="56" t="s">
        <v>2811</v>
      </c>
      <c r="E586" s="75" t="s">
        <v>1790</v>
      </c>
      <c r="F586" s="64" t="s">
        <v>4</v>
      </c>
      <c r="G586" s="87" t="s">
        <v>3022</v>
      </c>
      <c r="H586" s="87" t="s">
        <v>3022</v>
      </c>
    </row>
    <row r="587" spans="2:8" x14ac:dyDescent="0.3">
      <c r="B587" s="65">
        <v>45931</v>
      </c>
      <c r="C587" s="74">
        <v>45931</v>
      </c>
      <c r="D587" s="56" t="s">
        <v>2811</v>
      </c>
      <c r="E587" s="75" t="s">
        <v>1790</v>
      </c>
      <c r="F587" s="64" t="s">
        <v>4</v>
      </c>
      <c r="G587" s="56" t="s">
        <v>3023</v>
      </c>
      <c r="H587" s="33" t="s">
        <v>3023</v>
      </c>
    </row>
    <row r="588" spans="2:8" x14ac:dyDescent="0.3">
      <c r="B588" s="65">
        <v>45931</v>
      </c>
      <c r="C588" s="74">
        <v>45931</v>
      </c>
      <c r="D588" s="56" t="s">
        <v>2811</v>
      </c>
      <c r="E588" s="75" t="s">
        <v>1790</v>
      </c>
      <c r="F588" s="64" t="s">
        <v>4</v>
      </c>
      <c r="G588" s="56" t="s">
        <v>3024</v>
      </c>
      <c r="H588" s="56" t="s">
        <v>3024</v>
      </c>
    </row>
    <row r="589" spans="2:8" x14ac:dyDescent="0.3">
      <c r="B589" s="65">
        <v>45931</v>
      </c>
      <c r="C589" s="74">
        <v>45931</v>
      </c>
      <c r="D589" s="56" t="s">
        <v>2811</v>
      </c>
      <c r="E589" s="75" t="s">
        <v>1790</v>
      </c>
      <c r="F589" s="63" t="s">
        <v>6</v>
      </c>
      <c r="G589" s="56" t="s">
        <v>2870</v>
      </c>
      <c r="H589" s="56" t="s">
        <v>2870</v>
      </c>
    </row>
    <row r="590" spans="2:8" x14ac:dyDescent="0.3">
      <c r="B590" s="65">
        <v>45931</v>
      </c>
      <c r="C590" s="74">
        <v>45931</v>
      </c>
      <c r="D590" s="56" t="s">
        <v>2811</v>
      </c>
      <c r="E590" s="75" t="s">
        <v>1790</v>
      </c>
      <c r="F590" s="63" t="s">
        <v>6</v>
      </c>
      <c r="G590" s="56" t="s">
        <v>2899</v>
      </c>
      <c r="H590" s="56" t="s">
        <v>2900</v>
      </c>
    </row>
    <row r="591" spans="2:8" x14ac:dyDescent="0.3">
      <c r="B591" s="65">
        <v>45931</v>
      </c>
      <c r="C591" s="74">
        <v>45931</v>
      </c>
      <c r="D591" s="56" t="s">
        <v>2811</v>
      </c>
      <c r="E591" s="75" t="s">
        <v>1790</v>
      </c>
      <c r="F591" s="63" t="s">
        <v>6</v>
      </c>
      <c r="G591" s="56" t="s">
        <v>2814</v>
      </c>
      <c r="H591" s="56" t="s">
        <v>2815</v>
      </c>
    </row>
    <row r="592" spans="2:8" x14ac:dyDescent="0.3">
      <c r="B592" s="65">
        <v>45931</v>
      </c>
      <c r="C592" s="74">
        <v>45931</v>
      </c>
      <c r="D592" s="56" t="s">
        <v>2811</v>
      </c>
      <c r="E592" s="75" t="s">
        <v>1790</v>
      </c>
      <c r="F592" s="63" t="s">
        <v>6</v>
      </c>
      <c r="G592" s="56" t="s">
        <v>2816</v>
      </c>
      <c r="H592" s="56" t="s">
        <v>2817</v>
      </c>
    </row>
    <row r="593" spans="2:8" x14ac:dyDescent="0.3">
      <c r="B593" s="65">
        <v>45931</v>
      </c>
      <c r="C593" s="74">
        <v>45931</v>
      </c>
      <c r="D593" s="56" t="s">
        <v>2811</v>
      </c>
      <c r="E593" s="75" t="s">
        <v>1790</v>
      </c>
      <c r="F593" s="63" t="s">
        <v>6</v>
      </c>
      <c r="G593" s="56" t="s">
        <v>2818</v>
      </c>
      <c r="H593" s="56" t="s">
        <v>2819</v>
      </c>
    </row>
    <row r="594" spans="2:8" x14ac:dyDescent="0.3">
      <c r="B594" s="65">
        <v>45932</v>
      </c>
      <c r="C594" s="74">
        <v>45931</v>
      </c>
      <c r="D594" s="56" t="s">
        <v>2811</v>
      </c>
      <c r="E594" s="75" t="s">
        <v>1790</v>
      </c>
      <c r="F594" s="63" t="s">
        <v>6</v>
      </c>
      <c r="G594" s="56" t="s">
        <v>2870</v>
      </c>
      <c r="H594" s="56" t="s">
        <v>2870</v>
      </c>
    </row>
    <row r="595" spans="2:8" x14ac:dyDescent="0.3">
      <c r="B595" s="65">
        <v>45932</v>
      </c>
      <c r="C595" s="74">
        <v>45931</v>
      </c>
      <c r="D595" s="56" t="s">
        <v>2811</v>
      </c>
      <c r="E595" s="75" t="s">
        <v>1790</v>
      </c>
      <c r="F595" s="63" t="s">
        <v>6</v>
      </c>
      <c r="G595" s="56" t="s">
        <v>2899</v>
      </c>
      <c r="H595" s="56" t="s">
        <v>2900</v>
      </c>
    </row>
    <row r="596" spans="2:8" x14ac:dyDescent="0.3">
      <c r="B596" s="65">
        <v>45932</v>
      </c>
      <c r="C596" s="74">
        <v>45931</v>
      </c>
      <c r="D596" s="56" t="s">
        <v>2811</v>
      </c>
      <c r="E596" s="75" t="s">
        <v>1790</v>
      </c>
      <c r="F596" s="63" t="s">
        <v>6</v>
      </c>
      <c r="G596" s="56" t="s">
        <v>2814</v>
      </c>
      <c r="H596" s="56" t="s">
        <v>2815</v>
      </c>
    </row>
    <row r="597" spans="2:8" x14ac:dyDescent="0.3">
      <c r="B597" s="65">
        <v>45932</v>
      </c>
      <c r="C597" s="74">
        <v>45931</v>
      </c>
      <c r="D597" s="56" t="s">
        <v>2811</v>
      </c>
      <c r="E597" s="75" t="s">
        <v>1790</v>
      </c>
      <c r="F597" s="63" t="s">
        <v>6</v>
      </c>
      <c r="G597" s="56" t="s">
        <v>2816</v>
      </c>
      <c r="H597" s="56" t="s">
        <v>2817</v>
      </c>
    </row>
    <row r="598" spans="2:8" x14ac:dyDescent="0.3">
      <c r="B598" s="65">
        <v>45932</v>
      </c>
      <c r="C598" s="74">
        <v>45931</v>
      </c>
      <c r="D598" s="56" t="s">
        <v>2811</v>
      </c>
      <c r="E598" s="75" t="s">
        <v>1790</v>
      </c>
      <c r="F598" s="63" t="s">
        <v>6</v>
      </c>
      <c r="G598" s="56" t="s">
        <v>2818</v>
      </c>
      <c r="H598" s="56" t="s">
        <v>2819</v>
      </c>
    </row>
    <row r="599" spans="2:8" x14ac:dyDescent="0.3">
      <c r="B599" s="65">
        <v>45933</v>
      </c>
      <c r="C599" s="74">
        <v>45931</v>
      </c>
      <c r="D599" s="56" t="s">
        <v>2811</v>
      </c>
      <c r="E599" s="75" t="s">
        <v>1790</v>
      </c>
      <c r="F599" s="63" t="s">
        <v>6</v>
      </c>
      <c r="G599" s="56" t="s">
        <v>2870</v>
      </c>
      <c r="H599" s="56" t="s">
        <v>2870</v>
      </c>
    </row>
    <row r="600" spans="2:8" x14ac:dyDescent="0.3">
      <c r="B600" s="65">
        <v>45933</v>
      </c>
      <c r="C600" s="74">
        <v>45931</v>
      </c>
      <c r="D600" s="56" t="s">
        <v>2811</v>
      </c>
      <c r="E600" s="75" t="s">
        <v>1790</v>
      </c>
      <c r="F600" s="63" t="s">
        <v>6</v>
      </c>
      <c r="G600" s="56" t="s">
        <v>2899</v>
      </c>
      <c r="H600" s="56" t="s">
        <v>2900</v>
      </c>
    </row>
    <row r="601" spans="2:8" x14ac:dyDescent="0.3">
      <c r="B601" s="65">
        <v>45933</v>
      </c>
      <c r="C601" s="74">
        <v>45931</v>
      </c>
      <c r="D601" s="56" t="s">
        <v>2811</v>
      </c>
      <c r="E601" s="75" t="s">
        <v>1790</v>
      </c>
      <c r="F601" s="63" t="s">
        <v>6</v>
      </c>
      <c r="G601" s="56" t="s">
        <v>2814</v>
      </c>
      <c r="H601" s="56" t="s">
        <v>2815</v>
      </c>
    </row>
    <row r="602" spans="2:8" x14ac:dyDescent="0.3">
      <c r="B602" s="65">
        <v>45933</v>
      </c>
      <c r="C602" s="74">
        <v>45931</v>
      </c>
      <c r="D602" s="56" t="s">
        <v>2811</v>
      </c>
      <c r="E602" s="75" t="s">
        <v>1790</v>
      </c>
      <c r="F602" s="63" t="s">
        <v>6</v>
      </c>
      <c r="G602" s="56" t="s">
        <v>2816</v>
      </c>
      <c r="H602" s="56" t="s">
        <v>2817</v>
      </c>
    </row>
    <row r="603" spans="2:8" x14ac:dyDescent="0.3">
      <c r="B603" s="65">
        <v>45933</v>
      </c>
      <c r="C603" s="74">
        <v>45931</v>
      </c>
      <c r="D603" s="56" t="s">
        <v>2811</v>
      </c>
      <c r="E603" s="75" t="s">
        <v>1790</v>
      </c>
      <c r="F603" s="63" t="s">
        <v>6</v>
      </c>
      <c r="G603" s="56" t="s">
        <v>2818</v>
      </c>
      <c r="H603" s="56" t="s">
        <v>2819</v>
      </c>
    </row>
    <row r="604" spans="2:8" x14ac:dyDescent="0.3">
      <c r="B604" s="65">
        <v>45936</v>
      </c>
      <c r="C604" s="74">
        <v>45931</v>
      </c>
      <c r="D604" s="56" t="s">
        <v>2811</v>
      </c>
      <c r="E604" s="75" t="s">
        <v>1790</v>
      </c>
      <c r="F604" s="64" t="s">
        <v>4</v>
      </c>
      <c r="G604" s="56" t="s">
        <v>3025</v>
      </c>
      <c r="H604" s="33" t="s">
        <v>3025</v>
      </c>
    </row>
    <row r="605" spans="2:8" x14ac:dyDescent="0.3">
      <c r="B605" s="65">
        <v>45936</v>
      </c>
      <c r="C605" s="74">
        <v>45931</v>
      </c>
      <c r="D605" s="56" t="s">
        <v>2811</v>
      </c>
      <c r="E605" s="75" t="s">
        <v>1790</v>
      </c>
      <c r="F605" s="63" t="s">
        <v>6</v>
      </c>
      <c r="G605" s="56" t="s">
        <v>2870</v>
      </c>
      <c r="H605" s="56" t="s">
        <v>2870</v>
      </c>
    </row>
    <row r="606" spans="2:8" x14ac:dyDescent="0.3">
      <c r="B606" s="65">
        <v>45936</v>
      </c>
      <c r="C606" s="74">
        <v>45931</v>
      </c>
      <c r="D606" s="56" t="s">
        <v>2811</v>
      </c>
      <c r="E606" s="75" t="s">
        <v>1790</v>
      </c>
      <c r="F606" s="63" t="s">
        <v>6</v>
      </c>
      <c r="G606" s="56" t="s">
        <v>2899</v>
      </c>
      <c r="H606" s="56" t="s">
        <v>2900</v>
      </c>
    </row>
    <row r="607" spans="2:8" x14ac:dyDescent="0.3">
      <c r="B607" s="65">
        <v>45936</v>
      </c>
      <c r="C607" s="74">
        <v>45931</v>
      </c>
      <c r="D607" s="56" t="s">
        <v>2811</v>
      </c>
      <c r="E607" s="75" t="s">
        <v>1790</v>
      </c>
      <c r="F607" s="63" t="s">
        <v>6</v>
      </c>
      <c r="G607" s="56" t="s">
        <v>2814</v>
      </c>
      <c r="H607" s="56" t="s">
        <v>2815</v>
      </c>
    </row>
    <row r="608" spans="2:8" x14ac:dyDescent="0.3">
      <c r="B608" s="65">
        <v>45936</v>
      </c>
      <c r="C608" s="74">
        <v>45931</v>
      </c>
      <c r="D608" s="56" t="s">
        <v>2811</v>
      </c>
      <c r="E608" s="75" t="s">
        <v>1790</v>
      </c>
      <c r="F608" s="63" t="s">
        <v>6</v>
      </c>
      <c r="G608" s="56" t="s">
        <v>2816</v>
      </c>
      <c r="H608" s="56" t="s">
        <v>2817</v>
      </c>
    </row>
    <row r="609" spans="2:8" x14ac:dyDescent="0.3">
      <c r="B609" s="65">
        <v>45936</v>
      </c>
      <c r="C609" s="74">
        <v>45931</v>
      </c>
      <c r="D609" s="56" t="s">
        <v>2811</v>
      </c>
      <c r="E609" s="75" t="s">
        <v>1790</v>
      </c>
      <c r="F609" s="63" t="s">
        <v>6</v>
      </c>
      <c r="G609" s="56" t="s">
        <v>2818</v>
      </c>
      <c r="H609" s="56" t="s">
        <v>2819</v>
      </c>
    </row>
    <row r="610" spans="2:8" x14ac:dyDescent="0.3">
      <c r="B610" s="65">
        <v>45937</v>
      </c>
      <c r="C610" s="74">
        <v>45931</v>
      </c>
      <c r="D610" s="56" t="s">
        <v>2811</v>
      </c>
      <c r="E610" s="75" t="s">
        <v>1790</v>
      </c>
      <c r="F610" s="63" t="s">
        <v>6</v>
      </c>
      <c r="G610" s="56" t="s">
        <v>2870</v>
      </c>
      <c r="H610" s="56" t="s">
        <v>2870</v>
      </c>
    </row>
    <row r="611" spans="2:8" x14ac:dyDescent="0.3">
      <c r="B611" s="65">
        <v>45937</v>
      </c>
      <c r="C611" s="74">
        <v>45931</v>
      </c>
      <c r="D611" s="56" t="s">
        <v>2811</v>
      </c>
      <c r="E611" s="75" t="s">
        <v>1790</v>
      </c>
      <c r="F611" s="63" t="s">
        <v>6</v>
      </c>
      <c r="G611" s="56" t="s">
        <v>2899</v>
      </c>
      <c r="H611" s="56" t="s">
        <v>2900</v>
      </c>
    </row>
    <row r="612" spans="2:8" x14ac:dyDescent="0.3">
      <c r="B612" s="65">
        <v>45937</v>
      </c>
      <c r="C612" s="74">
        <v>45931</v>
      </c>
      <c r="D612" s="56" t="s">
        <v>2811</v>
      </c>
      <c r="E612" s="75" t="s">
        <v>1790</v>
      </c>
      <c r="F612" s="63" t="s">
        <v>6</v>
      </c>
      <c r="G612" s="56" t="s">
        <v>2814</v>
      </c>
      <c r="H612" s="56" t="s">
        <v>2815</v>
      </c>
    </row>
    <row r="613" spans="2:8" x14ac:dyDescent="0.3">
      <c r="B613" s="65">
        <v>45937</v>
      </c>
      <c r="C613" s="74">
        <v>45931</v>
      </c>
      <c r="D613" s="56" t="s">
        <v>2811</v>
      </c>
      <c r="E613" s="75" t="s">
        <v>1790</v>
      </c>
      <c r="F613" s="63" t="s">
        <v>6</v>
      </c>
      <c r="G613" s="56" t="s">
        <v>2816</v>
      </c>
      <c r="H613" s="56" t="s">
        <v>2817</v>
      </c>
    </row>
    <row r="614" spans="2:8" x14ac:dyDescent="0.3">
      <c r="B614" s="65">
        <v>45937</v>
      </c>
      <c r="C614" s="74">
        <v>45931</v>
      </c>
      <c r="D614" s="56" t="s">
        <v>2811</v>
      </c>
      <c r="E614" s="75" t="s">
        <v>1790</v>
      </c>
      <c r="F614" s="63" t="s">
        <v>6</v>
      </c>
      <c r="G614" s="56" t="s">
        <v>2818</v>
      </c>
      <c r="H614" s="56" t="s">
        <v>2819</v>
      </c>
    </row>
    <row r="615" spans="2:8" x14ac:dyDescent="0.3">
      <c r="B615" s="65">
        <v>45938</v>
      </c>
      <c r="C615" s="74">
        <v>45931</v>
      </c>
      <c r="D615" s="56" t="s">
        <v>2811</v>
      </c>
      <c r="E615" s="75" t="s">
        <v>1790</v>
      </c>
      <c r="F615" s="64" t="s">
        <v>4</v>
      </c>
      <c r="G615" s="56" t="s">
        <v>3026</v>
      </c>
      <c r="H615" s="56" t="s">
        <v>3026</v>
      </c>
    </row>
    <row r="616" spans="2:8" x14ac:dyDescent="0.3">
      <c r="B616" s="65">
        <v>45938</v>
      </c>
      <c r="C616" s="74">
        <v>45931</v>
      </c>
      <c r="D616" s="56" t="s">
        <v>2811</v>
      </c>
      <c r="E616" s="75" t="s">
        <v>1790</v>
      </c>
      <c r="F616" s="63" t="s">
        <v>6</v>
      </c>
      <c r="G616" s="56" t="s">
        <v>2870</v>
      </c>
      <c r="H616" s="56" t="s">
        <v>2870</v>
      </c>
    </row>
    <row r="617" spans="2:8" x14ac:dyDescent="0.3">
      <c r="B617" s="65">
        <v>45938</v>
      </c>
      <c r="C617" s="74">
        <v>45931</v>
      </c>
      <c r="D617" s="56" t="s">
        <v>2811</v>
      </c>
      <c r="E617" s="75" t="s">
        <v>1790</v>
      </c>
      <c r="F617" s="63" t="s">
        <v>6</v>
      </c>
      <c r="G617" s="56" t="s">
        <v>2899</v>
      </c>
      <c r="H617" s="56" t="s">
        <v>2900</v>
      </c>
    </row>
    <row r="618" spans="2:8" x14ac:dyDescent="0.3">
      <c r="B618" s="65">
        <v>45938</v>
      </c>
      <c r="C618" s="74">
        <v>45931</v>
      </c>
      <c r="D618" s="56" t="s">
        <v>2811</v>
      </c>
      <c r="E618" s="75" t="s">
        <v>1790</v>
      </c>
      <c r="F618" s="63" t="s">
        <v>6</v>
      </c>
      <c r="G618" s="56" t="s">
        <v>2814</v>
      </c>
      <c r="H618" s="56" t="s">
        <v>2815</v>
      </c>
    </row>
    <row r="619" spans="2:8" x14ac:dyDescent="0.3">
      <c r="B619" s="65">
        <v>45938</v>
      </c>
      <c r="C619" s="74">
        <v>45931</v>
      </c>
      <c r="D619" s="56" t="s">
        <v>2811</v>
      </c>
      <c r="E619" s="75" t="s">
        <v>1790</v>
      </c>
      <c r="F619" s="63" t="s">
        <v>6</v>
      </c>
      <c r="G619" s="56" t="s">
        <v>2816</v>
      </c>
      <c r="H619" s="56" t="s">
        <v>2817</v>
      </c>
    </row>
    <row r="620" spans="2:8" x14ac:dyDescent="0.3">
      <c r="B620" s="65">
        <v>45938</v>
      </c>
      <c r="C620" s="74">
        <v>45931</v>
      </c>
      <c r="D620" s="56" t="s">
        <v>2811</v>
      </c>
      <c r="E620" s="75" t="s">
        <v>1790</v>
      </c>
      <c r="F620" s="63" t="s">
        <v>6</v>
      </c>
      <c r="G620" s="56" t="s">
        <v>2818</v>
      </c>
      <c r="H620" s="56" t="s">
        <v>2819</v>
      </c>
    </row>
    <row r="621" spans="2:8" x14ac:dyDescent="0.3">
      <c r="B621" s="65">
        <v>45939</v>
      </c>
      <c r="C621" s="74">
        <v>45931</v>
      </c>
      <c r="D621" s="56" t="s">
        <v>2811</v>
      </c>
      <c r="E621" s="75" t="s">
        <v>1790</v>
      </c>
      <c r="F621" s="63" t="s">
        <v>6</v>
      </c>
      <c r="G621" s="56" t="s">
        <v>2870</v>
      </c>
      <c r="H621" s="56" t="s">
        <v>2870</v>
      </c>
    </row>
    <row r="622" spans="2:8" x14ac:dyDescent="0.3">
      <c r="B622" s="65">
        <v>45939</v>
      </c>
      <c r="C622" s="74">
        <v>45931</v>
      </c>
      <c r="D622" s="56" t="s">
        <v>2811</v>
      </c>
      <c r="E622" s="75" t="s">
        <v>1790</v>
      </c>
      <c r="F622" s="63" t="s">
        <v>6</v>
      </c>
      <c r="G622" s="56" t="s">
        <v>2899</v>
      </c>
      <c r="H622" s="56" t="s">
        <v>2900</v>
      </c>
    </row>
    <row r="623" spans="2:8" x14ac:dyDescent="0.3">
      <c r="B623" s="65">
        <v>45939</v>
      </c>
      <c r="C623" s="74">
        <v>45931</v>
      </c>
      <c r="D623" s="56" t="s">
        <v>2811</v>
      </c>
      <c r="E623" s="75" t="s">
        <v>1790</v>
      </c>
      <c r="F623" s="63" t="s">
        <v>6</v>
      </c>
      <c r="G623" s="56" t="s">
        <v>2814</v>
      </c>
      <c r="H623" s="56" t="s">
        <v>2815</v>
      </c>
    </row>
    <row r="624" spans="2:8" x14ac:dyDescent="0.3">
      <c r="B624" s="65">
        <v>45939</v>
      </c>
      <c r="C624" s="74">
        <v>45931</v>
      </c>
      <c r="D624" s="56" t="s">
        <v>2811</v>
      </c>
      <c r="E624" s="75" t="s">
        <v>1790</v>
      </c>
      <c r="F624" s="63" t="s">
        <v>6</v>
      </c>
      <c r="G624" s="56" t="s">
        <v>2816</v>
      </c>
      <c r="H624" s="56" t="s">
        <v>2817</v>
      </c>
    </row>
    <row r="625" spans="2:8" x14ac:dyDescent="0.3">
      <c r="B625" s="65">
        <v>45939</v>
      </c>
      <c r="C625" s="74">
        <v>45931</v>
      </c>
      <c r="D625" s="56" t="s">
        <v>2811</v>
      </c>
      <c r="E625" s="75" t="s">
        <v>1790</v>
      </c>
      <c r="F625" s="63" t="s">
        <v>6</v>
      </c>
      <c r="G625" s="56" t="s">
        <v>2818</v>
      </c>
      <c r="H625" s="56" t="s">
        <v>2819</v>
      </c>
    </row>
    <row r="626" spans="2:8" x14ac:dyDescent="0.3">
      <c r="B626" s="65">
        <v>45940</v>
      </c>
      <c r="C626" s="74">
        <v>45931</v>
      </c>
      <c r="D626" s="56" t="s">
        <v>2811</v>
      </c>
      <c r="E626" s="75" t="s">
        <v>1790</v>
      </c>
      <c r="F626" s="63" t="s">
        <v>6</v>
      </c>
      <c r="G626" s="56" t="s">
        <v>2870</v>
      </c>
      <c r="H626" s="56" t="s">
        <v>2870</v>
      </c>
    </row>
    <row r="627" spans="2:8" x14ac:dyDescent="0.3">
      <c r="B627" s="65">
        <v>45940</v>
      </c>
      <c r="C627" s="74">
        <v>45931</v>
      </c>
      <c r="D627" s="56" t="s">
        <v>2811</v>
      </c>
      <c r="E627" s="75" t="s">
        <v>1790</v>
      </c>
      <c r="F627" s="63" t="s">
        <v>6</v>
      </c>
      <c r="G627" s="56" t="s">
        <v>2899</v>
      </c>
      <c r="H627" s="56" t="s">
        <v>2900</v>
      </c>
    </row>
    <row r="628" spans="2:8" x14ac:dyDescent="0.3">
      <c r="B628" s="65">
        <v>45940</v>
      </c>
      <c r="C628" s="74">
        <v>45931</v>
      </c>
      <c r="D628" s="56" t="s">
        <v>2811</v>
      </c>
      <c r="E628" s="75" t="s">
        <v>1790</v>
      </c>
      <c r="F628" s="63" t="s">
        <v>6</v>
      </c>
      <c r="G628" s="56" t="s">
        <v>2814</v>
      </c>
      <c r="H628" s="56" t="s">
        <v>2815</v>
      </c>
    </row>
    <row r="629" spans="2:8" x14ac:dyDescent="0.3">
      <c r="B629" s="65">
        <v>45940</v>
      </c>
      <c r="C629" s="74">
        <v>45931</v>
      </c>
      <c r="D629" s="56" t="s">
        <v>2811</v>
      </c>
      <c r="E629" s="75" t="s">
        <v>1790</v>
      </c>
      <c r="F629" s="63" t="s">
        <v>6</v>
      </c>
      <c r="G629" s="56" t="s">
        <v>2816</v>
      </c>
      <c r="H629" s="56" t="s">
        <v>2817</v>
      </c>
    </row>
    <row r="630" spans="2:8" x14ac:dyDescent="0.3">
      <c r="B630" s="65">
        <v>45940</v>
      </c>
      <c r="C630" s="74">
        <v>45931</v>
      </c>
      <c r="D630" s="56" t="s">
        <v>2811</v>
      </c>
      <c r="E630" s="75" t="s">
        <v>1790</v>
      </c>
      <c r="F630" s="63" t="s">
        <v>6</v>
      </c>
      <c r="G630" s="56" t="s">
        <v>2818</v>
      </c>
      <c r="H630" s="56" t="s">
        <v>2819</v>
      </c>
    </row>
    <row r="631" spans="2:8" x14ac:dyDescent="0.3">
      <c r="B631" s="65">
        <v>45943</v>
      </c>
      <c r="C631" s="74">
        <v>45931</v>
      </c>
      <c r="D631" s="56" t="s">
        <v>2811</v>
      </c>
      <c r="E631" s="75" t="s">
        <v>1790</v>
      </c>
      <c r="F631" s="63" t="s">
        <v>6</v>
      </c>
      <c r="G631" s="56" t="s">
        <v>2870</v>
      </c>
      <c r="H631" s="56" t="s">
        <v>2870</v>
      </c>
    </row>
    <row r="632" spans="2:8" x14ac:dyDescent="0.3">
      <c r="B632" s="65">
        <v>45943</v>
      </c>
      <c r="C632" s="74">
        <v>45931</v>
      </c>
      <c r="D632" s="56" t="s">
        <v>2811</v>
      </c>
      <c r="E632" s="75" t="s">
        <v>1790</v>
      </c>
      <c r="F632" s="63" t="s">
        <v>6</v>
      </c>
      <c r="G632" s="56" t="s">
        <v>2899</v>
      </c>
      <c r="H632" s="56" t="s">
        <v>2900</v>
      </c>
    </row>
    <row r="633" spans="2:8" x14ac:dyDescent="0.3">
      <c r="B633" s="65">
        <v>45943</v>
      </c>
      <c r="C633" s="74">
        <v>45931</v>
      </c>
      <c r="D633" s="56" t="s">
        <v>2811</v>
      </c>
      <c r="E633" s="75" t="s">
        <v>1790</v>
      </c>
      <c r="F633" s="63" t="s">
        <v>6</v>
      </c>
      <c r="G633" s="56" t="s">
        <v>2814</v>
      </c>
      <c r="H633" s="56" t="s">
        <v>2815</v>
      </c>
    </row>
    <row r="634" spans="2:8" x14ac:dyDescent="0.3">
      <c r="B634" s="65">
        <v>45943</v>
      </c>
      <c r="C634" s="74">
        <v>45931</v>
      </c>
      <c r="D634" s="56" t="s">
        <v>2811</v>
      </c>
      <c r="E634" s="75" t="s">
        <v>1790</v>
      </c>
      <c r="F634" s="63" t="s">
        <v>6</v>
      </c>
      <c r="G634" s="56" t="s">
        <v>2816</v>
      </c>
      <c r="H634" s="56" t="s">
        <v>2817</v>
      </c>
    </row>
    <row r="635" spans="2:8" x14ac:dyDescent="0.3">
      <c r="B635" s="65">
        <v>45943</v>
      </c>
      <c r="C635" s="74">
        <v>45931</v>
      </c>
      <c r="D635" s="56" t="s">
        <v>2811</v>
      </c>
      <c r="E635" s="75" t="s">
        <v>1790</v>
      </c>
      <c r="F635" s="63" t="s">
        <v>6</v>
      </c>
      <c r="G635" s="56" t="s">
        <v>2818</v>
      </c>
      <c r="H635" s="56" t="s">
        <v>2819</v>
      </c>
    </row>
    <row r="636" spans="2:8" x14ac:dyDescent="0.3">
      <c r="B636" s="65">
        <v>45944</v>
      </c>
      <c r="C636" s="74">
        <v>45931</v>
      </c>
      <c r="D636" s="56" t="s">
        <v>2811</v>
      </c>
      <c r="E636" s="75" t="s">
        <v>1790</v>
      </c>
      <c r="F636" s="63" t="s">
        <v>6</v>
      </c>
      <c r="G636" s="56" t="s">
        <v>2870</v>
      </c>
      <c r="H636" s="56" t="s">
        <v>2870</v>
      </c>
    </row>
    <row r="637" spans="2:8" x14ac:dyDescent="0.3">
      <c r="B637" s="65">
        <v>45944</v>
      </c>
      <c r="C637" s="74">
        <v>45931</v>
      </c>
      <c r="D637" s="56" t="s">
        <v>2811</v>
      </c>
      <c r="E637" s="75" t="s">
        <v>1790</v>
      </c>
      <c r="F637" s="63" t="s">
        <v>6</v>
      </c>
      <c r="G637" s="56" t="s">
        <v>2899</v>
      </c>
      <c r="H637" s="56" t="s">
        <v>2900</v>
      </c>
    </row>
    <row r="638" spans="2:8" x14ac:dyDescent="0.3">
      <c r="B638" s="65">
        <v>45944</v>
      </c>
      <c r="C638" s="74">
        <v>45931</v>
      </c>
      <c r="D638" s="56" t="s">
        <v>2811</v>
      </c>
      <c r="E638" s="75" t="s">
        <v>1790</v>
      </c>
      <c r="F638" s="63" t="s">
        <v>6</v>
      </c>
      <c r="G638" s="56" t="s">
        <v>2814</v>
      </c>
      <c r="H638" s="56" t="s">
        <v>2815</v>
      </c>
    </row>
    <row r="639" spans="2:8" x14ac:dyDescent="0.3">
      <c r="B639" s="65">
        <v>45944</v>
      </c>
      <c r="C639" s="74">
        <v>45931</v>
      </c>
      <c r="D639" s="56" t="s">
        <v>2811</v>
      </c>
      <c r="E639" s="75" t="s">
        <v>1790</v>
      </c>
      <c r="F639" s="63" t="s">
        <v>6</v>
      </c>
      <c r="G639" s="56" t="s">
        <v>2816</v>
      </c>
      <c r="H639" s="56" t="s">
        <v>2817</v>
      </c>
    </row>
    <row r="640" spans="2:8" x14ac:dyDescent="0.3">
      <c r="B640" s="65">
        <v>45944</v>
      </c>
      <c r="C640" s="74">
        <v>45931</v>
      </c>
      <c r="D640" s="56" t="s">
        <v>2811</v>
      </c>
      <c r="E640" s="75" t="s">
        <v>1790</v>
      </c>
      <c r="F640" s="63" t="s">
        <v>6</v>
      </c>
      <c r="G640" s="56" t="s">
        <v>2818</v>
      </c>
      <c r="H640" s="56" t="s">
        <v>2819</v>
      </c>
    </row>
    <row r="641" spans="2:8" x14ac:dyDescent="0.3">
      <c r="B641" s="65">
        <v>45945</v>
      </c>
      <c r="C641" s="74">
        <v>45931</v>
      </c>
      <c r="D641" s="56" t="s">
        <v>2811</v>
      </c>
      <c r="E641" s="75" t="s">
        <v>1790</v>
      </c>
      <c r="F641" s="137" t="s">
        <v>4</v>
      </c>
      <c r="G641" s="56" t="s">
        <v>3027</v>
      </c>
      <c r="H641" s="56" t="s">
        <v>3027</v>
      </c>
    </row>
    <row r="642" spans="2:8" x14ac:dyDescent="0.3">
      <c r="B642" s="65">
        <v>45945</v>
      </c>
      <c r="C642" s="74">
        <v>45931</v>
      </c>
      <c r="D642" s="56" t="s">
        <v>2811</v>
      </c>
      <c r="E642" s="75" t="s">
        <v>1790</v>
      </c>
      <c r="F642" s="137" t="s">
        <v>4</v>
      </c>
      <c r="G642" s="56" t="s">
        <v>3028</v>
      </c>
      <c r="H642" s="56" t="s">
        <v>3028</v>
      </c>
    </row>
    <row r="643" spans="2:8" x14ac:dyDescent="0.3">
      <c r="B643" s="65">
        <v>45945</v>
      </c>
      <c r="C643" s="74">
        <v>45931</v>
      </c>
      <c r="D643" s="56" t="s">
        <v>2811</v>
      </c>
      <c r="E643" s="75" t="s">
        <v>1790</v>
      </c>
      <c r="F643" s="63" t="s">
        <v>6</v>
      </c>
      <c r="G643" s="56" t="s">
        <v>2870</v>
      </c>
      <c r="H643" s="56" t="s">
        <v>2870</v>
      </c>
    </row>
    <row r="644" spans="2:8" x14ac:dyDescent="0.3">
      <c r="B644" s="65">
        <v>45945</v>
      </c>
      <c r="C644" s="74">
        <v>45931</v>
      </c>
      <c r="D644" s="56" t="s">
        <v>2811</v>
      </c>
      <c r="E644" s="75" t="s">
        <v>1790</v>
      </c>
      <c r="F644" s="63" t="s">
        <v>6</v>
      </c>
      <c r="G644" s="56" t="s">
        <v>2899</v>
      </c>
      <c r="H644" s="56" t="s">
        <v>2900</v>
      </c>
    </row>
    <row r="645" spans="2:8" x14ac:dyDescent="0.3">
      <c r="B645" s="65">
        <v>45945</v>
      </c>
      <c r="C645" s="74">
        <v>45931</v>
      </c>
      <c r="D645" s="56" t="s">
        <v>2811</v>
      </c>
      <c r="E645" s="75" t="s">
        <v>1790</v>
      </c>
      <c r="F645" s="63" t="s">
        <v>6</v>
      </c>
      <c r="G645" s="56" t="s">
        <v>2814</v>
      </c>
      <c r="H645" s="56" t="s">
        <v>2815</v>
      </c>
    </row>
    <row r="646" spans="2:8" x14ac:dyDescent="0.3">
      <c r="B646" s="65">
        <v>45945</v>
      </c>
      <c r="C646" s="74">
        <v>45931</v>
      </c>
      <c r="D646" s="56" t="s">
        <v>2811</v>
      </c>
      <c r="E646" s="75" t="s">
        <v>1790</v>
      </c>
      <c r="F646" s="63" t="s">
        <v>6</v>
      </c>
      <c r="G646" s="56" t="s">
        <v>2816</v>
      </c>
      <c r="H646" s="56" t="s">
        <v>2817</v>
      </c>
    </row>
    <row r="647" spans="2:8" x14ac:dyDescent="0.3">
      <c r="B647" s="65">
        <v>45945</v>
      </c>
      <c r="C647" s="74">
        <v>45931</v>
      </c>
      <c r="D647" s="56" t="s">
        <v>2811</v>
      </c>
      <c r="E647" s="75" t="s">
        <v>1790</v>
      </c>
      <c r="F647" s="63" t="s">
        <v>6</v>
      </c>
      <c r="G647" s="56" t="s">
        <v>2818</v>
      </c>
      <c r="H647" s="56" t="s">
        <v>2819</v>
      </c>
    </row>
    <row r="648" spans="2:8" x14ac:dyDescent="0.3">
      <c r="B648" s="65">
        <v>45946</v>
      </c>
      <c r="C648" s="74">
        <v>45931</v>
      </c>
      <c r="D648" s="56" t="s">
        <v>2811</v>
      </c>
      <c r="E648" s="75" t="s">
        <v>1790</v>
      </c>
      <c r="F648" s="63" t="s">
        <v>6</v>
      </c>
      <c r="G648" s="56" t="s">
        <v>2870</v>
      </c>
      <c r="H648" s="56" t="s">
        <v>2870</v>
      </c>
    </row>
    <row r="649" spans="2:8" x14ac:dyDescent="0.3">
      <c r="B649" s="65">
        <v>45946</v>
      </c>
      <c r="C649" s="74">
        <v>45931</v>
      </c>
      <c r="D649" s="56" t="s">
        <v>2811</v>
      </c>
      <c r="E649" s="75" t="s">
        <v>1790</v>
      </c>
      <c r="F649" s="63" t="s">
        <v>6</v>
      </c>
      <c r="G649" s="56" t="s">
        <v>2899</v>
      </c>
      <c r="H649" s="56" t="s">
        <v>2900</v>
      </c>
    </row>
    <row r="650" spans="2:8" x14ac:dyDescent="0.3">
      <c r="B650" s="65">
        <v>45946</v>
      </c>
      <c r="C650" s="74">
        <v>45931</v>
      </c>
      <c r="D650" s="56" t="s">
        <v>2811</v>
      </c>
      <c r="E650" s="75" t="s">
        <v>1790</v>
      </c>
      <c r="F650" s="63" t="s">
        <v>6</v>
      </c>
      <c r="G650" s="56" t="s">
        <v>2814</v>
      </c>
      <c r="H650" s="56" t="s">
        <v>2815</v>
      </c>
    </row>
    <row r="651" spans="2:8" x14ac:dyDescent="0.3">
      <c r="B651" s="65">
        <v>45946</v>
      </c>
      <c r="C651" s="74">
        <v>45931</v>
      </c>
      <c r="D651" s="56" t="s">
        <v>2811</v>
      </c>
      <c r="E651" s="75" t="s">
        <v>1790</v>
      </c>
      <c r="F651" s="63" t="s">
        <v>6</v>
      </c>
      <c r="G651" s="56" t="s">
        <v>2816</v>
      </c>
      <c r="H651" s="56" t="s">
        <v>2817</v>
      </c>
    </row>
    <row r="652" spans="2:8" x14ac:dyDescent="0.3">
      <c r="B652" s="65">
        <v>45946</v>
      </c>
      <c r="C652" s="74">
        <v>45931</v>
      </c>
      <c r="D652" s="56" t="s">
        <v>2811</v>
      </c>
      <c r="E652" s="75" t="s">
        <v>1790</v>
      </c>
      <c r="F652" s="63" t="s">
        <v>6</v>
      </c>
      <c r="G652" s="56" t="s">
        <v>2818</v>
      </c>
      <c r="H652" s="56" t="s">
        <v>2819</v>
      </c>
    </row>
    <row r="653" spans="2:8" x14ac:dyDescent="0.3">
      <c r="B653" s="65">
        <v>45947</v>
      </c>
      <c r="C653" s="74">
        <v>45931</v>
      </c>
      <c r="D653" s="56" t="s">
        <v>2811</v>
      </c>
      <c r="E653" s="75" t="s">
        <v>1790</v>
      </c>
      <c r="F653" s="63" t="s">
        <v>6</v>
      </c>
      <c r="G653" s="56" t="s">
        <v>2870</v>
      </c>
      <c r="H653" s="56" t="s">
        <v>2870</v>
      </c>
    </row>
    <row r="654" spans="2:8" x14ac:dyDescent="0.3">
      <c r="B654" s="65">
        <v>45947</v>
      </c>
      <c r="C654" s="74">
        <v>45931</v>
      </c>
      <c r="D654" s="56" t="s">
        <v>2811</v>
      </c>
      <c r="E654" s="75" t="s">
        <v>1790</v>
      </c>
      <c r="F654" s="63" t="s">
        <v>6</v>
      </c>
      <c r="G654" s="56" t="s">
        <v>2899</v>
      </c>
      <c r="H654" s="56" t="s">
        <v>2900</v>
      </c>
    </row>
    <row r="655" spans="2:8" x14ac:dyDescent="0.3">
      <c r="B655" s="65">
        <v>45947</v>
      </c>
      <c r="C655" s="74">
        <v>45931</v>
      </c>
      <c r="D655" s="56" t="s">
        <v>2811</v>
      </c>
      <c r="E655" s="75" t="s">
        <v>1790</v>
      </c>
      <c r="F655" s="63" t="s">
        <v>6</v>
      </c>
      <c r="G655" s="56" t="s">
        <v>2814</v>
      </c>
      <c r="H655" s="56" t="s">
        <v>2815</v>
      </c>
    </row>
    <row r="656" spans="2:8" x14ac:dyDescent="0.3">
      <c r="B656" s="65">
        <v>45947</v>
      </c>
      <c r="C656" s="74">
        <v>45931</v>
      </c>
      <c r="D656" s="56" t="s">
        <v>2811</v>
      </c>
      <c r="E656" s="75" t="s">
        <v>1790</v>
      </c>
      <c r="F656" s="63" t="s">
        <v>6</v>
      </c>
      <c r="G656" s="56" t="s">
        <v>2816</v>
      </c>
      <c r="H656" s="56" t="s">
        <v>2817</v>
      </c>
    </row>
    <row r="657" spans="2:8" x14ac:dyDescent="0.3">
      <c r="B657" s="65">
        <v>45947</v>
      </c>
      <c r="C657" s="74">
        <v>45931</v>
      </c>
      <c r="D657" s="56" t="s">
        <v>2811</v>
      </c>
      <c r="E657" s="75" t="s">
        <v>1790</v>
      </c>
      <c r="F657" s="63" t="s">
        <v>6</v>
      </c>
      <c r="G657" s="56" t="s">
        <v>2818</v>
      </c>
      <c r="H657" s="56" t="s">
        <v>2819</v>
      </c>
    </row>
    <row r="658" spans="2:8" x14ac:dyDescent="0.3">
      <c r="B658" s="65">
        <v>45950</v>
      </c>
      <c r="C658" s="74">
        <v>45931</v>
      </c>
      <c r="D658" s="56" t="s">
        <v>2811</v>
      </c>
      <c r="E658" s="75" t="s">
        <v>1790</v>
      </c>
      <c r="F658" s="63" t="s">
        <v>6</v>
      </c>
      <c r="G658" s="56" t="s">
        <v>2870</v>
      </c>
      <c r="H658" s="56" t="s">
        <v>2870</v>
      </c>
    </row>
    <row r="659" spans="2:8" x14ac:dyDescent="0.3">
      <c r="B659" s="65">
        <v>45950</v>
      </c>
      <c r="C659" s="74">
        <v>45931</v>
      </c>
      <c r="D659" s="56" t="s">
        <v>2811</v>
      </c>
      <c r="E659" s="75" t="s">
        <v>1790</v>
      </c>
      <c r="F659" s="63" t="s">
        <v>6</v>
      </c>
      <c r="G659" s="56" t="s">
        <v>2899</v>
      </c>
      <c r="H659" s="56" t="s">
        <v>2900</v>
      </c>
    </row>
    <row r="660" spans="2:8" x14ac:dyDescent="0.3">
      <c r="B660" s="65">
        <v>45950</v>
      </c>
      <c r="C660" s="74">
        <v>45931</v>
      </c>
      <c r="D660" s="56" t="s">
        <v>2811</v>
      </c>
      <c r="E660" s="75" t="s">
        <v>1790</v>
      </c>
      <c r="F660" s="63" t="s">
        <v>6</v>
      </c>
      <c r="G660" s="56" t="s">
        <v>2814</v>
      </c>
      <c r="H660" s="56" t="s">
        <v>2815</v>
      </c>
    </row>
    <row r="661" spans="2:8" x14ac:dyDescent="0.3">
      <c r="B661" s="65">
        <v>45950</v>
      </c>
      <c r="C661" s="74">
        <v>45931</v>
      </c>
      <c r="D661" s="56" t="s">
        <v>2811</v>
      </c>
      <c r="E661" s="75" t="s">
        <v>1790</v>
      </c>
      <c r="F661" s="63" t="s">
        <v>6</v>
      </c>
      <c r="G661" s="56" t="s">
        <v>2816</v>
      </c>
      <c r="H661" s="56" t="s">
        <v>2817</v>
      </c>
    </row>
    <row r="662" spans="2:8" x14ac:dyDescent="0.3">
      <c r="B662" s="65">
        <v>45950</v>
      </c>
      <c r="C662" s="74">
        <v>45931</v>
      </c>
      <c r="D662" s="56" t="s">
        <v>2811</v>
      </c>
      <c r="E662" s="75" t="s">
        <v>1790</v>
      </c>
      <c r="F662" s="63" t="s">
        <v>6</v>
      </c>
      <c r="G662" s="56" t="s">
        <v>2818</v>
      </c>
      <c r="H662" s="56" t="s">
        <v>2819</v>
      </c>
    </row>
    <row r="663" spans="2:8" x14ac:dyDescent="0.3">
      <c r="B663" s="65">
        <v>45951</v>
      </c>
      <c r="C663" s="74">
        <v>45931</v>
      </c>
      <c r="D663" s="56" t="s">
        <v>2811</v>
      </c>
      <c r="E663" s="75" t="s">
        <v>1790</v>
      </c>
      <c r="F663" s="63" t="s">
        <v>6</v>
      </c>
      <c r="G663" s="56" t="s">
        <v>2870</v>
      </c>
      <c r="H663" s="56" t="s">
        <v>2870</v>
      </c>
    </row>
    <row r="664" spans="2:8" x14ac:dyDescent="0.3">
      <c r="B664" s="65">
        <v>45951</v>
      </c>
      <c r="C664" s="74">
        <v>45931</v>
      </c>
      <c r="D664" s="56" t="s">
        <v>2811</v>
      </c>
      <c r="E664" s="75" t="s">
        <v>1790</v>
      </c>
      <c r="F664" s="63" t="s">
        <v>6</v>
      </c>
      <c r="G664" s="56" t="s">
        <v>2899</v>
      </c>
      <c r="H664" s="56" t="s">
        <v>2900</v>
      </c>
    </row>
    <row r="665" spans="2:8" x14ac:dyDescent="0.3">
      <c r="B665" s="65">
        <v>45951</v>
      </c>
      <c r="C665" s="74">
        <v>45931</v>
      </c>
      <c r="D665" s="56" t="s">
        <v>2811</v>
      </c>
      <c r="E665" s="75" t="s">
        <v>1790</v>
      </c>
      <c r="F665" s="63" t="s">
        <v>6</v>
      </c>
      <c r="G665" s="56" t="s">
        <v>2814</v>
      </c>
      <c r="H665" s="56" t="s">
        <v>2815</v>
      </c>
    </row>
    <row r="666" spans="2:8" x14ac:dyDescent="0.3">
      <c r="B666" s="65">
        <v>45951</v>
      </c>
      <c r="C666" s="74">
        <v>45931</v>
      </c>
      <c r="D666" s="56" t="s">
        <v>2811</v>
      </c>
      <c r="E666" s="75" t="s">
        <v>1790</v>
      </c>
      <c r="F666" s="63" t="s">
        <v>6</v>
      </c>
      <c r="G666" s="56" t="s">
        <v>2816</v>
      </c>
      <c r="H666" s="56" t="s">
        <v>2817</v>
      </c>
    </row>
    <row r="667" spans="2:8" x14ac:dyDescent="0.3">
      <c r="B667" s="65">
        <v>45951</v>
      </c>
      <c r="C667" s="74">
        <v>45931</v>
      </c>
      <c r="D667" s="56" t="s">
        <v>2811</v>
      </c>
      <c r="E667" s="75" t="s">
        <v>1790</v>
      </c>
      <c r="F667" s="63" t="s">
        <v>6</v>
      </c>
      <c r="G667" s="56" t="s">
        <v>2818</v>
      </c>
      <c r="H667" s="56" t="s">
        <v>2819</v>
      </c>
    </row>
    <row r="668" spans="2:8" x14ac:dyDescent="0.3">
      <c r="B668" s="65">
        <v>45952</v>
      </c>
      <c r="C668" s="74">
        <v>45931</v>
      </c>
      <c r="D668" s="56" t="s">
        <v>2811</v>
      </c>
      <c r="E668" s="75" t="s">
        <v>1790</v>
      </c>
      <c r="F668" s="63" t="s">
        <v>6</v>
      </c>
      <c r="G668" s="56" t="s">
        <v>2870</v>
      </c>
      <c r="H668" s="56" t="s">
        <v>2870</v>
      </c>
    </row>
    <row r="669" spans="2:8" x14ac:dyDescent="0.3">
      <c r="B669" s="65">
        <v>45952</v>
      </c>
      <c r="C669" s="74">
        <v>45931</v>
      </c>
      <c r="D669" s="56" t="s">
        <v>2811</v>
      </c>
      <c r="E669" s="75" t="s">
        <v>1790</v>
      </c>
      <c r="F669" s="63" t="s">
        <v>6</v>
      </c>
      <c r="G669" s="56" t="s">
        <v>2899</v>
      </c>
      <c r="H669" s="56" t="s">
        <v>2900</v>
      </c>
    </row>
    <row r="670" spans="2:8" x14ac:dyDescent="0.3">
      <c r="B670" s="65">
        <v>45952</v>
      </c>
      <c r="C670" s="74">
        <v>45931</v>
      </c>
      <c r="D670" s="56" t="s">
        <v>2811</v>
      </c>
      <c r="E670" s="75" t="s">
        <v>1790</v>
      </c>
      <c r="F670" s="63" t="s">
        <v>6</v>
      </c>
      <c r="G670" s="56" t="s">
        <v>2814</v>
      </c>
      <c r="H670" s="56" t="s">
        <v>2815</v>
      </c>
    </row>
    <row r="671" spans="2:8" x14ac:dyDescent="0.3">
      <c r="B671" s="65">
        <v>45952</v>
      </c>
      <c r="C671" s="74">
        <v>45931</v>
      </c>
      <c r="D671" s="56" t="s">
        <v>2811</v>
      </c>
      <c r="E671" s="75" t="s">
        <v>1790</v>
      </c>
      <c r="F671" s="63" t="s">
        <v>6</v>
      </c>
      <c r="G671" s="56" t="s">
        <v>2816</v>
      </c>
      <c r="H671" s="56" t="s">
        <v>2817</v>
      </c>
    </row>
    <row r="672" spans="2:8" x14ac:dyDescent="0.3">
      <c r="B672" s="65">
        <v>45952</v>
      </c>
      <c r="C672" s="74">
        <v>45931</v>
      </c>
      <c r="D672" s="56" t="s">
        <v>2811</v>
      </c>
      <c r="E672" s="75" t="s">
        <v>1790</v>
      </c>
      <c r="F672" s="63" t="s">
        <v>6</v>
      </c>
      <c r="G672" s="56" t="s">
        <v>2818</v>
      </c>
      <c r="H672" s="56" t="s">
        <v>2819</v>
      </c>
    </row>
    <row r="673" spans="2:8" x14ac:dyDescent="0.3">
      <c r="B673" s="65">
        <v>45953</v>
      </c>
      <c r="C673" s="74">
        <v>45931</v>
      </c>
      <c r="D673" s="56" t="s">
        <v>2811</v>
      </c>
      <c r="E673" s="75" t="s">
        <v>1790</v>
      </c>
      <c r="F673" s="63" t="s">
        <v>6</v>
      </c>
      <c r="G673" s="56" t="s">
        <v>2870</v>
      </c>
      <c r="H673" s="56" t="s">
        <v>2870</v>
      </c>
    </row>
    <row r="674" spans="2:8" x14ac:dyDescent="0.3">
      <c r="B674" s="65">
        <v>45953</v>
      </c>
      <c r="C674" s="74">
        <v>45931</v>
      </c>
      <c r="D674" s="56" t="s">
        <v>2811</v>
      </c>
      <c r="E674" s="75" t="s">
        <v>1790</v>
      </c>
      <c r="F674" s="63" t="s">
        <v>6</v>
      </c>
      <c r="G674" s="56" t="s">
        <v>2899</v>
      </c>
      <c r="H674" s="56" t="s">
        <v>2900</v>
      </c>
    </row>
    <row r="675" spans="2:8" x14ac:dyDescent="0.3">
      <c r="B675" s="65">
        <v>45953</v>
      </c>
      <c r="C675" s="74">
        <v>45931</v>
      </c>
      <c r="D675" s="56" t="s">
        <v>2811</v>
      </c>
      <c r="E675" s="75" t="s">
        <v>1790</v>
      </c>
      <c r="F675" s="63" t="s">
        <v>6</v>
      </c>
      <c r="G675" s="56" t="s">
        <v>2814</v>
      </c>
      <c r="H675" s="56" t="s">
        <v>2815</v>
      </c>
    </row>
    <row r="676" spans="2:8" x14ac:dyDescent="0.3">
      <c r="B676" s="65">
        <v>45953</v>
      </c>
      <c r="C676" s="74">
        <v>45931</v>
      </c>
      <c r="D676" s="56" t="s">
        <v>2811</v>
      </c>
      <c r="E676" s="75" t="s">
        <v>1790</v>
      </c>
      <c r="F676" s="63" t="s">
        <v>6</v>
      </c>
      <c r="G676" s="56" t="s">
        <v>2816</v>
      </c>
      <c r="H676" s="56" t="s">
        <v>2817</v>
      </c>
    </row>
    <row r="677" spans="2:8" x14ac:dyDescent="0.3">
      <c r="B677" s="65">
        <v>45953</v>
      </c>
      <c r="C677" s="74">
        <v>45931</v>
      </c>
      <c r="D677" s="56" t="s">
        <v>2811</v>
      </c>
      <c r="E677" s="75" t="s">
        <v>1790</v>
      </c>
      <c r="F677" s="63" t="s">
        <v>6</v>
      </c>
      <c r="G677" s="56" t="s">
        <v>2818</v>
      </c>
      <c r="H677" s="56" t="s">
        <v>2819</v>
      </c>
    </row>
    <row r="678" spans="2:8" x14ac:dyDescent="0.3">
      <c r="B678" s="65">
        <v>45954</v>
      </c>
      <c r="C678" s="74">
        <v>45931</v>
      </c>
      <c r="D678" s="56" t="s">
        <v>2811</v>
      </c>
      <c r="E678" s="75" t="s">
        <v>1790</v>
      </c>
      <c r="F678" s="63" t="s">
        <v>6</v>
      </c>
      <c r="G678" s="56" t="s">
        <v>2870</v>
      </c>
      <c r="H678" s="56" t="s">
        <v>2870</v>
      </c>
    </row>
    <row r="679" spans="2:8" x14ac:dyDescent="0.3">
      <c r="B679" s="65">
        <v>45954</v>
      </c>
      <c r="C679" s="74">
        <v>45931</v>
      </c>
      <c r="D679" s="56" t="s">
        <v>2811</v>
      </c>
      <c r="E679" s="75" t="s">
        <v>1790</v>
      </c>
      <c r="F679" s="63" t="s">
        <v>6</v>
      </c>
      <c r="G679" s="56" t="s">
        <v>2899</v>
      </c>
      <c r="H679" s="56" t="s">
        <v>2900</v>
      </c>
    </row>
    <row r="680" spans="2:8" x14ac:dyDescent="0.3">
      <c r="B680" s="65">
        <v>45954</v>
      </c>
      <c r="C680" s="74">
        <v>45931</v>
      </c>
      <c r="D680" s="56" t="s">
        <v>2811</v>
      </c>
      <c r="E680" s="75" t="s">
        <v>1790</v>
      </c>
      <c r="F680" s="63" t="s">
        <v>6</v>
      </c>
      <c r="G680" s="56" t="s">
        <v>2814</v>
      </c>
      <c r="H680" s="56" t="s">
        <v>2815</v>
      </c>
    </row>
    <row r="681" spans="2:8" x14ac:dyDescent="0.3">
      <c r="B681" s="65">
        <v>45954</v>
      </c>
      <c r="C681" s="74">
        <v>45931</v>
      </c>
      <c r="D681" s="56" t="s">
        <v>2811</v>
      </c>
      <c r="E681" s="75" t="s">
        <v>1790</v>
      </c>
      <c r="F681" s="63" t="s">
        <v>6</v>
      </c>
      <c r="G681" s="56" t="s">
        <v>2816</v>
      </c>
      <c r="H681" s="56" t="s">
        <v>2817</v>
      </c>
    </row>
    <row r="682" spans="2:8" x14ac:dyDescent="0.3">
      <c r="B682" s="65">
        <v>45954</v>
      </c>
      <c r="C682" s="74">
        <v>45931</v>
      </c>
      <c r="D682" s="56" t="s">
        <v>2811</v>
      </c>
      <c r="E682" s="75" t="s">
        <v>1790</v>
      </c>
      <c r="F682" s="63" t="s">
        <v>6</v>
      </c>
      <c r="G682" s="56" t="s">
        <v>2818</v>
      </c>
      <c r="H682" s="56" t="s">
        <v>2819</v>
      </c>
    </row>
    <row r="683" spans="2:8" x14ac:dyDescent="0.3">
      <c r="B683" s="65">
        <v>45957</v>
      </c>
      <c r="C683" s="74">
        <v>45931</v>
      </c>
      <c r="D683" s="56" t="s">
        <v>2811</v>
      </c>
      <c r="E683" s="75" t="s">
        <v>1790</v>
      </c>
      <c r="F683" s="63" t="s">
        <v>6</v>
      </c>
      <c r="G683" s="56" t="s">
        <v>2870</v>
      </c>
      <c r="H683" s="56" t="s">
        <v>2870</v>
      </c>
    </row>
    <row r="684" spans="2:8" x14ac:dyDescent="0.3">
      <c r="B684" s="65">
        <v>45957</v>
      </c>
      <c r="C684" s="74">
        <v>45931</v>
      </c>
      <c r="D684" s="56" t="s">
        <v>2811</v>
      </c>
      <c r="E684" s="75" t="s">
        <v>1790</v>
      </c>
      <c r="F684" s="63" t="s">
        <v>6</v>
      </c>
      <c r="G684" s="56" t="s">
        <v>2899</v>
      </c>
      <c r="H684" s="56" t="s">
        <v>2900</v>
      </c>
    </row>
    <row r="685" spans="2:8" x14ac:dyDescent="0.3">
      <c r="B685" s="65">
        <v>45957</v>
      </c>
      <c r="C685" s="74">
        <v>45931</v>
      </c>
      <c r="D685" s="56" t="s">
        <v>2811</v>
      </c>
      <c r="E685" s="75" t="s">
        <v>1790</v>
      </c>
      <c r="F685" s="63" t="s">
        <v>6</v>
      </c>
      <c r="G685" s="56" t="s">
        <v>2814</v>
      </c>
      <c r="H685" s="56" t="s">
        <v>2815</v>
      </c>
    </row>
    <row r="686" spans="2:8" x14ac:dyDescent="0.3">
      <c r="B686" s="65">
        <v>45957</v>
      </c>
      <c r="C686" s="74">
        <v>45931</v>
      </c>
      <c r="D686" s="56" t="s">
        <v>2811</v>
      </c>
      <c r="E686" s="75" t="s">
        <v>1790</v>
      </c>
      <c r="F686" s="63" t="s">
        <v>6</v>
      </c>
      <c r="G686" s="56" t="s">
        <v>2816</v>
      </c>
      <c r="H686" s="56" t="s">
        <v>2817</v>
      </c>
    </row>
    <row r="687" spans="2:8" x14ac:dyDescent="0.3">
      <c r="B687" s="65">
        <v>45957</v>
      </c>
      <c r="C687" s="74">
        <v>45931</v>
      </c>
      <c r="D687" s="56" t="s">
        <v>2811</v>
      </c>
      <c r="E687" s="75" t="s">
        <v>1790</v>
      </c>
      <c r="F687" s="63" t="s">
        <v>6</v>
      </c>
      <c r="G687" s="56" t="s">
        <v>2818</v>
      </c>
      <c r="H687" s="56" t="s">
        <v>2819</v>
      </c>
    </row>
    <row r="688" spans="2:8" x14ac:dyDescent="0.3">
      <c r="B688" s="65">
        <v>45958</v>
      </c>
      <c r="C688" s="74">
        <v>45931</v>
      </c>
      <c r="D688" s="56" t="s">
        <v>2811</v>
      </c>
      <c r="E688" s="75" t="s">
        <v>1790</v>
      </c>
      <c r="F688" s="63" t="s">
        <v>6</v>
      </c>
      <c r="G688" s="56" t="s">
        <v>2870</v>
      </c>
      <c r="H688" s="56" t="s">
        <v>2870</v>
      </c>
    </row>
    <row r="689" spans="2:8" x14ac:dyDescent="0.3">
      <c r="B689" s="65">
        <v>45958</v>
      </c>
      <c r="C689" s="74">
        <v>45931</v>
      </c>
      <c r="D689" s="56" t="s">
        <v>2811</v>
      </c>
      <c r="E689" s="75" t="s">
        <v>1790</v>
      </c>
      <c r="F689" s="63" t="s">
        <v>6</v>
      </c>
      <c r="G689" s="56" t="s">
        <v>2899</v>
      </c>
      <c r="H689" s="56" t="s">
        <v>2900</v>
      </c>
    </row>
    <row r="690" spans="2:8" x14ac:dyDescent="0.3">
      <c r="B690" s="65">
        <v>45958</v>
      </c>
      <c r="C690" s="74">
        <v>45931</v>
      </c>
      <c r="D690" s="56" t="s">
        <v>2811</v>
      </c>
      <c r="E690" s="75" t="s">
        <v>1790</v>
      </c>
      <c r="F690" s="63" t="s">
        <v>6</v>
      </c>
      <c r="G690" s="56" t="s">
        <v>2814</v>
      </c>
      <c r="H690" s="56" t="s">
        <v>2815</v>
      </c>
    </row>
    <row r="691" spans="2:8" x14ac:dyDescent="0.3">
      <c r="B691" s="65">
        <v>45958</v>
      </c>
      <c r="C691" s="74">
        <v>45931</v>
      </c>
      <c r="D691" s="56" t="s">
        <v>2811</v>
      </c>
      <c r="E691" s="75" t="s">
        <v>1790</v>
      </c>
      <c r="F691" s="63" t="s">
        <v>6</v>
      </c>
      <c r="G691" s="56" t="s">
        <v>2816</v>
      </c>
      <c r="H691" s="56" t="s">
        <v>2817</v>
      </c>
    </row>
    <row r="692" spans="2:8" x14ac:dyDescent="0.3">
      <c r="B692" s="65">
        <v>45958</v>
      </c>
      <c r="C692" s="74">
        <v>45931</v>
      </c>
      <c r="D692" s="56" t="s">
        <v>2811</v>
      </c>
      <c r="E692" s="75" t="s">
        <v>1790</v>
      </c>
      <c r="F692" s="63" t="s">
        <v>6</v>
      </c>
      <c r="G692" s="56" t="s">
        <v>2818</v>
      </c>
      <c r="H692" s="56" t="s">
        <v>2819</v>
      </c>
    </row>
    <row r="693" spans="2:8" x14ac:dyDescent="0.3">
      <c r="B693" s="65">
        <v>45959</v>
      </c>
      <c r="C693" s="74">
        <v>45931</v>
      </c>
      <c r="D693" s="56" t="s">
        <v>2811</v>
      </c>
      <c r="E693" s="75" t="s">
        <v>1790</v>
      </c>
      <c r="F693" s="63" t="s">
        <v>6</v>
      </c>
      <c r="G693" s="56" t="s">
        <v>2870</v>
      </c>
      <c r="H693" s="56" t="s">
        <v>2870</v>
      </c>
    </row>
    <row r="694" spans="2:8" x14ac:dyDescent="0.3">
      <c r="B694" s="65">
        <v>45959</v>
      </c>
      <c r="C694" s="74">
        <v>45931</v>
      </c>
      <c r="D694" s="56" t="s">
        <v>2811</v>
      </c>
      <c r="E694" s="75" t="s">
        <v>1790</v>
      </c>
      <c r="F694" s="63" t="s">
        <v>6</v>
      </c>
      <c r="G694" s="56" t="s">
        <v>2899</v>
      </c>
      <c r="H694" s="56" t="s">
        <v>2900</v>
      </c>
    </row>
    <row r="695" spans="2:8" x14ac:dyDescent="0.3">
      <c r="B695" s="65">
        <v>45959</v>
      </c>
      <c r="C695" s="74">
        <v>45931</v>
      </c>
      <c r="D695" s="56" t="s">
        <v>2811</v>
      </c>
      <c r="E695" s="75" t="s">
        <v>1790</v>
      </c>
      <c r="F695" s="63" t="s">
        <v>6</v>
      </c>
      <c r="G695" s="56" t="s">
        <v>2814</v>
      </c>
      <c r="H695" s="56" t="s">
        <v>2815</v>
      </c>
    </row>
    <row r="696" spans="2:8" x14ac:dyDescent="0.3">
      <c r="B696" s="65">
        <v>45959</v>
      </c>
      <c r="C696" s="74">
        <v>45931</v>
      </c>
      <c r="D696" s="56" t="s">
        <v>2811</v>
      </c>
      <c r="E696" s="75" t="s">
        <v>1790</v>
      </c>
      <c r="F696" s="63" t="s">
        <v>6</v>
      </c>
      <c r="G696" s="56" t="s">
        <v>2816</v>
      </c>
      <c r="H696" s="56" t="s">
        <v>2817</v>
      </c>
    </row>
    <row r="697" spans="2:8" x14ac:dyDescent="0.3">
      <c r="B697" s="65">
        <v>45959</v>
      </c>
      <c r="C697" s="74">
        <v>45931</v>
      </c>
      <c r="D697" s="56" t="s">
        <v>2811</v>
      </c>
      <c r="E697" s="75" t="s">
        <v>1790</v>
      </c>
      <c r="F697" s="63" t="s">
        <v>6</v>
      </c>
      <c r="G697" s="56" t="s">
        <v>2818</v>
      </c>
      <c r="H697" s="56" t="s">
        <v>2819</v>
      </c>
    </row>
    <row r="698" spans="2:8" x14ac:dyDescent="0.3">
      <c r="B698" s="65">
        <v>45960</v>
      </c>
      <c r="C698" s="74">
        <v>45931</v>
      </c>
      <c r="D698" s="56" t="s">
        <v>2811</v>
      </c>
      <c r="E698" s="75" t="s">
        <v>1790</v>
      </c>
      <c r="F698" s="63" t="s">
        <v>6</v>
      </c>
      <c r="G698" s="56" t="s">
        <v>2870</v>
      </c>
      <c r="H698" s="56" t="s">
        <v>2870</v>
      </c>
    </row>
    <row r="699" spans="2:8" x14ac:dyDescent="0.3">
      <c r="B699" s="65">
        <v>45960</v>
      </c>
      <c r="C699" s="74">
        <v>45931</v>
      </c>
      <c r="D699" s="56" t="s">
        <v>2811</v>
      </c>
      <c r="E699" s="75" t="s">
        <v>1790</v>
      </c>
      <c r="F699" s="63" t="s">
        <v>6</v>
      </c>
      <c r="G699" s="56" t="s">
        <v>2899</v>
      </c>
      <c r="H699" s="56" t="s">
        <v>2900</v>
      </c>
    </row>
    <row r="700" spans="2:8" x14ac:dyDescent="0.3">
      <c r="B700" s="65">
        <v>45960</v>
      </c>
      <c r="C700" s="74">
        <v>45931</v>
      </c>
      <c r="D700" s="56" t="s">
        <v>2811</v>
      </c>
      <c r="E700" s="75" t="s">
        <v>1790</v>
      </c>
      <c r="F700" s="63" t="s">
        <v>6</v>
      </c>
      <c r="G700" s="56" t="s">
        <v>2814</v>
      </c>
      <c r="H700" s="56" t="s">
        <v>2815</v>
      </c>
    </row>
    <row r="701" spans="2:8" x14ac:dyDescent="0.3">
      <c r="B701" s="65">
        <v>45960</v>
      </c>
      <c r="C701" s="74">
        <v>45931</v>
      </c>
      <c r="D701" s="56" t="s">
        <v>2811</v>
      </c>
      <c r="E701" s="75" t="s">
        <v>1790</v>
      </c>
      <c r="F701" s="63" t="s">
        <v>6</v>
      </c>
      <c r="G701" s="56" t="s">
        <v>2816</v>
      </c>
      <c r="H701" s="56" t="s">
        <v>2817</v>
      </c>
    </row>
    <row r="702" spans="2:8" x14ac:dyDescent="0.3">
      <c r="B702" s="65">
        <v>45960</v>
      </c>
      <c r="C702" s="74">
        <v>45931</v>
      </c>
      <c r="D702" s="56" t="s">
        <v>2811</v>
      </c>
      <c r="E702" s="75" t="s">
        <v>1790</v>
      </c>
      <c r="F702" s="63" t="s">
        <v>6</v>
      </c>
      <c r="G702" s="56" t="s">
        <v>2818</v>
      </c>
      <c r="H702" s="56" t="s">
        <v>2819</v>
      </c>
    </row>
    <row r="703" spans="2:8" x14ac:dyDescent="0.3">
      <c r="B703" s="65">
        <v>45964</v>
      </c>
      <c r="C703" s="74">
        <v>45962</v>
      </c>
      <c r="D703" s="56" t="s">
        <v>2811</v>
      </c>
      <c r="E703" s="75" t="s">
        <v>1790</v>
      </c>
      <c r="F703" s="63" t="s">
        <v>6</v>
      </c>
      <c r="G703" s="56" t="s">
        <v>2870</v>
      </c>
      <c r="H703" s="56" t="s">
        <v>2870</v>
      </c>
    </row>
    <row r="704" spans="2:8" x14ac:dyDescent="0.3">
      <c r="B704" s="65">
        <v>45964</v>
      </c>
      <c r="C704" s="74">
        <v>45962</v>
      </c>
      <c r="D704" s="56" t="s">
        <v>2811</v>
      </c>
      <c r="E704" s="75" t="s">
        <v>1790</v>
      </c>
      <c r="F704" s="63" t="s">
        <v>6</v>
      </c>
      <c r="G704" s="56" t="s">
        <v>2899</v>
      </c>
      <c r="H704" s="56" t="s">
        <v>2900</v>
      </c>
    </row>
    <row r="705" spans="2:8" x14ac:dyDescent="0.3">
      <c r="B705" s="65">
        <v>45964</v>
      </c>
      <c r="C705" s="74">
        <v>45962</v>
      </c>
      <c r="D705" s="56" t="s">
        <v>2811</v>
      </c>
      <c r="E705" s="75" t="s">
        <v>1790</v>
      </c>
      <c r="F705" s="63" t="s">
        <v>6</v>
      </c>
      <c r="G705" s="56" t="s">
        <v>2814</v>
      </c>
      <c r="H705" s="56" t="s">
        <v>2815</v>
      </c>
    </row>
    <row r="706" spans="2:8" x14ac:dyDescent="0.3">
      <c r="B706" s="65">
        <v>45964</v>
      </c>
      <c r="C706" s="74">
        <v>45962</v>
      </c>
      <c r="D706" s="56" t="s">
        <v>2811</v>
      </c>
      <c r="E706" s="75" t="s">
        <v>1790</v>
      </c>
      <c r="F706" s="63" t="s">
        <v>6</v>
      </c>
      <c r="G706" s="56" t="s">
        <v>2816</v>
      </c>
      <c r="H706" s="56" t="s">
        <v>2817</v>
      </c>
    </row>
    <row r="707" spans="2:8" x14ac:dyDescent="0.3">
      <c r="B707" s="65">
        <v>45964</v>
      </c>
      <c r="C707" s="74">
        <v>45962</v>
      </c>
      <c r="D707" s="56" t="s">
        <v>2811</v>
      </c>
      <c r="E707" s="75" t="s">
        <v>1790</v>
      </c>
      <c r="F707" s="63" t="s">
        <v>6</v>
      </c>
      <c r="G707" s="56" t="s">
        <v>2818</v>
      </c>
      <c r="H707" s="56" t="s">
        <v>2819</v>
      </c>
    </row>
    <row r="708" spans="2:8" x14ac:dyDescent="0.3">
      <c r="B708" s="65">
        <v>45965</v>
      </c>
      <c r="C708" s="74">
        <v>45962</v>
      </c>
      <c r="D708" s="56" t="s">
        <v>2811</v>
      </c>
      <c r="E708" s="75" t="s">
        <v>1790</v>
      </c>
      <c r="F708" s="63" t="s">
        <v>6</v>
      </c>
      <c r="G708" s="56" t="s">
        <v>2870</v>
      </c>
      <c r="H708" s="56" t="s">
        <v>2870</v>
      </c>
    </row>
    <row r="709" spans="2:8" x14ac:dyDescent="0.3">
      <c r="B709" s="65">
        <v>45965</v>
      </c>
      <c r="C709" s="74">
        <v>45962</v>
      </c>
      <c r="D709" s="56" t="s">
        <v>2811</v>
      </c>
      <c r="E709" s="75" t="s">
        <v>1790</v>
      </c>
      <c r="F709" s="63" t="s">
        <v>6</v>
      </c>
      <c r="G709" s="56" t="s">
        <v>2899</v>
      </c>
      <c r="H709" s="56" t="s">
        <v>2900</v>
      </c>
    </row>
    <row r="710" spans="2:8" x14ac:dyDescent="0.3">
      <c r="B710" s="65">
        <v>45965</v>
      </c>
      <c r="C710" s="74">
        <v>45962</v>
      </c>
      <c r="D710" s="56" t="s">
        <v>2811</v>
      </c>
      <c r="E710" s="75" t="s">
        <v>1790</v>
      </c>
      <c r="F710" s="63" t="s">
        <v>6</v>
      </c>
      <c r="G710" s="56" t="s">
        <v>2814</v>
      </c>
      <c r="H710" s="56" t="s">
        <v>2815</v>
      </c>
    </row>
    <row r="711" spans="2:8" x14ac:dyDescent="0.3">
      <c r="B711" s="65">
        <v>45965</v>
      </c>
      <c r="C711" s="74">
        <v>45962</v>
      </c>
      <c r="D711" s="56" t="s">
        <v>2811</v>
      </c>
      <c r="E711" s="75" t="s">
        <v>1790</v>
      </c>
      <c r="F711" s="63" t="s">
        <v>6</v>
      </c>
      <c r="G711" s="56" t="s">
        <v>2816</v>
      </c>
      <c r="H711" s="56" t="s">
        <v>2817</v>
      </c>
    </row>
    <row r="712" spans="2:8" x14ac:dyDescent="0.3">
      <c r="B712" s="65">
        <v>45965</v>
      </c>
      <c r="C712" s="74">
        <v>45962</v>
      </c>
      <c r="D712" s="56" t="s">
        <v>2811</v>
      </c>
      <c r="E712" s="75" t="s">
        <v>1790</v>
      </c>
      <c r="F712" s="63" t="s">
        <v>6</v>
      </c>
      <c r="G712" s="56" t="s">
        <v>2818</v>
      </c>
      <c r="H712" s="56" t="s">
        <v>2819</v>
      </c>
    </row>
    <row r="713" spans="2:8" x14ac:dyDescent="0.3">
      <c r="B713" s="65">
        <v>45966</v>
      </c>
      <c r="C713" s="74">
        <v>45962</v>
      </c>
      <c r="D713" s="56" t="s">
        <v>2811</v>
      </c>
      <c r="E713" s="75" t="s">
        <v>1790</v>
      </c>
      <c r="F713" s="63" t="s">
        <v>6</v>
      </c>
      <c r="G713" s="56" t="s">
        <v>2870</v>
      </c>
      <c r="H713" s="56" t="s">
        <v>2870</v>
      </c>
    </row>
    <row r="714" spans="2:8" x14ac:dyDescent="0.3">
      <c r="B714" s="65">
        <v>45966</v>
      </c>
      <c r="C714" s="74">
        <v>45962</v>
      </c>
      <c r="D714" s="56" t="s">
        <v>2811</v>
      </c>
      <c r="E714" s="75" t="s">
        <v>1790</v>
      </c>
      <c r="F714" s="63" t="s">
        <v>6</v>
      </c>
      <c r="G714" s="56" t="s">
        <v>2899</v>
      </c>
      <c r="H714" s="56" t="s">
        <v>2900</v>
      </c>
    </row>
    <row r="715" spans="2:8" x14ac:dyDescent="0.3">
      <c r="B715" s="65">
        <v>45966</v>
      </c>
      <c r="C715" s="74">
        <v>45962</v>
      </c>
      <c r="D715" s="56" t="s">
        <v>2811</v>
      </c>
      <c r="E715" s="75" t="s">
        <v>1790</v>
      </c>
      <c r="F715" s="63" t="s">
        <v>6</v>
      </c>
      <c r="G715" s="56" t="s">
        <v>2814</v>
      </c>
      <c r="H715" s="56" t="s">
        <v>2815</v>
      </c>
    </row>
    <row r="716" spans="2:8" x14ac:dyDescent="0.3">
      <c r="B716" s="65">
        <v>45966</v>
      </c>
      <c r="C716" s="74">
        <v>45962</v>
      </c>
      <c r="D716" s="56" t="s">
        <v>2811</v>
      </c>
      <c r="E716" s="75" t="s">
        <v>1790</v>
      </c>
      <c r="F716" s="63" t="s">
        <v>6</v>
      </c>
      <c r="G716" s="56" t="s">
        <v>2816</v>
      </c>
      <c r="H716" s="56" t="s">
        <v>2817</v>
      </c>
    </row>
    <row r="717" spans="2:8" x14ac:dyDescent="0.3">
      <c r="B717" s="65">
        <v>45966</v>
      </c>
      <c r="C717" s="74">
        <v>45962</v>
      </c>
      <c r="D717" s="56" t="s">
        <v>2811</v>
      </c>
      <c r="E717" s="75" t="s">
        <v>1790</v>
      </c>
      <c r="F717" s="63" t="s">
        <v>6</v>
      </c>
      <c r="G717" s="56" t="s">
        <v>2818</v>
      </c>
      <c r="H717" s="56" t="s">
        <v>2819</v>
      </c>
    </row>
    <row r="718" spans="2:8" ht="18.75" customHeight="1" x14ac:dyDescent="0.3">
      <c r="B718" s="65">
        <v>45967</v>
      </c>
      <c r="C718" s="74">
        <v>45962</v>
      </c>
      <c r="D718" s="56" t="s">
        <v>2811</v>
      </c>
      <c r="E718" s="75" t="s">
        <v>1790</v>
      </c>
      <c r="F718" s="137" t="s">
        <v>4</v>
      </c>
      <c r="G718" s="87" t="s">
        <v>3029</v>
      </c>
      <c r="H718" s="87" t="s">
        <v>3029</v>
      </c>
    </row>
    <row r="719" spans="2:8" x14ac:dyDescent="0.3">
      <c r="B719" s="65">
        <v>45967</v>
      </c>
      <c r="C719" s="74">
        <v>45962</v>
      </c>
      <c r="D719" s="56" t="s">
        <v>2811</v>
      </c>
      <c r="E719" s="75" t="s">
        <v>1790</v>
      </c>
      <c r="F719" s="63" t="s">
        <v>6</v>
      </c>
      <c r="G719" s="56" t="s">
        <v>2870</v>
      </c>
      <c r="H719" s="56" t="s">
        <v>2870</v>
      </c>
    </row>
    <row r="720" spans="2:8" x14ac:dyDescent="0.3">
      <c r="B720" s="65">
        <v>45967</v>
      </c>
      <c r="C720" s="74">
        <v>45962</v>
      </c>
      <c r="D720" s="56" t="s">
        <v>2811</v>
      </c>
      <c r="E720" s="75" t="s">
        <v>1790</v>
      </c>
      <c r="F720" s="63" t="s">
        <v>6</v>
      </c>
      <c r="G720" s="56" t="s">
        <v>2899</v>
      </c>
      <c r="H720" s="56" t="s">
        <v>2900</v>
      </c>
    </row>
    <row r="721" spans="2:8" x14ac:dyDescent="0.3">
      <c r="B721" s="65">
        <v>45967</v>
      </c>
      <c r="C721" s="74">
        <v>45962</v>
      </c>
      <c r="D721" s="56" t="s">
        <v>2811</v>
      </c>
      <c r="E721" s="75" t="s">
        <v>1790</v>
      </c>
      <c r="F721" s="63" t="s">
        <v>6</v>
      </c>
      <c r="G721" s="56" t="s">
        <v>2814</v>
      </c>
      <c r="H721" s="56" t="s">
        <v>2815</v>
      </c>
    </row>
    <row r="722" spans="2:8" x14ac:dyDescent="0.3">
      <c r="B722" s="65">
        <v>45967</v>
      </c>
      <c r="C722" s="74">
        <v>45962</v>
      </c>
      <c r="D722" s="56" t="s">
        <v>2811</v>
      </c>
      <c r="E722" s="75" t="s">
        <v>1790</v>
      </c>
      <c r="F722" s="63" t="s">
        <v>6</v>
      </c>
      <c r="G722" s="56" t="s">
        <v>2816</v>
      </c>
      <c r="H722" s="56" t="s">
        <v>2817</v>
      </c>
    </row>
    <row r="723" spans="2:8" x14ac:dyDescent="0.3">
      <c r="B723" s="65">
        <v>45967</v>
      </c>
      <c r="C723" s="74">
        <v>45962</v>
      </c>
      <c r="D723" s="56" t="s">
        <v>2811</v>
      </c>
      <c r="E723" s="75" t="s">
        <v>1790</v>
      </c>
      <c r="F723" s="63" t="s">
        <v>6</v>
      </c>
      <c r="G723" s="56" t="s">
        <v>2818</v>
      </c>
      <c r="H723" s="56" t="s">
        <v>2819</v>
      </c>
    </row>
    <row r="724" spans="2:8" x14ac:dyDescent="0.3">
      <c r="B724" s="65">
        <v>45968</v>
      </c>
      <c r="C724" s="74">
        <v>45962</v>
      </c>
      <c r="D724" s="56" t="s">
        <v>2811</v>
      </c>
      <c r="E724" s="75" t="s">
        <v>1790</v>
      </c>
      <c r="F724" s="137" t="s">
        <v>4</v>
      </c>
      <c r="G724" s="56" t="s">
        <v>3030</v>
      </c>
      <c r="H724" s="56" t="s">
        <v>3030</v>
      </c>
    </row>
    <row r="725" spans="2:8" x14ac:dyDescent="0.3">
      <c r="B725" s="65">
        <v>45968</v>
      </c>
      <c r="C725" s="74">
        <v>45962</v>
      </c>
      <c r="D725" s="56" t="s">
        <v>2811</v>
      </c>
      <c r="E725" s="75" t="s">
        <v>1790</v>
      </c>
      <c r="F725" s="63" t="s">
        <v>6</v>
      </c>
      <c r="G725" s="56" t="s">
        <v>2870</v>
      </c>
      <c r="H725" s="56" t="s">
        <v>2870</v>
      </c>
    </row>
    <row r="726" spans="2:8" x14ac:dyDescent="0.3">
      <c r="B726" s="65">
        <v>45968</v>
      </c>
      <c r="C726" s="74">
        <v>45962</v>
      </c>
      <c r="D726" s="56" t="s">
        <v>2811</v>
      </c>
      <c r="E726" s="75" t="s">
        <v>1790</v>
      </c>
      <c r="F726" s="63" t="s">
        <v>6</v>
      </c>
      <c r="G726" s="56" t="s">
        <v>2899</v>
      </c>
      <c r="H726" s="56" t="s">
        <v>2900</v>
      </c>
    </row>
    <row r="727" spans="2:8" x14ac:dyDescent="0.3">
      <c r="B727" s="65">
        <v>45968</v>
      </c>
      <c r="C727" s="74">
        <v>45962</v>
      </c>
      <c r="D727" s="56" t="s">
        <v>2811</v>
      </c>
      <c r="E727" s="75" t="s">
        <v>1790</v>
      </c>
      <c r="F727" s="63" t="s">
        <v>6</v>
      </c>
      <c r="G727" s="56" t="s">
        <v>2814</v>
      </c>
      <c r="H727" s="56" t="s">
        <v>2815</v>
      </c>
    </row>
    <row r="728" spans="2:8" x14ac:dyDescent="0.3">
      <c r="B728" s="65">
        <v>45968</v>
      </c>
      <c r="C728" s="74">
        <v>45962</v>
      </c>
      <c r="D728" s="56" t="s">
        <v>2811</v>
      </c>
      <c r="E728" s="75" t="s">
        <v>1790</v>
      </c>
      <c r="F728" s="63" t="s">
        <v>6</v>
      </c>
      <c r="G728" s="56" t="s">
        <v>2816</v>
      </c>
      <c r="H728" s="56" t="s">
        <v>2817</v>
      </c>
    </row>
    <row r="729" spans="2:8" x14ac:dyDescent="0.3">
      <c r="B729" s="65">
        <v>45968</v>
      </c>
      <c r="C729" s="74">
        <v>45962</v>
      </c>
      <c r="D729" s="56" t="s">
        <v>2811</v>
      </c>
      <c r="E729" s="75" t="s">
        <v>1790</v>
      </c>
      <c r="F729" s="63" t="s">
        <v>6</v>
      </c>
      <c r="G729" s="56" t="s">
        <v>2818</v>
      </c>
      <c r="H729" s="56" t="s">
        <v>2819</v>
      </c>
    </row>
    <row r="730" spans="2:8" x14ac:dyDescent="0.3">
      <c r="B730" s="65">
        <v>45971</v>
      </c>
      <c r="C730" s="74">
        <v>45962</v>
      </c>
      <c r="D730" s="56" t="s">
        <v>2811</v>
      </c>
      <c r="E730" s="75" t="s">
        <v>1790</v>
      </c>
      <c r="F730" s="63" t="s">
        <v>6</v>
      </c>
      <c r="G730" s="56" t="s">
        <v>2870</v>
      </c>
      <c r="H730" s="56" t="s">
        <v>2870</v>
      </c>
    </row>
    <row r="731" spans="2:8" x14ac:dyDescent="0.3">
      <c r="B731" s="65">
        <v>45971</v>
      </c>
      <c r="C731" s="74">
        <v>45962</v>
      </c>
      <c r="D731" s="56" t="s">
        <v>2811</v>
      </c>
      <c r="E731" s="75" t="s">
        <v>1790</v>
      </c>
      <c r="F731" s="63" t="s">
        <v>6</v>
      </c>
      <c r="G731" s="56" t="s">
        <v>2899</v>
      </c>
      <c r="H731" s="56" t="s">
        <v>2900</v>
      </c>
    </row>
    <row r="732" spans="2:8" x14ac:dyDescent="0.3">
      <c r="B732" s="65">
        <v>45971</v>
      </c>
      <c r="C732" s="74">
        <v>45962</v>
      </c>
      <c r="D732" s="56" t="s">
        <v>2811</v>
      </c>
      <c r="E732" s="75" t="s">
        <v>1790</v>
      </c>
      <c r="F732" s="63" t="s">
        <v>6</v>
      </c>
      <c r="G732" s="56" t="s">
        <v>2814</v>
      </c>
      <c r="H732" s="56" t="s">
        <v>2815</v>
      </c>
    </row>
    <row r="733" spans="2:8" x14ac:dyDescent="0.3">
      <c r="B733" s="65">
        <v>45971</v>
      </c>
      <c r="C733" s="74">
        <v>45962</v>
      </c>
      <c r="D733" s="56" t="s">
        <v>2811</v>
      </c>
      <c r="E733" s="75" t="s">
        <v>1790</v>
      </c>
      <c r="F733" s="63" t="s">
        <v>6</v>
      </c>
      <c r="G733" s="56" t="s">
        <v>2816</v>
      </c>
      <c r="H733" s="56" t="s">
        <v>2817</v>
      </c>
    </row>
    <row r="734" spans="2:8" x14ac:dyDescent="0.3">
      <c r="B734" s="65">
        <v>45971</v>
      </c>
      <c r="C734" s="74">
        <v>45962</v>
      </c>
      <c r="D734" s="56" t="s">
        <v>2811</v>
      </c>
      <c r="E734" s="75" t="s">
        <v>1790</v>
      </c>
      <c r="F734" s="63" t="s">
        <v>6</v>
      </c>
      <c r="G734" s="56" t="s">
        <v>2818</v>
      </c>
      <c r="H734" s="56" t="s">
        <v>2819</v>
      </c>
    </row>
    <row r="735" spans="2:8" x14ac:dyDescent="0.3">
      <c r="B735" s="65">
        <v>45972</v>
      </c>
      <c r="C735" s="74">
        <v>45962</v>
      </c>
      <c r="D735" s="56" t="s">
        <v>2811</v>
      </c>
      <c r="E735" s="75" t="s">
        <v>1790</v>
      </c>
      <c r="F735" s="63" t="s">
        <v>6</v>
      </c>
      <c r="G735" s="56" t="s">
        <v>2870</v>
      </c>
      <c r="H735" s="56" t="s">
        <v>2870</v>
      </c>
    </row>
    <row r="736" spans="2:8" x14ac:dyDescent="0.3">
      <c r="B736" s="65">
        <v>45972</v>
      </c>
      <c r="C736" s="74">
        <v>45962</v>
      </c>
      <c r="D736" s="56" t="s">
        <v>2811</v>
      </c>
      <c r="E736" s="75" t="s">
        <v>1790</v>
      </c>
      <c r="F736" s="63" t="s">
        <v>6</v>
      </c>
      <c r="G736" s="56" t="s">
        <v>2899</v>
      </c>
      <c r="H736" s="56" t="s">
        <v>2900</v>
      </c>
    </row>
    <row r="737" spans="2:8" x14ac:dyDescent="0.3">
      <c r="B737" s="65">
        <v>45972</v>
      </c>
      <c r="C737" s="74">
        <v>45962</v>
      </c>
      <c r="D737" s="56" t="s">
        <v>2811</v>
      </c>
      <c r="E737" s="75" t="s">
        <v>1790</v>
      </c>
      <c r="F737" s="63" t="s">
        <v>6</v>
      </c>
      <c r="G737" s="56" t="s">
        <v>2814</v>
      </c>
      <c r="H737" s="56" t="s">
        <v>2815</v>
      </c>
    </row>
    <row r="738" spans="2:8" x14ac:dyDescent="0.3">
      <c r="B738" s="65">
        <v>45972</v>
      </c>
      <c r="C738" s="74">
        <v>45962</v>
      </c>
      <c r="D738" s="56" t="s">
        <v>2811</v>
      </c>
      <c r="E738" s="75" t="s">
        <v>1790</v>
      </c>
      <c r="F738" s="63" t="s">
        <v>6</v>
      </c>
      <c r="G738" s="56" t="s">
        <v>2816</v>
      </c>
      <c r="H738" s="56" t="s">
        <v>2817</v>
      </c>
    </row>
    <row r="739" spans="2:8" x14ac:dyDescent="0.3">
      <c r="B739" s="65">
        <v>45972</v>
      </c>
      <c r="C739" s="74">
        <v>45962</v>
      </c>
      <c r="D739" s="56" t="s">
        <v>2811</v>
      </c>
      <c r="E739" s="75" t="s">
        <v>1790</v>
      </c>
      <c r="F739" s="63" t="s">
        <v>6</v>
      </c>
      <c r="G739" s="56" t="s">
        <v>2818</v>
      </c>
      <c r="H739" s="56" t="s">
        <v>2819</v>
      </c>
    </row>
    <row r="740" spans="2:8" x14ac:dyDescent="0.3">
      <c r="B740" s="65">
        <v>45973</v>
      </c>
      <c r="C740" s="74">
        <v>45962</v>
      </c>
      <c r="D740" s="56" t="s">
        <v>2811</v>
      </c>
      <c r="E740" s="75" t="s">
        <v>1790</v>
      </c>
      <c r="F740" s="63" t="s">
        <v>6</v>
      </c>
      <c r="G740" s="56" t="s">
        <v>2870</v>
      </c>
      <c r="H740" s="56" t="s">
        <v>2870</v>
      </c>
    </row>
    <row r="741" spans="2:8" x14ac:dyDescent="0.3">
      <c r="B741" s="65">
        <v>45973</v>
      </c>
      <c r="C741" s="74">
        <v>45962</v>
      </c>
      <c r="D741" s="56" t="s">
        <v>2811</v>
      </c>
      <c r="E741" s="75" t="s">
        <v>1790</v>
      </c>
      <c r="F741" s="63" t="s">
        <v>6</v>
      </c>
      <c r="G741" s="56" t="s">
        <v>2899</v>
      </c>
      <c r="H741" s="56" t="s">
        <v>2900</v>
      </c>
    </row>
    <row r="742" spans="2:8" x14ac:dyDescent="0.3">
      <c r="B742" s="65">
        <v>45973</v>
      </c>
      <c r="C742" s="74">
        <v>45962</v>
      </c>
      <c r="D742" s="56" t="s">
        <v>2811</v>
      </c>
      <c r="E742" s="75" t="s">
        <v>1790</v>
      </c>
      <c r="F742" s="63" t="s">
        <v>6</v>
      </c>
      <c r="G742" s="56" t="s">
        <v>2814</v>
      </c>
      <c r="H742" s="56" t="s">
        <v>2815</v>
      </c>
    </row>
    <row r="743" spans="2:8" x14ac:dyDescent="0.3">
      <c r="B743" s="65">
        <v>45973</v>
      </c>
      <c r="C743" s="74">
        <v>45962</v>
      </c>
      <c r="D743" s="56" t="s">
        <v>2811</v>
      </c>
      <c r="E743" s="75" t="s">
        <v>1790</v>
      </c>
      <c r="F743" s="63" t="s">
        <v>6</v>
      </c>
      <c r="G743" s="56" t="s">
        <v>2816</v>
      </c>
      <c r="H743" s="56" t="s">
        <v>2817</v>
      </c>
    </row>
    <row r="744" spans="2:8" x14ac:dyDescent="0.3">
      <c r="B744" s="65">
        <v>45973</v>
      </c>
      <c r="C744" s="74">
        <v>45962</v>
      </c>
      <c r="D744" s="56" t="s">
        <v>2811</v>
      </c>
      <c r="E744" s="75" t="s">
        <v>1790</v>
      </c>
      <c r="F744" s="63" t="s">
        <v>6</v>
      </c>
      <c r="G744" s="56" t="s">
        <v>2818</v>
      </c>
      <c r="H744" s="56" t="s">
        <v>2819</v>
      </c>
    </row>
    <row r="745" spans="2:8" x14ac:dyDescent="0.3">
      <c r="B745" s="65">
        <v>45974</v>
      </c>
      <c r="C745" s="74">
        <v>45962</v>
      </c>
      <c r="D745" s="56" t="s">
        <v>2811</v>
      </c>
      <c r="E745" s="75" t="s">
        <v>1790</v>
      </c>
      <c r="F745" s="63" t="s">
        <v>6</v>
      </c>
      <c r="G745" s="56" t="s">
        <v>2870</v>
      </c>
      <c r="H745" s="56" t="s">
        <v>2870</v>
      </c>
    </row>
    <row r="746" spans="2:8" x14ac:dyDescent="0.3">
      <c r="B746" s="65">
        <v>45974</v>
      </c>
      <c r="C746" s="74">
        <v>45962</v>
      </c>
      <c r="D746" s="56" t="s">
        <v>2811</v>
      </c>
      <c r="E746" s="75" t="s">
        <v>1790</v>
      </c>
      <c r="F746" s="63" t="s">
        <v>6</v>
      </c>
      <c r="G746" s="56" t="s">
        <v>2899</v>
      </c>
      <c r="H746" s="56" t="s">
        <v>2900</v>
      </c>
    </row>
    <row r="747" spans="2:8" x14ac:dyDescent="0.3">
      <c r="B747" s="65">
        <v>45974</v>
      </c>
      <c r="C747" s="74">
        <v>45962</v>
      </c>
      <c r="D747" s="56" t="s">
        <v>2811</v>
      </c>
      <c r="E747" s="75" t="s">
        <v>1790</v>
      </c>
      <c r="F747" s="63" t="s">
        <v>6</v>
      </c>
      <c r="G747" s="56" t="s">
        <v>2814</v>
      </c>
      <c r="H747" s="56" t="s">
        <v>2815</v>
      </c>
    </row>
    <row r="748" spans="2:8" x14ac:dyDescent="0.3">
      <c r="B748" s="65">
        <v>45974</v>
      </c>
      <c r="C748" s="74">
        <v>45962</v>
      </c>
      <c r="D748" s="56" t="s">
        <v>2811</v>
      </c>
      <c r="E748" s="75" t="s">
        <v>1790</v>
      </c>
      <c r="F748" s="63" t="s">
        <v>6</v>
      </c>
      <c r="G748" s="56" t="s">
        <v>2816</v>
      </c>
      <c r="H748" s="56" t="s">
        <v>2817</v>
      </c>
    </row>
    <row r="749" spans="2:8" x14ac:dyDescent="0.3">
      <c r="B749" s="65">
        <v>45974</v>
      </c>
      <c r="C749" s="74">
        <v>45962</v>
      </c>
      <c r="D749" s="56" t="s">
        <v>2811</v>
      </c>
      <c r="E749" s="75" t="s">
        <v>1790</v>
      </c>
      <c r="F749" s="63" t="s">
        <v>6</v>
      </c>
      <c r="G749" s="56" t="s">
        <v>2818</v>
      </c>
      <c r="H749" s="56" t="s">
        <v>2819</v>
      </c>
    </row>
    <row r="750" spans="2:8" x14ac:dyDescent="0.3">
      <c r="B750" s="65">
        <v>45975</v>
      </c>
      <c r="C750" s="74">
        <v>45962</v>
      </c>
      <c r="D750" s="56" t="s">
        <v>2811</v>
      </c>
      <c r="E750" s="75" t="s">
        <v>1790</v>
      </c>
      <c r="F750" s="63" t="s">
        <v>6</v>
      </c>
      <c r="G750" s="56" t="s">
        <v>2870</v>
      </c>
      <c r="H750" s="56" t="s">
        <v>2870</v>
      </c>
    </row>
    <row r="751" spans="2:8" x14ac:dyDescent="0.3">
      <c r="B751" s="65">
        <v>45975</v>
      </c>
      <c r="C751" s="74">
        <v>45962</v>
      </c>
      <c r="D751" s="56" t="s">
        <v>2811</v>
      </c>
      <c r="E751" s="75" t="s">
        <v>1790</v>
      </c>
      <c r="F751" s="63" t="s">
        <v>6</v>
      </c>
      <c r="G751" s="56" t="s">
        <v>2899</v>
      </c>
      <c r="H751" s="56" t="s">
        <v>2900</v>
      </c>
    </row>
    <row r="752" spans="2:8" x14ac:dyDescent="0.3">
      <c r="B752" s="65">
        <v>45975</v>
      </c>
      <c r="C752" s="74">
        <v>45962</v>
      </c>
      <c r="D752" s="56" t="s">
        <v>2811</v>
      </c>
      <c r="E752" s="75" t="s">
        <v>1790</v>
      </c>
      <c r="F752" s="63" t="s">
        <v>6</v>
      </c>
      <c r="G752" s="56" t="s">
        <v>2814</v>
      </c>
      <c r="H752" s="56" t="s">
        <v>2815</v>
      </c>
    </row>
    <row r="753" spans="2:8" x14ac:dyDescent="0.3">
      <c r="B753" s="65">
        <v>45975</v>
      </c>
      <c r="C753" s="74">
        <v>45962</v>
      </c>
      <c r="D753" s="56" t="s">
        <v>2811</v>
      </c>
      <c r="E753" s="75" t="s">
        <v>1790</v>
      </c>
      <c r="F753" s="63" t="s">
        <v>6</v>
      </c>
      <c r="G753" s="56" t="s">
        <v>2816</v>
      </c>
      <c r="H753" s="56" t="s">
        <v>2817</v>
      </c>
    </row>
    <row r="754" spans="2:8" x14ac:dyDescent="0.3">
      <c r="B754" s="65">
        <v>45975</v>
      </c>
      <c r="C754" s="74">
        <v>45962</v>
      </c>
      <c r="D754" s="56" t="s">
        <v>2811</v>
      </c>
      <c r="E754" s="75" t="s">
        <v>1790</v>
      </c>
      <c r="F754" s="63" t="s">
        <v>6</v>
      </c>
      <c r="G754" s="56" t="s">
        <v>2818</v>
      </c>
      <c r="H754" s="56" t="s">
        <v>2819</v>
      </c>
    </row>
    <row r="755" spans="2:8" x14ac:dyDescent="0.3">
      <c r="B755" s="65">
        <v>45978</v>
      </c>
      <c r="C755" s="74">
        <v>45962</v>
      </c>
      <c r="D755" s="56" t="s">
        <v>2811</v>
      </c>
      <c r="E755" s="75" t="s">
        <v>1790</v>
      </c>
      <c r="F755" s="137" t="s">
        <v>4</v>
      </c>
      <c r="G755" s="56" t="s">
        <v>3031</v>
      </c>
      <c r="H755" s="56" t="s">
        <v>3031</v>
      </c>
    </row>
    <row r="756" spans="2:8" x14ac:dyDescent="0.3">
      <c r="B756" s="65">
        <v>45978</v>
      </c>
      <c r="C756" s="74">
        <v>45962</v>
      </c>
      <c r="D756" s="56" t="s">
        <v>2811</v>
      </c>
      <c r="E756" s="75" t="s">
        <v>1790</v>
      </c>
      <c r="F756" s="63" t="s">
        <v>6</v>
      </c>
      <c r="G756" s="56" t="s">
        <v>2870</v>
      </c>
      <c r="H756" s="56" t="s">
        <v>2870</v>
      </c>
    </row>
    <row r="757" spans="2:8" x14ac:dyDescent="0.3">
      <c r="B757" s="65">
        <v>45978</v>
      </c>
      <c r="C757" s="74">
        <v>45962</v>
      </c>
      <c r="D757" s="56" t="s">
        <v>2811</v>
      </c>
      <c r="E757" s="75" t="s">
        <v>1790</v>
      </c>
      <c r="F757" s="63" t="s">
        <v>6</v>
      </c>
      <c r="G757" s="56" t="s">
        <v>2899</v>
      </c>
      <c r="H757" s="56" t="s">
        <v>2900</v>
      </c>
    </row>
    <row r="758" spans="2:8" x14ac:dyDescent="0.3">
      <c r="B758" s="65">
        <v>45978</v>
      </c>
      <c r="C758" s="74">
        <v>45962</v>
      </c>
      <c r="D758" s="56" t="s">
        <v>2811</v>
      </c>
      <c r="E758" s="75" t="s">
        <v>1790</v>
      </c>
      <c r="F758" s="63" t="s">
        <v>6</v>
      </c>
      <c r="G758" s="56" t="s">
        <v>2814</v>
      </c>
      <c r="H758" s="56" t="s">
        <v>2815</v>
      </c>
    </row>
    <row r="759" spans="2:8" x14ac:dyDescent="0.3">
      <c r="B759" s="65">
        <v>45978</v>
      </c>
      <c r="C759" s="74">
        <v>45962</v>
      </c>
      <c r="D759" s="56" t="s">
        <v>2811</v>
      </c>
      <c r="E759" s="75" t="s">
        <v>1790</v>
      </c>
      <c r="F759" s="63" t="s">
        <v>6</v>
      </c>
      <c r="G759" s="56" t="s">
        <v>2816</v>
      </c>
      <c r="H759" s="56" t="s">
        <v>2817</v>
      </c>
    </row>
    <row r="760" spans="2:8" x14ac:dyDescent="0.3">
      <c r="B760" s="65">
        <v>45978</v>
      </c>
      <c r="C760" s="74">
        <v>45962</v>
      </c>
      <c r="D760" s="56" t="s">
        <v>2811</v>
      </c>
      <c r="E760" s="75" t="s">
        <v>1790</v>
      </c>
      <c r="F760" s="63" t="s">
        <v>6</v>
      </c>
      <c r="G760" s="56" t="s">
        <v>2818</v>
      </c>
      <c r="H760" s="56" t="s">
        <v>2819</v>
      </c>
    </row>
    <row r="761" spans="2:8" x14ac:dyDescent="0.3">
      <c r="B761" s="65">
        <v>45979</v>
      </c>
      <c r="C761" s="74">
        <v>45962</v>
      </c>
      <c r="D761" s="56" t="s">
        <v>2811</v>
      </c>
      <c r="E761" s="75" t="s">
        <v>1790</v>
      </c>
      <c r="F761" s="63" t="s">
        <v>6</v>
      </c>
      <c r="G761" s="56" t="s">
        <v>2870</v>
      </c>
      <c r="H761" s="56" t="s">
        <v>2870</v>
      </c>
    </row>
    <row r="762" spans="2:8" x14ac:dyDescent="0.3">
      <c r="B762" s="65">
        <v>45979</v>
      </c>
      <c r="C762" s="74">
        <v>45962</v>
      </c>
      <c r="D762" s="56" t="s">
        <v>2811</v>
      </c>
      <c r="E762" s="75" t="s">
        <v>1790</v>
      </c>
      <c r="F762" s="63" t="s">
        <v>6</v>
      </c>
      <c r="G762" s="56" t="s">
        <v>2899</v>
      </c>
      <c r="H762" s="56" t="s">
        <v>2900</v>
      </c>
    </row>
    <row r="763" spans="2:8" x14ac:dyDescent="0.3">
      <c r="B763" s="65">
        <v>45979</v>
      </c>
      <c r="C763" s="74">
        <v>45962</v>
      </c>
      <c r="D763" s="56" t="s">
        <v>2811</v>
      </c>
      <c r="E763" s="75" t="s">
        <v>1790</v>
      </c>
      <c r="F763" s="63" t="s">
        <v>6</v>
      </c>
      <c r="G763" s="56" t="s">
        <v>2814</v>
      </c>
      <c r="H763" s="56" t="s">
        <v>2815</v>
      </c>
    </row>
    <row r="764" spans="2:8" x14ac:dyDescent="0.3">
      <c r="B764" s="65">
        <v>45979</v>
      </c>
      <c r="C764" s="74">
        <v>45962</v>
      </c>
      <c r="D764" s="56" t="s">
        <v>2811</v>
      </c>
      <c r="E764" s="75" t="s">
        <v>1790</v>
      </c>
      <c r="F764" s="63" t="s">
        <v>6</v>
      </c>
      <c r="G764" s="56" t="s">
        <v>2816</v>
      </c>
      <c r="H764" s="56" t="s">
        <v>2817</v>
      </c>
    </row>
    <row r="765" spans="2:8" x14ac:dyDescent="0.3">
      <c r="B765" s="65">
        <v>45979</v>
      </c>
      <c r="C765" s="74">
        <v>45962</v>
      </c>
      <c r="D765" s="56" t="s">
        <v>2811</v>
      </c>
      <c r="E765" s="75" t="s">
        <v>1790</v>
      </c>
      <c r="F765" s="63" t="s">
        <v>6</v>
      </c>
      <c r="G765" s="56" t="s">
        <v>2818</v>
      </c>
      <c r="H765" s="56" t="s">
        <v>2819</v>
      </c>
    </row>
    <row r="766" spans="2:8" x14ac:dyDescent="0.3">
      <c r="B766" s="65">
        <v>45980</v>
      </c>
      <c r="C766" s="74">
        <v>45962</v>
      </c>
      <c r="D766" s="56" t="s">
        <v>2811</v>
      </c>
      <c r="E766" s="75" t="s">
        <v>1790</v>
      </c>
      <c r="F766" s="63" t="s">
        <v>6</v>
      </c>
      <c r="G766" s="56" t="s">
        <v>2870</v>
      </c>
      <c r="H766" s="56" t="s">
        <v>2870</v>
      </c>
    </row>
    <row r="767" spans="2:8" x14ac:dyDescent="0.3">
      <c r="B767" s="65">
        <v>45980</v>
      </c>
      <c r="C767" s="74">
        <v>45962</v>
      </c>
      <c r="D767" s="56" t="s">
        <v>2811</v>
      </c>
      <c r="E767" s="75" t="s">
        <v>1790</v>
      </c>
      <c r="F767" s="63" t="s">
        <v>6</v>
      </c>
      <c r="G767" s="56" t="s">
        <v>2899</v>
      </c>
      <c r="H767" s="56" t="s">
        <v>2900</v>
      </c>
    </row>
    <row r="768" spans="2:8" x14ac:dyDescent="0.3">
      <c r="B768" s="65">
        <v>45980</v>
      </c>
      <c r="C768" s="74">
        <v>45962</v>
      </c>
      <c r="D768" s="56" t="s">
        <v>2811</v>
      </c>
      <c r="E768" s="75" t="s">
        <v>1790</v>
      </c>
      <c r="F768" s="63" t="s">
        <v>6</v>
      </c>
      <c r="G768" s="56" t="s">
        <v>2814</v>
      </c>
      <c r="H768" s="56" t="s">
        <v>2815</v>
      </c>
    </row>
    <row r="769" spans="2:8" x14ac:dyDescent="0.3">
      <c r="B769" s="65">
        <v>45980</v>
      </c>
      <c r="C769" s="74">
        <v>45962</v>
      </c>
      <c r="D769" s="56" t="s">
        <v>2811</v>
      </c>
      <c r="E769" s="75" t="s">
        <v>1790</v>
      </c>
      <c r="F769" s="63" t="s">
        <v>6</v>
      </c>
      <c r="G769" s="56" t="s">
        <v>2816</v>
      </c>
      <c r="H769" s="56" t="s">
        <v>2817</v>
      </c>
    </row>
    <row r="770" spans="2:8" x14ac:dyDescent="0.3">
      <c r="B770" s="65">
        <v>45980</v>
      </c>
      <c r="C770" s="74">
        <v>45962</v>
      </c>
      <c r="D770" s="56" t="s">
        <v>2811</v>
      </c>
      <c r="E770" s="75" t="s">
        <v>1790</v>
      </c>
      <c r="F770" s="63" t="s">
        <v>6</v>
      </c>
      <c r="G770" s="56" t="s">
        <v>2818</v>
      </c>
      <c r="H770" s="56" t="s">
        <v>2819</v>
      </c>
    </row>
    <row r="771" spans="2:8" x14ac:dyDescent="0.3">
      <c r="B771" s="65">
        <v>45981</v>
      </c>
      <c r="C771" s="74">
        <v>45962</v>
      </c>
      <c r="D771" s="56" t="s">
        <v>2811</v>
      </c>
      <c r="E771" s="75" t="s">
        <v>1790</v>
      </c>
      <c r="F771" s="63" t="s">
        <v>6</v>
      </c>
      <c r="G771" s="56" t="s">
        <v>2870</v>
      </c>
      <c r="H771" s="56" t="s">
        <v>2870</v>
      </c>
    </row>
    <row r="772" spans="2:8" x14ac:dyDescent="0.3">
      <c r="B772" s="65">
        <v>45981</v>
      </c>
      <c r="C772" s="74">
        <v>45962</v>
      </c>
      <c r="D772" s="56" t="s">
        <v>2811</v>
      </c>
      <c r="E772" s="75" t="s">
        <v>1790</v>
      </c>
      <c r="F772" s="63" t="s">
        <v>6</v>
      </c>
      <c r="G772" s="56" t="s">
        <v>2899</v>
      </c>
      <c r="H772" s="56" t="s">
        <v>2900</v>
      </c>
    </row>
    <row r="773" spans="2:8" x14ac:dyDescent="0.3">
      <c r="B773" s="65">
        <v>45981</v>
      </c>
      <c r="C773" s="74">
        <v>45962</v>
      </c>
      <c r="D773" s="56" t="s">
        <v>2811</v>
      </c>
      <c r="E773" s="75" t="s">
        <v>1790</v>
      </c>
      <c r="F773" s="63" t="s">
        <v>6</v>
      </c>
      <c r="G773" s="56" t="s">
        <v>2814</v>
      </c>
      <c r="H773" s="56" t="s">
        <v>2815</v>
      </c>
    </row>
    <row r="774" spans="2:8" x14ac:dyDescent="0.3">
      <c r="B774" s="65">
        <v>45981</v>
      </c>
      <c r="C774" s="74">
        <v>45962</v>
      </c>
      <c r="D774" s="56" t="s">
        <v>2811</v>
      </c>
      <c r="E774" s="75" t="s">
        <v>1790</v>
      </c>
      <c r="F774" s="63" t="s">
        <v>6</v>
      </c>
      <c r="G774" s="56" t="s">
        <v>2816</v>
      </c>
      <c r="H774" s="56" t="s">
        <v>2817</v>
      </c>
    </row>
    <row r="775" spans="2:8" x14ac:dyDescent="0.3">
      <c r="B775" s="65">
        <v>45981</v>
      </c>
      <c r="C775" s="74">
        <v>45962</v>
      </c>
      <c r="D775" s="56" t="s">
        <v>2811</v>
      </c>
      <c r="E775" s="75" t="s">
        <v>1790</v>
      </c>
      <c r="F775" s="63" t="s">
        <v>6</v>
      </c>
      <c r="G775" s="56" t="s">
        <v>2818</v>
      </c>
      <c r="H775" s="56" t="s">
        <v>2819</v>
      </c>
    </row>
    <row r="776" spans="2:8" x14ac:dyDescent="0.3">
      <c r="B776" s="65">
        <v>45982</v>
      </c>
      <c r="C776" s="74">
        <v>45962</v>
      </c>
      <c r="D776" s="56" t="s">
        <v>2811</v>
      </c>
      <c r="E776" s="75" t="s">
        <v>1790</v>
      </c>
      <c r="F776" s="63" t="s">
        <v>6</v>
      </c>
      <c r="G776" s="56" t="s">
        <v>2870</v>
      </c>
      <c r="H776" s="56" t="s">
        <v>2870</v>
      </c>
    </row>
    <row r="777" spans="2:8" x14ac:dyDescent="0.3">
      <c r="B777" s="65">
        <v>45982</v>
      </c>
      <c r="C777" s="74">
        <v>45962</v>
      </c>
      <c r="D777" s="56" t="s">
        <v>2811</v>
      </c>
      <c r="E777" s="75" t="s">
        <v>1790</v>
      </c>
      <c r="F777" s="63" t="s">
        <v>6</v>
      </c>
      <c r="G777" s="56" t="s">
        <v>2899</v>
      </c>
      <c r="H777" s="56" t="s">
        <v>2900</v>
      </c>
    </row>
    <row r="778" spans="2:8" x14ac:dyDescent="0.3">
      <c r="B778" s="65">
        <v>45982</v>
      </c>
      <c r="C778" s="74">
        <v>45962</v>
      </c>
      <c r="D778" s="56" t="s">
        <v>2811</v>
      </c>
      <c r="E778" s="75" t="s">
        <v>1790</v>
      </c>
      <c r="F778" s="63" t="s">
        <v>6</v>
      </c>
      <c r="G778" s="56" t="s">
        <v>2814</v>
      </c>
      <c r="H778" s="56" t="s">
        <v>2815</v>
      </c>
    </row>
    <row r="779" spans="2:8" x14ac:dyDescent="0.3">
      <c r="B779" s="65">
        <v>45982</v>
      </c>
      <c r="C779" s="74">
        <v>45962</v>
      </c>
      <c r="D779" s="56" t="s">
        <v>2811</v>
      </c>
      <c r="E779" s="75" t="s">
        <v>1790</v>
      </c>
      <c r="F779" s="63" t="s">
        <v>6</v>
      </c>
      <c r="G779" s="56" t="s">
        <v>2816</v>
      </c>
      <c r="H779" s="56" t="s">
        <v>2817</v>
      </c>
    </row>
    <row r="780" spans="2:8" x14ac:dyDescent="0.3">
      <c r="B780" s="65">
        <v>45982</v>
      </c>
      <c r="C780" s="74">
        <v>45962</v>
      </c>
      <c r="D780" s="56" t="s">
        <v>2811</v>
      </c>
      <c r="E780" s="75" t="s">
        <v>1790</v>
      </c>
      <c r="F780" s="63" t="s">
        <v>6</v>
      </c>
      <c r="G780" s="56" t="s">
        <v>2818</v>
      </c>
      <c r="H780" s="56" t="s">
        <v>2819</v>
      </c>
    </row>
    <row r="781" spans="2:8" x14ac:dyDescent="0.3">
      <c r="B781" s="65">
        <v>45985</v>
      </c>
      <c r="C781" s="74">
        <v>45962</v>
      </c>
      <c r="D781" s="56" t="s">
        <v>2811</v>
      </c>
      <c r="E781" s="75" t="s">
        <v>1790</v>
      </c>
      <c r="F781" s="63" t="s">
        <v>6</v>
      </c>
      <c r="G781" s="56" t="s">
        <v>2870</v>
      </c>
      <c r="H781" s="56" t="s">
        <v>2870</v>
      </c>
    </row>
    <row r="782" spans="2:8" x14ac:dyDescent="0.3">
      <c r="B782" s="65">
        <v>45985</v>
      </c>
      <c r="C782" s="74">
        <v>45962</v>
      </c>
      <c r="D782" s="56" t="s">
        <v>2811</v>
      </c>
      <c r="E782" s="75" t="s">
        <v>1790</v>
      </c>
      <c r="F782" s="63" t="s">
        <v>6</v>
      </c>
      <c r="G782" s="56" t="s">
        <v>2899</v>
      </c>
      <c r="H782" s="56" t="s">
        <v>2900</v>
      </c>
    </row>
    <row r="783" spans="2:8" x14ac:dyDescent="0.3">
      <c r="B783" s="65">
        <v>45985</v>
      </c>
      <c r="C783" s="74">
        <v>45962</v>
      </c>
      <c r="D783" s="56" t="s">
        <v>2811</v>
      </c>
      <c r="E783" s="75" t="s">
        <v>1790</v>
      </c>
      <c r="F783" s="63" t="s">
        <v>6</v>
      </c>
      <c r="G783" s="56" t="s">
        <v>2814</v>
      </c>
      <c r="H783" s="56" t="s">
        <v>2815</v>
      </c>
    </row>
    <row r="784" spans="2:8" x14ac:dyDescent="0.3">
      <c r="B784" s="65">
        <v>45985</v>
      </c>
      <c r="C784" s="74">
        <v>45962</v>
      </c>
      <c r="D784" s="56" t="s">
        <v>2811</v>
      </c>
      <c r="E784" s="75" t="s">
        <v>1790</v>
      </c>
      <c r="F784" s="63" t="s">
        <v>6</v>
      </c>
      <c r="G784" s="56" t="s">
        <v>2816</v>
      </c>
      <c r="H784" s="56" t="s">
        <v>2817</v>
      </c>
    </row>
    <row r="785" spans="2:8" x14ac:dyDescent="0.3">
      <c r="B785" s="65">
        <v>45985</v>
      </c>
      <c r="C785" s="74">
        <v>45962</v>
      </c>
      <c r="D785" s="56" t="s">
        <v>2811</v>
      </c>
      <c r="E785" s="75" t="s">
        <v>1790</v>
      </c>
      <c r="F785" s="63" t="s">
        <v>6</v>
      </c>
      <c r="G785" s="56" t="s">
        <v>2818</v>
      </c>
      <c r="H785" s="56" t="s">
        <v>2819</v>
      </c>
    </row>
    <row r="786" spans="2:8" x14ac:dyDescent="0.3">
      <c r="B786" s="65">
        <v>45986</v>
      </c>
      <c r="C786" s="74">
        <v>45962</v>
      </c>
      <c r="D786" s="56" t="s">
        <v>2811</v>
      </c>
      <c r="E786" s="75" t="s">
        <v>1790</v>
      </c>
      <c r="F786" s="63" t="s">
        <v>6</v>
      </c>
      <c r="G786" s="56" t="s">
        <v>2870</v>
      </c>
      <c r="H786" s="56" t="s">
        <v>2870</v>
      </c>
    </row>
    <row r="787" spans="2:8" x14ac:dyDescent="0.3">
      <c r="B787" s="65">
        <v>45986</v>
      </c>
      <c r="C787" s="74">
        <v>45962</v>
      </c>
      <c r="D787" s="56" t="s">
        <v>2811</v>
      </c>
      <c r="E787" s="75" t="s">
        <v>1790</v>
      </c>
      <c r="F787" s="63" t="s">
        <v>6</v>
      </c>
      <c r="G787" s="56" t="s">
        <v>2899</v>
      </c>
      <c r="H787" s="56" t="s">
        <v>2900</v>
      </c>
    </row>
    <row r="788" spans="2:8" x14ac:dyDescent="0.3">
      <c r="B788" s="65">
        <v>45986</v>
      </c>
      <c r="C788" s="74">
        <v>45962</v>
      </c>
      <c r="D788" s="56" t="s">
        <v>2811</v>
      </c>
      <c r="E788" s="75" t="s">
        <v>1790</v>
      </c>
      <c r="F788" s="63" t="s">
        <v>6</v>
      </c>
      <c r="G788" s="56" t="s">
        <v>2814</v>
      </c>
      <c r="H788" s="56" t="s">
        <v>2815</v>
      </c>
    </row>
    <row r="789" spans="2:8" x14ac:dyDescent="0.3">
      <c r="B789" s="65">
        <v>45986</v>
      </c>
      <c r="C789" s="74">
        <v>45962</v>
      </c>
      <c r="D789" s="56" t="s">
        <v>2811</v>
      </c>
      <c r="E789" s="75" t="s">
        <v>1790</v>
      </c>
      <c r="F789" s="63" t="s">
        <v>6</v>
      </c>
      <c r="G789" s="56" t="s">
        <v>2816</v>
      </c>
      <c r="H789" s="56" t="s">
        <v>2817</v>
      </c>
    </row>
    <row r="790" spans="2:8" x14ac:dyDescent="0.3">
      <c r="B790" s="65">
        <v>45986</v>
      </c>
      <c r="C790" s="74">
        <v>45962</v>
      </c>
      <c r="D790" s="56" t="s">
        <v>2811</v>
      </c>
      <c r="E790" s="75" t="s">
        <v>1790</v>
      </c>
      <c r="F790" s="63" t="s">
        <v>6</v>
      </c>
      <c r="G790" s="56" t="s">
        <v>2818</v>
      </c>
      <c r="H790" s="56" t="s">
        <v>2819</v>
      </c>
    </row>
    <row r="791" spans="2:8" x14ac:dyDescent="0.3">
      <c r="B791" s="65">
        <v>45987</v>
      </c>
      <c r="C791" s="74">
        <v>45962</v>
      </c>
      <c r="D791" s="56" t="s">
        <v>2811</v>
      </c>
      <c r="E791" s="75" t="s">
        <v>1790</v>
      </c>
      <c r="F791" s="63" t="s">
        <v>6</v>
      </c>
      <c r="G791" s="56" t="s">
        <v>2870</v>
      </c>
      <c r="H791" s="56" t="s">
        <v>2870</v>
      </c>
    </row>
    <row r="792" spans="2:8" x14ac:dyDescent="0.3">
      <c r="B792" s="65">
        <v>45987</v>
      </c>
      <c r="C792" s="74">
        <v>45962</v>
      </c>
      <c r="D792" s="56" t="s">
        <v>2811</v>
      </c>
      <c r="E792" s="75" t="s">
        <v>1790</v>
      </c>
      <c r="F792" s="63" t="s">
        <v>6</v>
      </c>
      <c r="G792" s="56" t="s">
        <v>2899</v>
      </c>
      <c r="H792" s="56" t="s">
        <v>2900</v>
      </c>
    </row>
    <row r="793" spans="2:8" x14ac:dyDescent="0.3">
      <c r="B793" s="65">
        <v>45987</v>
      </c>
      <c r="C793" s="74">
        <v>45962</v>
      </c>
      <c r="D793" s="56" t="s">
        <v>2811</v>
      </c>
      <c r="E793" s="75" t="s">
        <v>1790</v>
      </c>
      <c r="F793" s="63" t="s">
        <v>6</v>
      </c>
      <c r="G793" s="56" t="s">
        <v>2814</v>
      </c>
      <c r="H793" s="56" t="s">
        <v>2815</v>
      </c>
    </row>
    <row r="794" spans="2:8" x14ac:dyDescent="0.3">
      <c r="B794" s="65">
        <v>45987</v>
      </c>
      <c r="C794" s="74">
        <v>45962</v>
      </c>
      <c r="D794" s="56" t="s">
        <v>2811</v>
      </c>
      <c r="E794" s="75" t="s">
        <v>1790</v>
      </c>
      <c r="F794" s="63" t="s">
        <v>6</v>
      </c>
      <c r="G794" s="56" t="s">
        <v>2816</v>
      </c>
      <c r="H794" s="56" t="s">
        <v>2817</v>
      </c>
    </row>
    <row r="795" spans="2:8" x14ac:dyDescent="0.3">
      <c r="B795" s="65">
        <v>45987</v>
      </c>
      <c r="C795" s="74">
        <v>45962</v>
      </c>
      <c r="D795" s="56" t="s">
        <v>2811</v>
      </c>
      <c r="E795" s="75" t="s">
        <v>1790</v>
      </c>
      <c r="F795" s="63" t="s">
        <v>6</v>
      </c>
      <c r="G795" s="56" t="s">
        <v>2818</v>
      </c>
      <c r="H795" s="56" t="s">
        <v>2819</v>
      </c>
    </row>
    <row r="796" spans="2:8" x14ac:dyDescent="0.3">
      <c r="B796" s="65">
        <v>45988</v>
      </c>
      <c r="C796" s="74">
        <v>45962</v>
      </c>
      <c r="D796" s="56" t="s">
        <v>2811</v>
      </c>
      <c r="E796" s="75" t="s">
        <v>1790</v>
      </c>
      <c r="F796" s="63" t="s">
        <v>6</v>
      </c>
      <c r="G796" s="56" t="s">
        <v>2870</v>
      </c>
      <c r="H796" s="56" t="s">
        <v>2870</v>
      </c>
    </row>
    <row r="797" spans="2:8" x14ac:dyDescent="0.3">
      <c r="B797" s="65">
        <v>45988</v>
      </c>
      <c r="C797" s="74">
        <v>45962</v>
      </c>
      <c r="D797" s="56" t="s">
        <v>2811</v>
      </c>
      <c r="E797" s="75" t="s">
        <v>1790</v>
      </c>
      <c r="F797" s="63" t="s">
        <v>6</v>
      </c>
      <c r="G797" s="56" t="s">
        <v>2899</v>
      </c>
      <c r="H797" s="56" t="s">
        <v>2900</v>
      </c>
    </row>
    <row r="798" spans="2:8" x14ac:dyDescent="0.3">
      <c r="B798" s="65">
        <v>45988</v>
      </c>
      <c r="C798" s="74">
        <v>45962</v>
      </c>
      <c r="D798" s="56" t="s">
        <v>2811</v>
      </c>
      <c r="E798" s="75" t="s">
        <v>1790</v>
      </c>
      <c r="F798" s="63" t="s">
        <v>6</v>
      </c>
      <c r="G798" s="56" t="s">
        <v>2814</v>
      </c>
      <c r="H798" s="56" t="s">
        <v>2815</v>
      </c>
    </row>
    <row r="799" spans="2:8" x14ac:dyDescent="0.3">
      <c r="B799" s="65">
        <v>45988</v>
      </c>
      <c r="C799" s="74">
        <v>45962</v>
      </c>
      <c r="D799" s="56" t="s">
        <v>2811</v>
      </c>
      <c r="E799" s="75" t="s">
        <v>1790</v>
      </c>
      <c r="F799" s="63" t="s">
        <v>6</v>
      </c>
      <c r="G799" s="56" t="s">
        <v>2816</v>
      </c>
      <c r="H799" s="56" t="s">
        <v>2817</v>
      </c>
    </row>
    <row r="800" spans="2:8" x14ac:dyDescent="0.3">
      <c r="B800" s="65">
        <v>45988</v>
      </c>
      <c r="C800" s="74">
        <v>45962</v>
      </c>
      <c r="D800" s="56" t="s">
        <v>2811</v>
      </c>
      <c r="E800" s="75" t="s">
        <v>1790</v>
      </c>
      <c r="F800" s="63" t="s">
        <v>6</v>
      </c>
      <c r="G800" s="56" t="s">
        <v>2818</v>
      </c>
      <c r="H800" s="56" t="s">
        <v>2819</v>
      </c>
    </row>
    <row r="801" spans="2:8" x14ac:dyDescent="0.3">
      <c r="B801" s="65">
        <v>45989</v>
      </c>
      <c r="C801" s="74">
        <v>45962</v>
      </c>
      <c r="D801" s="56" t="s">
        <v>2811</v>
      </c>
      <c r="E801" s="75" t="s">
        <v>1790</v>
      </c>
      <c r="F801" s="63" t="s">
        <v>6</v>
      </c>
      <c r="G801" s="56" t="s">
        <v>2870</v>
      </c>
      <c r="H801" s="56" t="s">
        <v>2870</v>
      </c>
    </row>
    <row r="802" spans="2:8" x14ac:dyDescent="0.3">
      <c r="B802" s="65">
        <v>45989</v>
      </c>
      <c r="C802" s="74">
        <v>45962</v>
      </c>
      <c r="D802" s="56" t="s">
        <v>2811</v>
      </c>
      <c r="E802" s="75" t="s">
        <v>1790</v>
      </c>
      <c r="F802" s="63" t="s">
        <v>6</v>
      </c>
      <c r="G802" s="56" t="s">
        <v>2899</v>
      </c>
      <c r="H802" s="56" t="s">
        <v>2900</v>
      </c>
    </row>
    <row r="803" spans="2:8" x14ac:dyDescent="0.3">
      <c r="B803" s="65">
        <v>45989</v>
      </c>
      <c r="C803" s="74">
        <v>45962</v>
      </c>
      <c r="D803" s="56" t="s">
        <v>2811</v>
      </c>
      <c r="E803" s="75" t="s">
        <v>1790</v>
      </c>
      <c r="F803" s="63" t="s">
        <v>6</v>
      </c>
      <c r="G803" s="56" t="s">
        <v>2814</v>
      </c>
      <c r="H803" s="56" t="s">
        <v>2815</v>
      </c>
    </row>
    <row r="804" spans="2:8" x14ac:dyDescent="0.3">
      <c r="B804" s="65">
        <v>45989</v>
      </c>
      <c r="C804" s="74">
        <v>45962</v>
      </c>
      <c r="D804" s="56" t="s">
        <v>2811</v>
      </c>
      <c r="E804" s="75" t="s">
        <v>1790</v>
      </c>
      <c r="F804" s="63" t="s">
        <v>6</v>
      </c>
      <c r="G804" s="56" t="s">
        <v>2816</v>
      </c>
      <c r="H804" s="56" t="s">
        <v>2817</v>
      </c>
    </row>
    <row r="805" spans="2:8" x14ac:dyDescent="0.3">
      <c r="B805" s="65">
        <v>45989</v>
      </c>
      <c r="C805" s="74">
        <v>45962</v>
      </c>
      <c r="D805" s="56" t="s">
        <v>2811</v>
      </c>
      <c r="E805" s="75" t="s">
        <v>1790</v>
      </c>
      <c r="F805" s="63" t="s">
        <v>6</v>
      </c>
      <c r="G805" s="56" t="s">
        <v>2818</v>
      </c>
      <c r="H805" s="56" t="s">
        <v>2819</v>
      </c>
    </row>
    <row r="806" spans="2:8" x14ac:dyDescent="0.3">
      <c r="B806" s="65">
        <v>45992</v>
      </c>
      <c r="C806" s="74">
        <v>45992</v>
      </c>
      <c r="D806" s="56" t="s">
        <v>2811</v>
      </c>
      <c r="E806" s="75" t="s">
        <v>1790</v>
      </c>
      <c r="F806" s="63" t="s">
        <v>6</v>
      </c>
      <c r="G806" s="56" t="s">
        <v>2870</v>
      </c>
      <c r="H806" s="56" t="s">
        <v>2870</v>
      </c>
    </row>
    <row r="807" spans="2:8" x14ac:dyDescent="0.3">
      <c r="B807" s="65">
        <v>45992</v>
      </c>
      <c r="C807" s="74">
        <v>45992</v>
      </c>
      <c r="D807" s="56" t="s">
        <v>2811</v>
      </c>
      <c r="E807" s="75" t="s">
        <v>1790</v>
      </c>
      <c r="F807" s="63" t="s">
        <v>6</v>
      </c>
      <c r="G807" s="56" t="s">
        <v>2899</v>
      </c>
      <c r="H807" s="56" t="s">
        <v>2900</v>
      </c>
    </row>
    <row r="808" spans="2:8" x14ac:dyDescent="0.3">
      <c r="B808" s="65">
        <v>45992</v>
      </c>
      <c r="C808" s="74">
        <v>45992</v>
      </c>
      <c r="D808" s="56" t="s">
        <v>2811</v>
      </c>
      <c r="E808" s="75" t="s">
        <v>1790</v>
      </c>
      <c r="F808" s="63" t="s">
        <v>6</v>
      </c>
      <c r="G808" s="56" t="s">
        <v>2814</v>
      </c>
      <c r="H808" s="56" t="s">
        <v>2815</v>
      </c>
    </row>
    <row r="809" spans="2:8" x14ac:dyDescent="0.3">
      <c r="B809" s="65">
        <v>45992</v>
      </c>
      <c r="C809" s="74">
        <v>45992</v>
      </c>
      <c r="D809" s="56" t="s">
        <v>2811</v>
      </c>
      <c r="E809" s="75" t="s">
        <v>1790</v>
      </c>
      <c r="F809" s="63" t="s">
        <v>6</v>
      </c>
      <c r="G809" s="56" t="s">
        <v>2816</v>
      </c>
      <c r="H809" s="56" t="s">
        <v>2817</v>
      </c>
    </row>
    <row r="810" spans="2:8" x14ac:dyDescent="0.3">
      <c r="B810" s="65">
        <v>45992</v>
      </c>
      <c r="C810" s="74">
        <v>45992</v>
      </c>
      <c r="D810" s="56" t="s">
        <v>2811</v>
      </c>
      <c r="E810" s="75" t="s">
        <v>1790</v>
      </c>
      <c r="F810" s="63" t="s">
        <v>6</v>
      </c>
      <c r="G810" s="56" t="s">
        <v>2818</v>
      </c>
      <c r="H810" s="56" t="s">
        <v>2819</v>
      </c>
    </row>
    <row r="811" spans="2:8" x14ac:dyDescent="0.3">
      <c r="B811" s="65">
        <v>45993</v>
      </c>
      <c r="C811" s="74">
        <v>45992</v>
      </c>
      <c r="D811" s="56" t="s">
        <v>2811</v>
      </c>
      <c r="E811" s="75" t="s">
        <v>1790</v>
      </c>
      <c r="F811" s="63" t="s">
        <v>6</v>
      </c>
      <c r="G811" s="56" t="s">
        <v>2870</v>
      </c>
      <c r="H811" s="56" t="s">
        <v>2870</v>
      </c>
    </row>
    <row r="812" spans="2:8" x14ac:dyDescent="0.3">
      <c r="B812" s="65">
        <v>45993</v>
      </c>
      <c r="C812" s="74">
        <v>45992</v>
      </c>
      <c r="D812" s="56" t="s">
        <v>2811</v>
      </c>
      <c r="E812" s="75" t="s">
        <v>1790</v>
      </c>
      <c r="F812" s="63" t="s">
        <v>6</v>
      </c>
      <c r="G812" s="56" t="s">
        <v>2899</v>
      </c>
      <c r="H812" s="56" t="s">
        <v>2900</v>
      </c>
    </row>
    <row r="813" spans="2:8" x14ac:dyDescent="0.3">
      <c r="B813" s="65">
        <v>45993</v>
      </c>
      <c r="C813" s="74">
        <v>45992</v>
      </c>
      <c r="D813" s="56" t="s">
        <v>2811</v>
      </c>
      <c r="E813" s="75" t="s">
        <v>1790</v>
      </c>
      <c r="F813" s="63" t="s">
        <v>6</v>
      </c>
      <c r="G813" s="56" t="s">
        <v>2814</v>
      </c>
      <c r="H813" s="56" t="s">
        <v>2815</v>
      </c>
    </row>
    <row r="814" spans="2:8" x14ac:dyDescent="0.3">
      <c r="B814" s="65">
        <v>45993</v>
      </c>
      <c r="C814" s="74">
        <v>45992</v>
      </c>
      <c r="D814" s="56" t="s">
        <v>2811</v>
      </c>
      <c r="E814" s="75" t="s">
        <v>1790</v>
      </c>
      <c r="F814" s="63" t="s">
        <v>6</v>
      </c>
      <c r="G814" s="56" t="s">
        <v>2816</v>
      </c>
      <c r="H814" s="56" t="s">
        <v>2817</v>
      </c>
    </row>
    <row r="815" spans="2:8" x14ac:dyDescent="0.3">
      <c r="B815" s="65">
        <v>45993</v>
      </c>
      <c r="C815" s="74">
        <v>45992</v>
      </c>
      <c r="D815" s="56" t="s">
        <v>2811</v>
      </c>
      <c r="E815" s="75" t="s">
        <v>1790</v>
      </c>
      <c r="F815" s="63" t="s">
        <v>6</v>
      </c>
      <c r="G815" s="56" t="s">
        <v>2818</v>
      </c>
      <c r="H815" s="56" t="s">
        <v>2819</v>
      </c>
    </row>
    <row r="816" spans="2:8" x14ac:dyDescent="0.3">
      <c r="B816" s="65">
        <v>45994</v>
      </c>
      <c r="C816" s="74">
        <v>45992</v>
      </c>
      <c r="D816" s="56" t="s">
        <v>2811</v>
      </c>
      <c r="E816" s="75" t="s">
        <v>1790</v>
      </c>
      <c r="F816" s="63" t="s">
        <v>6</v>
      </c>
      <c r="G816" s="56" t="s">
        <v>2870</v>
      </c>
      <c r="H816" s="56" t="s">
        <v>2870</v>
      </c>
    </row>
    <row r="817" spans="2:8" x14ac:dyDescent="0.3">
      <c r="B817" s="65">
        <v>45994</v>
      </c>
      <c r="C817" s="74">
        <v>45992</v>
      </c>
      <c r="D817" s="56" t="s">
        <v>2811</v>
      </c>
      <c r="E817" s="75" t="s">
        <v>1790</v>
      </c>
      <c r="F817" s="63" t="s">
        <v>6</v>
      </c>
      <c r="G817" s="56" t="s">
        <v>2899</v>
      </c>
      <c r="H817" s="56" t="s">
        <v>2900</v>
      </c>
    </row>
    <row r="818" spans="2:8" x14ac:dyDescent="0.3">
      <c r="B818" s="65">
        <v>45994</v>
      </c>
      <c r="C818" s="74">
        <v>45992</v>
      </c>
      <c r="D818" s="56" t="s">
        <v>2811</v>
      </c>
      <c r="E818" s="75" t="s">
        <v>1790</v>
      </c>
      <c r="F818" s="63" t="s">
        <v>6</v>
      </c>
      <c r="G818" s="56" t="s">
        <v>2814</v>
      </c>
      <c r="H818" s="56" t="s">
        <v>2815</v>
      </c>
    </row>
    <row r="819" spans="2:8" x14ac:dyDescent="0.3">
      <c r="B819" s="65">
        <v>45994</v>
      </c>
      <c r="C819" s="74">
        <v>45992</v>
      </c>
      <c r="D819" s="56" t="s">
        <v>2811</v>
      </c>
      <c r="E819" s="75" t="s">
        <v>1790</v>
      </c>
      <c r="F819" s="63" t="s">
        <v>6</v>
      </c>
      <c r="G819" s="56" t="s">
        <v>2816</v>
      </c>
      <c r="H819" s="56" t="s">
        <v>2817</v>
      </c>
    </row>
    <row r="820" spans="2:8" x14ac:dyDescent="0.3">
      <c r="B820" s="65">
        <v>45994</v>
      </c>
      <c r="C820" s="74">
        <v>45992</v>
      </c>
      <c r="D820" s="56" t="s">
        <v>2811</v>
      </c>
      <c r="E820" s="75" t="s">
        <v>1790</v>
      </c>
      <c r="F820" s="63" t="s">
        <v>6</v>
      </c>
      <c r="G820" s="56" t="s">
        <v>2818</v>
      </c>
      <c r="H820" s="56" t="s">
        <v>2819</v>
      </c>
    </row>
    <row r="821" spans="2:8" x14ac:dyDescent="0.3">
      <c r="B821" s="65">
        <v>45995</v>
      </c>
      <c r="C821" s="74">
        <v>45992</v>
      </c>
      <c r="D821" s="56" t="s">
        <v>2811</v>
      </c>
      <c r="E821" s="75" t="s">
        <v>1790</v>
      </c>
      <c r="F821" s="63" t="s">
        <v>6</v>
      </c>
      <c r="G821" s="56" t="s">
        <v>2870</v>
      </c>
      <c r="H821" s="56" t="s">
        <v>2870</v>
      </c>
    </row>
    <row r="822" spans="2:8" x14ac:dyDescent="0.3">
      <c r="B822" s="65">
        <v>45995</v>
      </c>
      <c r="C822" s="74">
        <v>45992</v>
      </c>
      <c r="D822" s="56" t="s">
        <v>2811</v>
      </c>
      <c r="E822" s="75" t="s">
        <v>1790</v>
      </c>
      <c r="F822" s="63" t="s">
        <v>6</v>
      </c>
      <c r="G822" s="56" t="s">
        <v>2899</v>
      </c>
      <c r="H822" s="56" t="s">
        <v>2900</v>
      </c>
    </row>
    <row r="823" spans="2:8" x14ac:dyDescent="0.3">
      <c r="B823" s="65">
        <v>45995</v>
      </c>
      <c r="C823" s="74">
        <v>45992</v>
      </c>
      <c r="D823" s="56" t="s">
        <v>2811</v>
      </c>
      <c r="E823" s="75" t="s">
        <v>1790</v>
      </c>
      <c r="F823" s="63" t="s">
        <v>6</v>
      </c>
      <c r="G823" s="56" t="s">
        <v>2814</v>
      </c>
      <c r="H823" s="56" t="s">
        <v>2815</v>
      </c>
    </row>
    <row r="824" spans="2:8" x14ac:dyDescent="0.3">
      <c r="B824" s="65">
        <v>45995</v>
      </c>
      <c r="C824" s="74">
        <v>45992</v>
      </c>
      <c r="D824" s="56" t="s">
        <v>2811</v>
      </c>
      <c r="E824" s="75" t="s">
        <v>1790</v>
      </c>
      <c r="F824" s="63" t="s">
        <v>6</v>
      </c>
      <c r="G824" s="56" t="s">
        <v>2816</v>
      </c>
      <c r="H824" s="56" t="s">
        <v>2817</v>
      </c>
    </row>
    <row r="825" spans="2:8" x14ac:dyDescent="0.3">
      <c r="B825" s="65">
        <v>45995</v>
      </c>
      <c r="C825" s="74">
        <v>45992</v>
      </c>
      <c r="D825" s="56" t="s">
        <v>2811</v>
      </c>
      <c r="E825" s="75" t="s">
        <v>1790</v>
      </c>
      <c r="F825" s="63" t="s">
        <v>6</v>
      </c>
      <c r="G825" s="56" t="s">
        <v>2818</v>
      </c>
      <c r="H825" s="56" t="s">
        <v>2819</v>
      </c>
    </row>
    <row r="826" spans="2:8" x14ac:dyDescent="0.3">
      <c r="B826" s="65">
        <v>45996</v>
      </c>
      <c r="C826" s="74">
        <v>45992</v>
      </c>
      <c r="D826" s="56" t="s">
        <v>2811</v>
      </c>
      <c r="E826" s="75" t="s">
        <v>1790</v>
      </c>
      <c r="F826" s="63" t="s">
        <v>6</v>
      </c>
      <c r="G826" s="56" t="s">
        <v>2870</v>
      </c>
      <c r="H826" s="56" t="s">
        <v>2870</v>
      </c>
    </row>
    <row r="827" spans="2:8" x14ac:dyDescent="0.3">
      <c r="B827" s="65">
        <v>45996</v>
      </c>
      <c r="C827" s="74">
        <v>45992</v>
      </c>
      <c r="D827" s="56" t="s">
        <v>2811</v>
      </c>
      <c r="E827" s="75" t="s">
        <v>1790</v>
      </c>
      <c r="F827" s="63" t="s">
        <v>6</v>
      </c>
      <c r="G827" s="56" t="s">
        <v>2899</v>
      </c>
      <c r="H827" s="56" t="s">
        <v>2900</v>
      </c>
    </row>
    <row r="828" spans="2:8" x14ac:dyDescent="0.3">
      <c r="B828" s="65">
        <v>45996</v>
      </c>
      <c r="C828" s="74">
        <v>45992</v>
      </c>
      <c r="D828" s="56" t="s">
        <v>2811</v>
      </c>
      <c r="E828" s="75" t="s">
        <v>1790</v>
      </c>
      <c r="F828" s="63" t="s">
        <v>6</v>
      </c>
      <c r="G828" s="56" t="s">
        <v>2814</v>
      </c>
      <c r="H828" s="56" t="s">
        <v>2815</v>
      </c>
    </row>
    <row r="829" spans="2:8" x14ac:dyDescent="0.3">
      <c r="B829" s="65">
        <v>45996</v>
      </c>
      <c r="C829" s="74">
        <v>45992</v>
      </c>
      <c r="D829" s="56" t="s">
        <v>2811</v>
      </c>
      <c r="E829" s="75" t="s">
        <v>1790</v>
      </c>
      <c r="F829" s="63" t="s">
        <v>6</v>
      </c>
      <c r="G829" s="56" t="s">
        <v>2816</v>
      </c>
      <c r="H829" s="56" t="s">
        <v>2817</v>
      </c>
    </row>
    <row r="830" spans="2:8" x14ac:dyDescent="0.3">
      <c r="B830" s="65">
        <v>45996</v>
      </c>
      <c r="C830" s="74">
        <v>45992</v>
      </c>
      <c r="D830" s="56" t="s">
        <v>2811</v>
      </c>
      <c r="E830" s="75" t="s">
        <v>1790</v>
      </c>
      <c r="F830" s="63" t="s">
        <v>6</v>
      </c>
      <c r="G830" s="56" t="s">
        <v>2818</v>
      </c>
      <c r="H830" s="56" t="s">
        <v>2819</v>
      </c>
    </row>
    <row r="831" spans="2:8" x14ac:dyDescent="0.3">
      <c r="B831" s="65">
        <v>46000</v>
      </c>
      <c r="C831" s="74">
        <v>45992</v>
      </c>
      <c r="D831" s="56" t="s">
        <v>2811</v>
      </c>
      <c r="E831" s="75" t="s">
        <v>1790</v>
      </c>
      <c r="F831" s="63" t="s">
        <v>6</v>
      </c>
      <c r="G831" s="56" t="s">
        <v>2870</v>
      </c>
      <c r="H831" s="56" t="s">
        <v>2870</v>
      </c>
    </row>
    <row r="832" spans="2:8" x14ac:dyDescent="0.3">
      <c r="B832" s="65">
        <v>46000</v>
      </c>
      <c r="C832" s="74">
        <v>45992</v>
      </c>
      <c r="D832" s="56" t="s">
        <v>2811</v>
      </c>
      <c r="E832" s="75" t="s">
        <v>1790</v>
      </c>
      <c r="F832" s="63" t="s">
        <v>6</v>
      </c>
      <c r="G832" s="56" t="s">
        <v>2899</v>
      </c>
      <c r="H832" s="56" t="s">
        <v>2900</v>
      </c>
    </row>
    <row r="833" spans="2:8" x14ac:dyDescent="0.3">
      <c r="B833" s="65">
        <v>46000</v>
      </c>
      <c r="C833" s="74">
        <v>45992</v>
      </c>
      <c r="D833" s="56" t="s">
        <v>2811</v>
      </c>
      <c r="E833" s="75" t="s">
        <v>1790</v>
      </c>
      <c r="F833" s="63" t="s">
        <v>6</v>
      </c>
      <c r="G833" s="56" t="s">
        <v>2814</v>
      </c>
      <c r="H833" s="56" t="s">
        <v>2815</v>
      </c>
    </row>
    <row r="834" spans="2:8" x14ac:dyDescent="0.3">
      <c r="B834" s="65">
        <v>46000</v>
      </c>
      <c r="C834" s="74">
        <v>45992</v>
      </c>
      <c r="D834" s="56" t="s">
        <v>2811</v>
      </c>
      <c r="E834" s="75" t="s">
        <v>1790</v>
      </c>
      <c r="F834" s="63" t="s">
        <v>6</v>
      </c>
      <c r="G834" s="56" t="s">
        <v>2816</v>
      </c>
      <c r="H834" s="56" t="s">
        <v>2817</v>
      </c>
    </row>
    <row r="835" spans="2:8" x14ac:dyDescent="0.3">
      <c r="B835" s="65">
        <v>46000</v>
      </c>
      <c r="C835" s="74">
        <v>45992</v>
      </c>
      <c r="D835" s="56" t="s">
        <v>2811</v>
      </c>
      <c r="E835" s="75" t="s">
        <v>1790</v>
      </c>
      <c r="F835" s="63" t="s">
        <v>6</v>
      </c>
      <c r="G835" s="56" t="s">
        <v>2818</v>
      </c>
      <c r="H835" s="56" t="s">
        <v>2819</v>
      </c>
    </row>
    <row r="836" spans="2:8" x14ac:dyDescent="0.3">
      <c r="B836" s="65">
        <v>46001</v>
      </c>
      <c r="C836" s="74">
        <v>45992</v>
      </c>
      <c r="D836" s="56" t="s">
        <v>2811</v>
      </c>
      <c r="E836" s="75" t="s">
        <v>1790</v>
      </c>
      <c r="F836" s="63" t="s">
        <v>6</v>
      </c>
      <c r="G836" s="56" t="s">
        <v>2870</v>
      </c>
      <c r="H836" s="56" t="s">
        <v>2870</v>
      </c>
    </row>
    <row r="837" spans="2:8" x14ac:dyDescent="0.3">
      <c r="B837" s="65">
        <v>46001</v>
      </c>
      <c r="C837" s="74">
        <v>45992</v>
      </c>
      <c r="D837" s="56" t="s">
        <v>2811</v>
      </c>
      <c r="E837" s="75" t="s">
        <v>1790</v>
      </c>
      <c r="F837" s="63" t="s">
        <v>6</v>
      </c>
      <c r="G837" s="56" t="s">
        <v>2899</v>
      </c>
      <c r="H837" s="56" t="s">
        <v>2900</v>
      </c>
    </row>
    <row r="838" spans="2:8" x14ac:dyDescent="0.3">
      <c r="B838" s="65">
        <v>46001</v>
      </c>
      <c r="C838" s="74">
        <v>45992</v>
      </c>
      <c r="D838" s="56" t="s">
        <v>2811</v>
      </c>
      <c r="E838" s="75" t="s">
        <v>1790</v>
      </c>
      <c r="F838" s="63" t="s">
        <v>6</v>
      </c>
      <c r="G838" s="56" t="s">
        <v>2814</v>
      </c>
      <c r="H838" s="56" t="s">
        <v>2815</v>
      </c>
    </row>
    <row r="839" spans="2:8" x14ac:dyDescent="0.3">
      <c r="B839" s="65">
        <v>46001</v>
      </c>
      <c r="C839" s="74">
        <v>45992</v>
      </c>
      <c r="D839" s="56" t="s">
        <v>2811</v>
      </c>
      <c r="E839" s="75" t="s">
        <v>1790</v>
      </c>
      <c r="F839" s="63" t="s">
        <v>6</v>
      </c>
      <c r="G839" s="56" t="s">
        <v>2816</v>
      </c>
      <c r="H839" s="56" t="s">
        <v>2817</v>
      </c>
    </row>
    <row r="840" spans="2:8" x14ac:dyDescent="0.3">
      <c r="B840" s="65">
        <v>46001</v>
      </c>
      <c r="C840" s="74">
        <v>45992</v>
      </c>
      <c r="D840" s="56" t="s">
        <v>2811</v>
      </c>
      <c r="E840" s="75" t="s">
        <v>1790</v>
      </c>
      <c r="F840" s="63" t="s">
        <v>6</v>
      </c>
      <c r="G840" s="56" t="s">
        <v>2818</v>
      </c>
      <c r="H840" s="56" t="s">
        <v>2819</v>
      </c>
    </row>
    <row r="841" spans="2:8" x14ac:dyDescent="0.3">
      <c r="B841" s="138">
        <v>46002</v>
      </c>
      <c r="C841" s="74">
        <v>45992</v>
      </c>
      <c r="D841" s="70" t="s">
        <v>2928</v>
      </c>
      <c r="E841" s="75" t="s">
        <v>1790</v>
      </c>
      <c r="F841" s="63" t="s">
        <v>6</v>
      </c>
      <c r="G841" s="56" t="s">
        <v>2870</v>
      </c>
      <c r="H841" s="56" t="s">
        <v>2870</v>
      </c>
    </row>
    <row r="842" spans="2:8" x14ac:dyDescent="0.3">
      <c r="B842" s="138">
        <v>46002</v>
      </c>
      <c r="C842" s="74">
        <v>45992</v>
      </c>
      <c r="D842" s="70" t="s">
        <v>2928</v>
      </c>
      <c r="E842" s="75" t="s">
        <v>1790</v>
      </c>
      <c r="F842" s="63" t="s">
        <v>6</v>
      </c>
      <c r="G842" s="56" t="s">
        <v>2899</v>
      </c>
      <c r="H842" s="56" t="s">
        <v>2900</v>
      </c>
    </row>
    <row r="843" spans="2:8" x14ac:dyDescent="0.3">
      <c r="B843" s="138">
        <v>46002</v>
      </c>
      <c r="C843" s="74">
        <v>45992</v>
      </c>
      <c r="D843" s="70" t="s">
        <v>2928</v>
      </c>
      <c r="E843" s="75" t="s">
        <v>1790</v>
      </c>
      <c r="F843" s="63" t="s">
        <v>6</v>
      </c>
      <c r="G843" s="56" t="s">
        <v>2814</v>
      </c>
      <c r="H843" s="56" t="s">
        <v>2815</v>
      </c>
    </row>
    <row r="844" spans="2:8" x14ac:dyDescent="0.3">
      <c r="B844" s="138">
        <v>46002</v>
      </c>
      <c r="C844" s="74">
        <v>45992</v>
      </c>
      <c r="D844" s="70" t="s">
        <v>2928</v>
      </c>
      <c r="E844" s="75" t="s">
        <v>1790</v>
      </c>
      <c r="F844" s="63" t="s">
        <v>6</v>
      </c>
      <c r="G844" s="56" t="s">
        <v>2816</v>
      </c>
      <c r="H844" s="56" t="s">
        <v>2817</v>
      </c>
    </row>
    <row r="845" spans="2:8" x14ac:dyDescent="0.3">
      <c r="B845" s="138">
        <v>46002</v>
      </c>
      <c r="C845" s="74">
        <v>45992</v>
      </c>
      <c r="D845" s="70" t="s">
        <v>2928</v>
      </c>
      <c r="E845" s="75" t="s">
        <v>1790</v>
      </c>
      <c r="F845" s="63" t="s">
        <v>6</v>
      </c>
      <c r="G845" s="56" t="s">
        <v>2818</v>
      </c>
      <c r="H845" s="56" t="s">
        <v>2819</v>
      </c>
    </row>
    <row r="846" spans="2:8" x14ac:dyDescent="0.3">
      <c r="B846" s="138">
        <v>46003</v>
      </c>
      <c r="C846" s="74">
        <v>45992</v>
      </c>
      <c r="D846" s="70" t="s">
        <v>2928</v>
      </c>
      <c r="E846" s="75" t="s">
        <v>1790</v>
      </c>
      <c r="F846" s="63" t="s">
        <v>6</v>
      </c>
      <c r="G846" s="56" t="s">
        <v>2870</v>
      </c>
      <c r="H846" s="56" t="s">
        <v>2870</v>
      </c>
    </row>
    <row r="847" spans="2:8" x14ac:dyDescent="0.3">
      <c r="B847" s="138">
        <v>46003</v>
      </c>
      <c r="C847" s="74">
        <v>45992</v>
      </c>
      <c r="D847" s="70" t="s">
        <v>2928</v>
      </c>
      <c r="E847" s="75" t="s">
        <v>1790</v>
      </c>
      <c r="F847" s="63" t="s">
        <v>6</v>
      </c>
      <c r="G847" s="56" t="s">
        <v>2899</v>
      </c>
      <c r="H847" s="56" t="s">
        <v>2900</v>
      </c>
    </row>
    <row r="848" spans="2:8" x14ac:dyDescent="0.3">
      <c r="B848" s="138">
        <v>46003</v>
      </c>
      <c r="C848" s="74">
        <v>45992</v>
      </c>
      <c r="D848" s="70" t="s">
        <v>2928</v>
      </c>
      <c r="E848" s="75" t="s">
        <v>1790</v>
      </c>
      <c r="F848" s="63" t="s">
        <v>6</v>
      </c>
      <c r="G848" s="56" t="s">
        <v>2814</v>
      </c>
      <c r="H848" s="56" t="s">
        <v>2815</v>
      </c>
    </row>
    <row r="849" spans="2:8" x14ac:dyDescent="0.3">
      <c r="B849" s="138">
        <v>46003</v>
      </c>
      <c r="C849" s="74">
        <v>45992</v>
      </c>
      <c r="D849" s="70" t="s">
        <v>2928</v>
      </c>
      <c r="E849" s="75" t="s">
        <v>1790</v>
      </c>
      <c r="F849" s="63" t="s">
        <v>6</v>
      </c>
      <c r="G849" s="56" t="s">
        <v>2816</v>
      </c>
      <c r="H849" s="56" t="s">
        <v>2817</v>
      </c>
    </row>
    <row r="850" spans="2:8" x14ac:dyDescent="0.3">
      <c r="B850" s="138">
        <v>46003</v>
      </c>
      <c r="C850" s="74">
        <v>45992</v>
      </c>
      <c r="D850" s="70" t="s">
        <v>2928</v>
      </c>
      <c r="E850" s="75" t="s">
        <v>1790</v>
      </c>
      <c r="F850" s="63" t="s">
        <v>6</v>
      </c>
      <c r="G850" s="56" t="s">
        <v>2818</v>
      </c>
      <c r="H850" s="56" t="s">
        <v>2819</v>
      </c>
    </row>
    <row r="851" spans="2:8" x14ac:dyDescent="0.3">
      <c r="B851" s="138">
        <v>46006</v>
      </c>
      <c r="C851" s="74">
        <v>45992</v>
      </c>
      <c r="D851" s="70" t="s">
        <v>2928</v>
      </c>
      <c r="E851" s="75" t="s">
        <v>1790</v>
      </c>
      <c r="F851" s="137" t="s">
        <v>325</v>
      </c>
      <c r="G851" s="56" t="s">
        <v>3032</v>
      </c>
      <c r="H851" s="56" t="s">
        <v>3032</v>
      </c>
    </row>
    <row r="852" spans="2:8" x14ac:dyDescent="0.3">
      <c r="B852" s="138">
        <v>46006</v>
      </c>
      <c r="C852" s="74">
        <v>45992</v>
      </c>
      <c r="D852" s="70" t="s">
        <v>2928</v>
      </c>
      <c r="E852" s="75" t="s">
        <v>1790</v>
      </c>
      <c r="F852" s="63" t="s">
        <v>6</v>
      </c>
      <c r="G852" s="56" t="s">
        <v>2870</v>
      </c>
      <c r="H852" s="56" t="s">
        <v>2870</v>
      </c>
    </row>
    <row r="853" spans="2:8" x14ac:dyDescent="0.3">
      <c r="B853" s="138">
        <v>46006</v>
      </c>
      <c r="C853" s="74">
        <v>45992</v>
      </c>
      <c r="D853" s="70" t="s">
        <v>2928</v>
      </c>
      <c r="E853" s="75" t="s">
        <v>1790</v>
      </c>
      <c r="F853" s="63" t="s">
        <v>6</v>
      </c>
      <c r="G853" s="56" t="s">
        <v>2899</v>
      </c>
      <c r="H853" s="56" t="s">
        <v>2900</v>
      </c>
    </row>
    <row r="854" spans="2:8" x14ac:dyDescent="0.3">
      <c r="B854" s="138">
        <v>46006</v>
      </c>
      <c r="C854" s="74">
        <v>45992</v>
      </c>
      <c r="D854" s="70" t="s">
        <v>2928</v>
      </c>
      <c r="E854" s="75" t="s">
        <v>1790</v>
      </c>
      <c r="F854" s="63" t="s">
        <v>6</v>
      </c>
      <c r="G854" s="56" t="s">
        <v>2814</v>
      </c>
      <c r="H854" s="56" t="s">
        <v>2815</v>
      </c>
    </row>
    <row r="855" spans="2:8" x14ac:dyDescent="0.3">
      <c r="B855" s="138">
        <v>46006</v>
      </c>
      <c r="C855" s="74">
        <v>45992</v>
      </c>
      <c r="D855" s="70" t="s">
        <v>2928</v>
      </c>
      <c r="E855" s="75" t="s">
        <v>1790</v>
      </c>
      <c r="F855" s="63" t="s">
        <v>6</v>
      </c>
      <c r="G855" s="56" t="s">
        <v>2816</v>
      </c>
      <c r="H855" s="56" t="s">
        <v>2817</v>
      </c>
    </row>
    <row r="856" spans="2:8" x14ac:dyDescent="0.3">
      <c r="B856" s="138">
        <v>46006</v>
      </c>
      <c r="C856" s="74">
        <v>45992</v>
      </c>
      <c r="D856" s="70" t="s">
        <v>2928</v>
      </c>
      <c r="E856" s="75" t="s">
        <v>1790</v>
      </c>
      <c r="F856" s="63" t="s">
        <v>6</v>
      </c>
      <c r="G856" s="56" t="s">
        <v>2818</v>
      </c>
      <c r="H856" s="56" t="s">
        <v>2819</v>
      </c>
    </row>
    <row r="857" spans="2:8" x14ac:dyDescent="0.3">
      <c r="B857" s="138">
        <v>46007</v>
      </c>
      <c r="C857" s="74">
        <v>45992</v>
      </c>
      <c r="D857" s="70" t="s">
        <v>2928</v>
      </c>
      <c r="E857" s="75" t="s">
        <v>1790</v>
      </c>
      <c r="F857" s="63" t="s">
        <v>6</v>
      </c>
      <c r="G857" s="56" t="s">
        <v>2870</v>
      </c>
      <c r="H857" s="56" t="s">
        <v>2870</v>
      </c>
    </row>
    <row r="858" spans="2:8" x14ac:dyDescent="0.3">
      <c r="B858" s="138">
        <v>46007</v>
      </c>
      <c r="C858" s="74">
        <v>45992</v>
      </c>
      <c r="D858" s="70" t="s">
        <v>2928</v>
      </c>
      <c r="E858" s="75" t="s">
        <v>1790</v>
      </c>
      <c r="F858" s="63" t="s">
        <v>6</v>
      </c>
      <c r="G858" s="56" t="s">
        <v>2899</v>
      </c>
      <c r="H858" s="56" t="s">
        <v>2900</v>
      </c>
    </row>
    <row r="859" spans="2:8" x14ac:dyDescent="0.3">
      <c r="B859" s="138">
        <v>46007</v>
      </c>
      <c r="C859" s="74">
        <v>45992</v>
      </c>
      <c r="D859" s="70" t="s">
        <v>2928</v>
      </c>
      <c r="E859" s="75" t="s">
        <v>1790</v>
      </c>
      <c r="F859" s="63" t="s">
        <v>6</v>
      </c>
      <c r="G859" s="56" t="s">
        <v>2814</v>
      </c>
      <c r="H859" s="56" t="s">
        <v>2815</v>
      </c>
    </row>
    <row r="860" spans="2:8" x14ac:dyDescent="0.3">
      <c r="B860" s="138">
        <v>46007</v>
      </c>
      <c r="C860" s="74">
        <v>45992</v>
      </c>
      <c r="D860" s="70" t="s">
        <v>2928</v>
      </c>
      <c r="E860" s="75" t="s">
        <v>1790</v>
      </c>
      <c r="F860" s="63" t="s">
        <v>6</v>
      </c>
      <c r="G860" s="56" t="s">
        <v>2816</v>
      </c>
      <c r="H860" s="56" t="s">
        <v>2817</v>
      </c>
    </row>
    <row r="861" spans="2:8" x14ac:dyDescent="0.3">
      <c r="B861" s="138">
        <v>46007</v>
      </c>
      <c r="C861" s="74">
        <v>45992</v>
      </c>
      <c r="D861" s="70" t="s">
        <v>2928</v>
      </c>
      <c r="E861" s="75" t="s">
        <v>1790</v>
      </c>
      <c r="F861" s="63" t="s">
        <v>6</v>
      </c>
      <c r="G861" s="56" t="s">
        <v>2818</v>
      </c>
      <c r="H861" s="56" t="s">
        <v>2819</v>
      </c>
    </row>
    <row r="862" spans="2:8" x14ac:dyDescent="0.3">
      <c r="B862" s="138">
        <v>46008</v>
      </c>
      <c r="C862" s="74">
        <v>45992</v>
      </c>
      <c r="D862" s="70" t="s">
        <v>2928</v>
      </c>
      <c r="E862" s="75" t="s">
        <v>1790</v>
      </c>
      <c r="F862" s="137" t="s">
        <v>325</v>
      </c>
      <c r="G862" s="56" t="s">
        <v>3033</v>
      </c>
      <c r="H862" s="56" t="s">
        <v>3033</v>
      </c>
    </row>
    <row r="863" spans="2:8" x14ac:dyDescent="0.3">
      <c r="B863" s="138">
        <v>46008</v>
      </c>
      <c r="C863" s="74">
        <v>45992</v>
      </c>
      <c r="D863" s="70" t="s">
        <v>2928</v>
      </c>
      <c r="E863" s="75" t="s">
        <v>1790</v>
      </c>
      <c r="F863" s="63" t="s">
        <v>6</v>
      </c>
      <c r="G863" s="56" t="s">
        <v>2870</v>
      </c>
      <c r="H863" s="56" t="s">
        <v>2870</v>
      </c>
    </row>
    <row r="864" spans="2:8" x14ac:dyDescent="0.3">
      <c r="B864" s="138">
        <v>46008</v>
      </c>
      <c r="C864" s="74">
        <v>45992</v>
      </c>
      <c r="D864" s="70" t="s">
        <v>2928</v>
      </c>
      <c r="E864" s="75" t="s">
        <v>1790</v>
      </c>
      <c r="F864" s="63" t="s">
        <v>6</v>
      </c>
      <c r="G864" s="56" t="s">
        <v>2899</v>
      </c>
      <c r="H864" s="56" t="s">
        <v>2900</v>
      </c>
    </row>
    <row r="865" spans="2:8" x14ac:dyDescent="0.3">
      <c r="B865" s="138">
        <v>46008</v>
      </c>
      <c r="C865" s="74">
        <v>45992</v>
      </c>
      <c r="D865" s="70" t="s">
        <v>2928</v>
      </c>
      <c r="E865" s="75" t="s">
        <v>1790</v>
      </c>
      <c r="F865" s="63" t="s">
        <v>6</v>
      </c>
      <c r="G865" s="56" t="s">
        <v>2814</v>
      </c>
      <c r="H865" s="56" t="s">
        <v>2815</v>
      </c>
    </row>
    <row r="866" spans="2:8" x14ac:dyDescent="0.3">
      <c r="B866" s="138">
        <v>46008</v>
      </c>
      <c r="C866" s="74">
        <v>45992</v>
      </c>
      <c r="D866" s="70" t="s">
        <v>2928</v>
      </c>
      <c r="E866" s="75" t="s">
        <v>1790</v>
      </c>
      <c r="F866" s="63" t="s">
        <v>6</v>
      </c>
      <c r="G866" s="56" t="s">
        <v>2816</v>
      </c>
      <c r="H866" s="56" t="s">
        <v>2817</v>
      </c>
    </row>
    <row r="867" spans="2:8" x14ac:dyDescent="0.3">
      <c r="B867" s="138">
        <v>46008</v>
      </c>
      <c r="C867" s="74">
        <v>45992</v>
      </c>
      <c r="D867" s="70" t="s">
        <v>2928</v>
      </c>
      <c r="E867" s="75" t="s">
        <v>1790</v>
      </c>
      <c r="F867" s="63" t="s">
        <v>6</v>
      </c>
      <c r="G867" s="56" t="s">
        <v>2818</v>
      </c>
      <c r="H867" s="56" t="s">
        <v>2819</v>
      </c>
    </row>
    <row r="868" spans="2:8" x14ac:dyDescent="0.3">
      <c r="B868" s="138">
        <v>46009</v>
      </c>
      <c r="C868" s="74">
        <v>45992</v>
      </c>
      <c r="D868" s="70" t="s">
        <v>2928</v>
      </c>
      <c r="E868" s="75" t="s">
        <v>1790</v>
      </c>
      <c r="F868" s="137" t="s">
        <v>325</v>
      </c>
      <c r="G868" s="56" t="s">
        <v>3034</v>
      </c>
      <c r="H868" s="56" t="s">
        <v>3034</v>
      </c>
    </row>
    <row r="869" spans="2:8" x14ac:dyDescent="0.3">
      <c r="B869" s="138">
        <v>46009</v>
      </c>
      <c r="C869" s="74">
        <v>45992</v>
      </c>
      <c r="D869" s="70" t="s">
        <v>2928</v>
      </c>
      <c r="E869" s="75" t="s">
        <v>1790</v>
      </c>
      <c r="F869" s="63" t="s">
        <v>6</v>
      </c>
      <c r="G869" s="56" t="s">
        <v>2870</v>
      </c>
      <c r="H869" s="56" t="s">
        <v>2870</v>
      </c>
    </row>
    <row r="870" spans="2:8" x14ac:dyDescent="0.3">
      <c r="B870" s="138">
        <v>46009</v>
      </c>
      <c r="C870" s="74">
        <v>45992</v>
      </c>
      <c r="D870" s="70" t="s">
        <v>2928</v>
      </c>
      <c r="E870" s="75" t="s">
        <v>1790</v>
      </c>
      <c r="F870" s="63" t="s">
        <v>6</v>
      </c>
      <c r="G870" s="56" t="s">
        <v>2899</v>
      </c>
      <c r="H870" s="56" t="s">
        <v>2900</v>
      </c>
    </row>
    <row r="871" spans="2:8" x14ac:dyDescent="0.3">
      <c r="B871" s="138">
        <v>46009</v>
      </c>
      <c r="C871" s="74">
        <v>45992</v>
      </c>
      <c r="D871" s="70" t="s">
        <v>2928</v>
      </c>
      <c r="E871" s="75" t="s">
        <v>1790</v>
      </c>
      <c r="F871" s="63" t="s">
        <v>6</v>
      </c>
      <c r="G871" s="56" t="s">
        <v>2814</v>
      </c>
      <c r="H871" s="56" t="s">
        <v>2815</v>
      </c>
    </row>
    <row r="872" spans="2:8" x14ac:dyDescent="0.3">
      <c r="B872" s="138">
        <v>46009</v>
      </c>
      <c r="C872" s="74">
        <v>45992</v>
      </c>
      <c r="D872" s="70" t="s">
        <v>2928</v>
      </c>
      <c r="E872" s="75" t="s">
        <v>1790</v>
      </c>
      <c r="F872" s="63" t="s">
        <v>6</v>
      </c>
      <c r="G872" s="56" t="s">
        <v>2816</v>
      </c>
      <c r="H872" s="56" t="s">
        <v>2817</v>
      </c>
    </row>
    <row r="873" spans="2:8" x14ac:dyDescent="0.3">
      <c r="B873" s="138">
        <v>46009</v>
      </c>
      <c r="C873" s="74">
        <v>45992</v>
      </c>
      <c r="D873" s="70" t="s">
        <v>2928</v>
      </c>
      <c r="E873" s="75" t="s">
        <v>1790</v>
      </c>
      <c r="F873" s="63" t="s">
        <v>6</v>
      </c>
      <c r="G873" s="56" t="s">
        <v>2818</v>
      </c>
      <c r="H873" s="56" t="s">
        <v>2819</v>
      </c>
    </row>
    <row r="874" spans="2:8" x14ac:dyDescent="0.3">
      <c r="B874" s="138">
        <v>46010</v>
      </c>
      <c r="C874" s="74">
        <v>45992</v>
      </c>
      <c r="D874" s="70" t="s">
        <v>2928</v>
      </c>
      <c r="E874" s="75" t="s">
        <v>1790</v>
      </c>
      <c r="F874" s="63" t="s">
        <v>6</v>
      </c>
      <c r="G874" s="56" t="s">
        <v>2870</v>
      </c>
      <c r="H874" s="56" t="s">
        <v>2870</v>
      </c>
    </row>
    <row r="875" spans="2:8" x14ac:dyDescent="0.3">
      <c r="B875" s="138">
        <v>46010</v>
      </c>
      <c r="C875" s="74">
        <v>45992</v>
      </c>
      <c r="D875" s="70" t="s">
        <v>2928</v>
      </c>
      <c r="E875" s="75" t="s">
        <v>1790</v>
      </c>
      <c r="F875" s="63" t="s">
        <v>6</v>
      </c>
      <c r="G875" s="56" t="s">
        <v>2899</v>
      </c>
      <c r="H875" s="56" t="s">
        <v>2900</v>
      </c>
    </row>
    <row r="876" spans="2:8" x14ac:dyDescent="0.3">
      <c r="B876" s="138">
        <v>46010</v>
      </c>
      <c r="C876" s="74">
        <v>45992</v>
      </c>
      <c r="D876" s="70" t="s">
        <v>2928</v>
      </c>
      <c r="E876" s="75" t="s">
        <v>1790</v>
      </c>
      <c r="F876" s="63" t="s">
        <v>6</v>
      </c>
      <c r="G876" s="56" t="s">
        <v>2814</v>
      </c>
      <c r="H876" s="56" t="s">
        <v>2815</v>
      </c>
    </row>
    <row r="877" spans="2:8" x14ac:dyDescent="0.3">
      <c r="B877" s="138">
        <v>46010</v>
      </c>
      <c r="C877" s="74">
        <v>45992</v>
      </c>
      <c r="D877" s="70" t="s">
        <v>2928</v>
      </c>
      <c r="E877" s="75" t="s">
        <v>1790</v>
      </c>
      <c r="F877" s="63" t="s">
        <v>6</v>
      </c>
      <c r="G877" s="56" t="s">
        <v>2816</v>
      </c>
      <c r="H877" s="56" t="s">
        <v>2817</v>
      </c>
    </row>
    <row r="878" spans="2:8" x14ac:dyDescent="0.3">
      <c r="B878" s="138">
        <v>46010</v>
      </c>
      <c r="C878" s="74">
        <v>45992</v>
      </c>
      <c r="D878" s="70" t="s">
        <v>2928</v>
      </c>
      <c r="E878" s="75" t="s">
        <v>1790</v>
      </c>
      <c r="F878" s="63" t="s">
        <v>6</v>
      </c>
      <c r="G878" s="56" t="s">
        <v>2818</v>
      </c>
      <c r="H878" s="56" t="s">
        <v>2819</v>
      </c>
    </row>
    <row r="879" spans="2:8" x14ac:dyDescent="0.3">
      <c r="B879" s="138">
        <v>46013</v>
      </c>
      <c r="C879" s="74">
        <v>45992</v>
      </c>
      <c r="D879" s="70" t="s">
        <v>2928</v>
      </c>
      <c r="E879" s="75" t="s">
        <v>1790</v>
      </c>
      <c r="F879" s="137" t="s">
        <v>325</v>
      </c>
      <c r="G879" s="56" t="s">
        <v>3035</v>
      </c>
      <c r="H879" s="56" t="s">
        <v>3035</v>
      </c>
    </row>
    <row r="880" spans="2:8" x14ac:dyDescent="0.3">
      <c r="B880" s="138">
        <v>46013</v>
      </c>
      <c r="C880" s="74">
        <v>45992</v>
      </c>
      <c r="D880" s="70" t="s">
        <v>2928</v>
      </c>
      <c r="E880" s="75" t="s">
        <v>1790</v>
      </c>
      <c r="F880" s="137" t="s">
        <v>325</v>
      </c>
      <c r="G880" s="56" t="s">
        <v>3036</v>
      </c>
      <c r="H880" s="56" t="s">
        <v>3036</v>
      </c>
    </row>
    <row r="881" spans="2:8" x14ac:dyDescent="0.3">
      <c r="B881" s="138">
        <v>46013</v>
      </c>
      <c r="C881" s="74">
        <v>45992</v>
      </c>
      <c r="D881" s="70" t="s">
        <v>2928</v>
      </c>
      <c r="E881" s="75" t="s">
        <v>1790</v>
      </c>
      <c r="F881" s="63" t="s">
        <v>6</v>
      </c>
      <c r="G881" s="56" t="s">
        <v>2870</v>
      </c>
      <c r="H881" s="56" t="s">
        <v>2870</v>
      </c>
    </row>
    <row r="882" spans="2:8" x14ac:dyDescent="0.3">
      <c r="B882" s="138">
        <v>46013</v>
      </c>
      <c r="C882" s="74">
        <v>45992</v>
      </c>
      <c r="D882" s="70" t="s">
        <v>2928</v>
      </c>
      <c r="E882" s="75" t="s">
        <v>1790</v>
      </c>
      <c r="F882" s="63" t="s">
        <v>6</v>
      </c>
      <c r="G882" s="56" t="s">
        <v>2899</v>
      </c>
      <c r="H882" s="56" t="s">
        <v>2900</v>
      </c>
    </row>
    <row r="883" spans="2:8" x14ac:dyDescent="0.3">
      <c r="B883" s="138">
        <v>46013</v>
      </c>
      <c r="C883" s="74">
        <v>45992</v>
      </c>
      <c r="D883" s="70" t="s">
        <v>2928</v>
      </c>
      <c r="E883" s="75" t="s">
        <v>1790</v>
      </c>
      <c r="F883" s="63" t="s">
        <v>6</v>
      </c>
      <c r="G883" s="56" t="s">
        <v>2814</v>
      </c>
      <c r="H883" s="56" t="s">
        <v>2815</v>
      </c>
    </row>
    <row r="884" spans="2:8" x14ac:dyDescent="0.3">
      <c r="B884" s="138">
        <v>46013</v>
      </c>
      <c r="C884" s="74">
        <v>45992</v>
      </c>
      <c r="D884" s="70" t="s">
        <v>2928</v>
      </c>
      <c r="E884" s="75" t="s">
        <v>1790</v>
      </c>
      <c r="F884" s="63" t="s">
        <v>6</v>
      </c>
      <c r="G884" s="56" t="s">
        <v>2816</v>
      </c>
      <c r="H884" s="56" t="s">
        <v>2817</v>
      </c>
    </row>
    <row r="885" spans="2:8" x14ac:dyDescent="0.3">
      <c r="B885" s="138">
        <v>46013</v>
      </c>
      <c r="C885" s="74">
        <v>45992</v>
      </c>
      <c r="D885" s="70" t="s">
        <v>2928</v>
      </c>
      <c r="E885" s="75" t="s">
        <v>1790</v>
      </c>
      <c r="F885" s="63" t="s">
        <v>6</v>
      </c>
      <c r="G885" s="56" t="s">
        <v>2818</v>
      </c>
      <c r="H885" s="56" t="s">
        <v>2819</v>
      </c>
    </row>
    <row r="886" spans="2:8" x14ac:dyDescent="0.3">
      <c r="B886" s="138">
        <v>46014</v>
      </c>
      <c r="C886" s="74">
        <v>45992</v>
      </c>
      <c r="D886" s="70" t="s">
        <v>2928</v>
      </c>
      <c r="E886" s="75" t="s">
        <v>1790</v>
      </c>
      <c r="F886" s="63" t="s">
        <v>6</v>
      </c>
      <c r="G886" s="56" t="s">
        <v>2870</v>
      </c>
      <c r="H886" s="56" t="s">
        <v>2870</v>
      </c>
    </row>
    <row r="887" spans="2:8" x14ac:dyDescent="0.3">
      <c r="B887" s="138">
        <v>46014</v>
      </c>
      <c r="C887" s="74">
        <v>45992</v>
      </c>
      <c r="D887" s="70" t="s">
        <v>2928</v>
      </c>
      <c r="E887" s="75" t="s">
        <v>1790</v>
      </c>
      <c r="F887" s="63" t="s">
        <v>6</v>
      </c>
      <c r="G887" s="56" t="s">
        <v>2899</v>
      </c>
      <c r="H887" s="56" t="s">
        <v>2900</v>
      </c>
    </row>
    <row r="888" spans="2:8" x14ac:dyDescent="0.3">
      <c r="B888" s="138">
        <v>46014</v>
      </c>
      <c r="C888" s="74">
        <v>45992</v>
      </c>
      <c r="D888" s="70" t="s">
        <v>2928</v>
      </c>
      <c r="E888" s="75" t="s">
        <v>1790</v>
      </c>
      <c r="F888" s="63" t="s">
        <v>6</v>
      </c>
      <c r="G888" s="56" t="s">
        <v>2814</v>
      </c>
      <c r="H888" s="56" t="s">
        <v>2815</v>
      </c>
    </row>
    <row r="889" spans="2:8" x14ac:dyDescent="0.3">
      <c r="B889" s="138">
        <v>46014</v>
      </c>
      <c r="C889" s="74">
        <v>45992</v>
      </c>
      <c r="D889" s="70" t="s">
        <v>2928</v>
      </c>
      <c r="E889" s="75" t="s">
        <v>1790</v>
      </c>
      <c r="F889" s="63" t="s">
        <v>6</v>
      </c>
      <c r="G889" s="56" t="s">
        <v>2816</v>
      </c>
      <c r="H889" s="56" t="s">
        <v>2817</v>
      </c>
    </row>
    <row r="890" spans="2:8" x14ac:dyDescent="0.3">
      <c r="B890" s="138">
        <v>46014</v>
      </c>
      <c r="C890" s="74">
        <v>45992</v>
      </c>
      <c r="D890" s="70" t="s">
        <v>2928</v>
      </c>
      <c r="E890" s="75" t="s">
        <v>1790</v>
      </c>
      <c r="F890" s="63" t="s">
        <v>6</v>
      </c>
      <c r="G890" s="56" t="s">
        <v>2818</v>
      </c>
      <c r="H890" s="56" t="s">
        <v>2819</v>
      </c>
    </row>
    <row r="891" spans="2:8" x14ac:dyDescent="0.3">
      <c r="B891" s="138">
        <v>46015</v>
      </c>
      <c r="C891" s="74">
        <v>45992</v>
      </c>
      <c r="D891" s="70" t="s">
        <v>2928</v>
      </c>
      <c r="E891" s="75" t="s">
        <v>1790</v>
      </c>
      <c r="F891" s="63" t="s">
        <v>6</v>
      </c>
      <c r="G891" s="56" t="s">
        <v>2870</v>
      </c>
      <c r="H891" s="56" t="s">
        <v>2870</v>
      </c>
    </row>
    <row r="892" spans="2:8" x14ac:dyDescent="0.3">
      <c r="B892" s="138">
        <v>46015</v>
      </c>
      <c r="C892" s="74">
        <v>45992</v>
      </c>
      <c r="D892" s="70" t="s">
        <v>2928</v>
      </c>
      <c r="E892" s="75" t="s">
        <v>1790</v>
      </c>
      <c r="F892" s="63" t="s">
        <v>6</v>
      </c>
      <c r="G892" s="56" t="s">
        <v>2899</v>
      </c>
      <c r="H892" s="56" t="s">
        <v>2900</v>
      </c>
    </row>
    <row r="893" spans="2:8" x14ac:dyDescent="0.3">
      <c r="B893" s="138">
        <v>46015</v>
      </c>
      <c r="C893" s="74">
        <v>45992</v>
      </c>
      <c r="D893" s="70" t="s">
        <v>2928</v>
      </c>
      <c r="E893" s="75" t="s">
        <v>1790</v>
      </c>
      <c r="F893" s="63" t="s">
        <v>6</v>
      </c>
      <c r="G893" s="56" t="s">
        <v>2814</v>
      </c>
      <c r="H893" s="56" t="s">
        <v>2815</v>
      </c>
    </row>
    <row r="894" spans="2:8" x14ac:dyDescent="0.3">
      <c r="B894" s="138">
        <v>46015</v>
      </c>
      <c r="C894" s="74">
        <v>45992</v>
      </c>
      <c r="D894" s="70" t="s">
        <v>2928</v>
      </c>
      <c r="E894" s="75" t="s">
        <v>1790</v>
      </c>
      <c r="F894" s="63" t="s">
        <v>6</v>
      </c>
      <c r="G894" s="56" t="s">
        <v>2816</v>
      </c>
      <c r="H894" s="56" t="s">
        <v>2817</v>
      </c>
    </row>
    <row r="895" spans="2:8" x14ac:dyDescent="0.3">
      <c r="B895" s="138">
        <v>46015</v>
      </c>
      <c r="C895" s="74">
        <v>45992</v>
      </c>
      <c r="D895" s="70" t="s">
        <v>2928</v>
      </c>
      <c r="E895" s="75" t="s">
        <v>1790</v>
      </c>
      <c r="F895" s="63" t="s">
        <v>6</v>
      </c>
      <c r="G895" s="56" t="s">
        <v>2818</v>
      </c>
      <c r="H895" s="56" t="s">
        <v>2819</v>
      </c>
    </row>
    <row r="896" spans="2:8" x14ac:dyDescent="0.3">
      <c r="B896" s="138">
        <v>46017</v>
      </c>
      <c r="C896" s="74">
        <v>45992</v>
      </c>
      <c r="D896" s="70" t="s">
        <v>2928</v>
      </c>
      <c r="E896" s="75" t="s">
        <v>1790</v>
      </c>
      <c r="F896" s="63" t="s">
        <v>6</v>
      </c>
      <c r="G896" s="56" t="s">
        <v>2870</v>
      </c>
      <c r="H896" s="56" t="s">
        <v>2870</v>
      </c>
    </row>
    <row r="897" spans="2:8" x14ac:dyDescent="0.3">
      <c r="B897" s="138">
        <v>46017</v>
      </c>
      <c r="C897" s="74">
        <v>45992</v>
      </c>
      <c r="D897" s="70" t="s">
        <v>2928</v>
      </c>
      <c r="E897" s="75" t="s">
        <v>1790</v>
      </c>
      <c r="F897" s="63" t="s">
        <v>6</v>
      </c>
      <c r="G897" s="56" t="s">
        <v>2899</v>
      </c>
      <c r="H897" s="56" t="s">
        <v>2900</v>
      </c>
    </row>
    <row r="898" spans="2:8" x14ac:dyDescent="0.3">
      <c r="B898" s="138">
        <v>46017</v>
      </c>
      <c r="C898" s="74">
        <v>45992</v>
      </c>
      <c r="D898" s="70" t="s">
        <v>2928</v>
      </c>
      <c r="E898" s="75" t="s">
        <v>1790</v>
      </c>
      <c r="F898" s="63" t="s">
        <v>6</v>
      </c>
      <c r="G898" s="56" t="s">
        <v>2814</v>
      </c>
      <c r="H898" s="56" t="s">
        <v>2815</v>
      </c>
    </row>
    <row r="899" spans="2:8" x14ac:dyDescent="0.3">
      <c r="B899" s="138">
        <v>46017</v>
      </c>
      <c r="C899" s="74">
        <v>45992</v>
      </c>
      <c r="D899" s="70" t="s">
        <v>2928</v>
      </c>
      <c r="E899" s="75" t="s">
        <v>1790</v>
      </c>
      <c r="F899" s="63" t="s">
        <v>6</v>
      </c>
      <c r="G899" s="56" t="s">
        <v>2816</v>
      </c>
      <c r="H899" s="56" t="s">
        <v>2817</v>
      </c>
    </row>
    <row r="900" spans="2:8" x14ac:dyDescent="0.3">
      <c r="B900" s="138">
        <v>46017</v>
      </c>
      <c r="C900" s="74">
        <v>45992</v>
      </c>
      <c r="D900" s="70" t="s">
        <v>2928</v>
      </c>
      <c r="E900" s="75" t="s">
        <v>1790</v>
      </c>
      <c r="F900" s="63" t="s">
        <v>6</v>
      </c>
      <c r="G900" s="56" t="s">
        <v>2818</v>
      </c>
      <c r="H900" s="56" t="s">
        <v>2819</v>
      </c>
    </row>
    <row r="901" spans="2:8" x14ac:dyDescent="0.3">
      <c r="B901" s="138">
        <v>46020</v>
      </c>
      <c r="C901" s="74">
        <v>45992</v>
      </c>
      <c r="D901" s="70" t="s">
        <v>2928</v>
      </c>
      <c r="E901" s="75" t="s">
        <v>1790</v>
      </c>
      <c r="F901" s="63" t="s">
        <v>6</v>
      </c>
      <c r="G901" s="56" t="s">
        <v>2870</v>
      </c>
      <c r="H901" s="56" t="s">
        <v>2870</v>
      </c>
    </row>
    <row r="902" spans="2:8" x14ac:dyDescent="0.3">
      <c r="B902" s="138">
        <v>46020</v>
      </c>
      <c r="C902" s="74">
        <v>45992</v>
      </c>
      <c r="D902" s="70" t="s">
        <v>2928</v>
      </c>
      <c r="E902" s="75" t="s">
        <v>1790</v>
      </c>
      <c r="F902" s="63" t="s">
        <v>6</v>
      </c>
      <c r="G902" s="56" t="s">
        <v>2899</v>
      </c>
      <c r="H902" s="56" t="s">
        <v>2900</v>
      </c>
    </row>
    <row r="903" spans="2:8" x14ac:dyDescent="0.3">
      <c r="B903" s="138">
        <v>46020</v>
      </c>
      <c r="C903" s="74">
        <v>45992</v>
      </c>
      <c r="D903" s="70" t="s">
        <v>2928</v>
      </c>
      <c r="E903" s="75" t="s">
        <v>1790</v>
      </c>
      <c r="F903" s="63" t="s">
        <v>6</v>
      </c>
      <c r="G903" s="56" t="s">
        <v>2814</v>
      </c>
      <c r="H903" s="56" t="s">
        <v>2815</v>
      </c>
    </row>
    <row r="904" spans="2:8" x14ac:dyDescent="0.3">
      <c r="B904" s="138">
        <v>46020</v>
      </c>
      <c r="C904" s="74">
        <v>45992</v>
      </c>
      <c r="D904" s="70" t="s">
        <v>2928</v>
      </c>
      <c r="E904" s="75" t="s">
        <v>1790</v>
      </c>
      <c r="F904" s="63" t="s">
        <v>6</v>
      </c>
      <c r="G904" s="56" t="s">
        <v>2816</v>
      </c>
      <c r="H904" s="56" t="s">
        <v>2817</v>
      </c>
    </row>
    <row r="905" spans="2:8" x14ac:dyDescent="0.3">
      <c r="B905" s="138">
        <v>46020</v>
      </c>
      <c r="C905" s="74">
        <v>45992</v>
      </c>
      <c r="D905" s="70" t="s">
        <v>2928</v>
      </c>
      <c r="E905" s="75" t="s">
        <v>1790</v>
      </c>
      <c r="F905" s="63" t="s">
        <v>6</v>
      </c>
      <c r="G905" s="56" t="s">
        <v>2818</v>
      </c>
      <c r="H905" s="56" t="s">
        <v>2819</v>
      </c>
    </row>
    <row r="906" spans="2:8" x14ac:dyDescent="0.3">
      <c r="B906" s="138">
        <v>46021</v>
      </c>
      <c r="C906" s="74">
        <v>45992</v>
      </c>
      <c r="D906" s="70" t="s">
        <v>2928</v>
      </c>
      <c r="E906" s="75" t="s">
        <v>1790</v>
      </c>
      <c r="F906" s="63" t="s">
        <v>6</v>
      </c>
      <c r="G906" s="56" t="s">
        <v>2870</v>
      </c>
      <c r="H906" s="56" t="s">
        <v>2870</v>
      </c>
    </row>
    <row r="907" spans="2:8" x14ac:dyDescent="0.3">
      <c r="B907" s="138">
        <v>46021</v>
      </c>
      <c r="C907" s="74">
        <v>45992</v>
      </c>
      <c r="D907" s="70" t="s">
        <v>2928</v>
      </c>
      <c r="E907" s="75" t="s">
        <v>1790</v>
      </c>
      <c r="F907" s="63" t="s">
        <v>6</v>
      </c>
      <c r="G907" s="56" t="s">
        <v>2899</v>
      </c>
      <c r="H907" s="56" t="s">
        <v>2900</v>
      </c>
    </row>
    <row r="908" spans="2:8" x14ac:dyDescent="0.3">
      <c r="B908" s="138">
        <v>46021</v>
      </c>
      <c r="C908" s="74">
        <v>45992</v>
      </c>
      <c r="D908" s="70" t="s">
        <v>2928</v>
      </c>
      <c r="E908" s="75" t="s">
        <v>1790</v>
      </c>
      <c r="F908" s="63" t="s">
        <v>6</v>
      </c>
      <c r="G908" s="56" t="s">
        <v>2814</v>
      </c>
      <c r="H908" s="56" t="s">
        <v>2815</v>
      </c>
    </row>
    <row r="909" spans="2:8" x14ac:dyDescent="0.3">
      <c r="B909" s="138">
        <v>46021</v>
      </c>
      <c r="C909" s="74">
        <v>45992</v>
      </c>
      <c r="D909" s="70" t="s">
        <v>2928</v>
      </c>
      <c r="E909" s="75" t="s">
        <v>1790</v>
      </c>
      <c r="F909" s="63" t="s">
        <v>6</v>
      </c>
      <c r="G909" s="56" t="s">
        <v>2816</v>
      </c>
      <c r="H909" s="56" t="s">
        <v>2817</v>
      </c>
    </row>
    <row r="910" spans="2:8" x14ac:dyDescent="0.3">
      <c r="B910" s="138">
        <v>46021</v>
      </c>
      <c r="C910" s="74">
        <v>45992</v>
      </c>
      <c r="D910" s="70" t="s">
        <v>2928</v>
      </c>
      <c r="E910" s="75" t="s">
        <v>1790</v>
      </c>
      <c r="F910" s="63" t="s">
        <v>6</v>
      </c>
      <c r="G910" s="56" t="s">
        <v>2818</v>
      </c>
      <c r="H910" s="56" t="s">
        <v>2819</v>
      </c>
    </row>
    <row r="911" spans="2:8" x14ac:dyDescent="0.3">
      <c r="B911" s="138">
        <v>46022</v>
      </c>
      <c r="C911" s="74">
        <v>45992</v>
      </c>
      <c r="D911" s="70" t="s">
        <v>2928</v>
      </c>
      <c r="E911" s="75" t="s">
        <v>1790</v>
      </c>
      <c r="F911" s="63" t="s">
        <v>6</v>
      </c>
      <c r="G911" s="56" t="s">
        <v>2870</v>
      </c>
      <c r="H911" s="56" t="s">
        <v>2870</v>
      </c>
    </row>
    <row r="912" spans="2:8" x14ac:dyDescent="0.3">
      <c r="B912" s="138">
        <v>46022</v>
      </c>
      <c r="C912" s="74">
        <v>45992</v>
      </c>
      <c r="D912" s="70" t="s">
        <v>2928</v>
      </c>
      <c r="E912" s="75" t="s">
        <v>1790</v>
      </c>
      <c r="F912" s="63" t="s">
        <v>6</v>
      </c>
      <c r="G912" s="56" t="s">
        <v>2899</v>
      </c>
      <c r="H912" s="56" t="s">
        <v>2900</v>
      </c>
    </row>
    <row r="913" spans="2:8" x14ac:dyDescent="0.3">
      <c r="B913" s="138">
        <v>46022</v>
      </c>
      <c r="C913" s="74">
        <v>45992</v>
      </c>
      <c r="D913" s="70" t="s">
        <v>2928</v>
      </c>
      <c r="E913" s="75" t="s">
        <v>1790</v>
      </c>
      <c r="F913" s="63" t="s">
        <v>6</v>
      </c>
      <c r="G913" s="56" t="s">
        <v>2814</v>
      </c>
      <c r="H913" s="56" t="s">
        <v>2815</v>
      </c>
    </row>
    <row r="914" spans="2:8" x14ac:dyDescent="0.3">
      <c r="B914" s="138">
        <v>46022</v>
      </c>
      <c r="C914" s="74">
        <v>45992</v>
      </c>
      <c r="D914" s="70" t="s">
        <v>2928</v>
      </c>
      <c r="E914" s="75" t="s">
        <v>1790</v>
      </c>
      <c r="F914" s="63" t="s">
        <v>6</v>
      </c>
      <c r="G914" s="56" t="s">
        <v>2816</v>
      </c>
      <c r="H914" s="56" t="s">
        <v>2817</v>
      </c>
    </row>
    <row r="915" spans="2:8" x14ac:dyDescent="0.3">
      <c r="B915" s="138">
        <v>46022</v>
      </c>
      <c r="C915" s="74">
        <v>45992</v>
      </c>
      <c r="D915" s="70" t="s">
        <v>2928</v>
      </c>
      <c r="E915" s="75" t="s">
        <v>1790</v>
      </c>
      <c r="F915" s="63" t="s">
        <v>6</v>
      </c>
      <c r="G915" s="56" t="s">
        <v>2818</v>
      </c>
      <c r="H915" s="56" t="s">
        <v>2819</v>
      </c>
    </row>
    <row r="916" spans="2:8" x14ac:dyDescent="0.3">
      <c r="B916" s="138">
        <v>46024</v>
      </c>
      <c r="C916" s="74">
        <v>46023</v>
      </c>
      <c r="D916" s="70" t="s">
        <v>2928</v>
      </c>
      <c r="E916" s="75" t="s">
        <v>1790</v>
      </c>
      <c r="F916" s="63" t="s">
        <v>6</v>
      </c>
      <c r="G916" s="56" t="s">
        <v>2870</v>
      </c>
      <c r="H916" s="56" t="s">
        <v>2870</v>
      </c>
    </row>
    <row r="917" spans="2:8" x14ac:dyDescent="0.3">
      <c r="B917" s="138">
        <v>46024</v>
      </c>
      <c r="C917" s="74">
        <v>46023</v>
      </c>
      <c r="D917" s="70" t="s">
        <v>2928</v>
      </c>
      <c r="E917" s="75" t="s">
        <v>1790</v>
      </c>
      <c r="F917" s="63" t="s">
        <v>6</v>
      </c>
      <c r="G917" s="56" t="s">
        <v>2899</v>
      </c>
      <c r="H917" s="56" t="s">
        <v>2900</v>
      </c>
    </row>
    <row r="918" spans="2:8" x14ac:dyDescent="0.3">
      <c r="B918" s="138">
        <v>46024</v>
      </c>
      <c r="C918" s="74">
        <v>46023</v>
      </c>
      <c r="D918" s="70" t="s">
        <v>2928</v>
      </c>
      <c r="E918" s="75" t="s">
        <v>1790</v>
      </c>
      <c r="F918" s="63" t="s">
        <v>6</v>
      </c>
      <c r="G918" s="56" t="s">
        <v>2814</v>
      </c>
      <c r="H918" s="56" t="s">
        <v>2815</v>
      </c>
    </row>
    <row r="919" spans="2:8" x14ac:dyDescent="0.3">
      <c r="B919" s="138">
        <v>46024</v>
      </c>
      <c r="C919" s="74">
        <v>46023</v>
      </c>
      <c r="D919" s="70" t="s">
        <v>2928</v>
      </c>
      <c r="E919" s="75" t="s">
        <v>1790</v>
      </c>
      <c r="F919" s="63" t="s">
        <v>6</v>
      </c>
      <c r="G919" s="56" t="s">
        <v>2816</v>
      </c>
      <c r="H919" s="56" t="s">
        <v>2817</v>
      </c>
    </row>
    <row r="920" spans="2:8" x14ac:dyDescent="0.3">
      <c r="B920" s="138">
        <v>46024</v>
      </c>
      <c r="C920" s="74">
        <v>46023</v>
      </c>
      <c r="D920" s="70" t="s">
        <v>2928</v>
      </c>
      <c r="E920" s="75" t="s">
        <v>1790</v>
      </c>
      <c r="F920" s="63" t="s">
        <v>6</v>
      </c>
      <c r="G920" s="56" t="s">
        <v>2818</v>
      </c>
      <c r="H920" s="56" t="s">
        <v>2819</v>
      </c>
    </row>
    <row r="921" spans="2:8" x14ac:dyDescent="0.3">
      <c r="B921" s="138">
        <v>46027</v>
      </c>
      <c r="C921" s="74">
        <v>46023</v>
      </c>
      <c r="D921" s="70" t="s">
        <v>2928</v>
      </c>
      <c r="E921" s="75" t="s">
        <v>1790</v>
      </c>
      <c r="F921" s="63" t="s">
        <v>6</v>
      </c>
      <c r="G921" s="56" t="s">
        <v>2870</v>
      </c>
      <c r="H921" s="56" t="s">
        <v>2870</v>
      </c>
    </row>
    <row r="922" spans="2:8" x14ac:dyDescent="0.3">
      <c r="B922" s="138">
        <v>46027</v>
      </c>
      <c r="C922" s="74">
        <v>46023</v>
      </c>
      <c r="D922" s="70" t="s">
        <v>2928</v>
      </c>
      <c r="E922" s="75" t="s">
        <v>1790</v>
      </c>
      <c r="F922" s="63" t="s">
        <v>6</v>
      </c>
      <c r="G922" s="56" t="s">
        <v>2899</v>
      </c>
      <c r="H922" s="56" t="s">
        <v>2900</v>
      </c>
    </row>
    <row r="923" spans="2:8" x14ac:dyDescent="0.3">
      <c r="B923" s="138">
        <v>46027</v>
      </c>
      <c r="C923" s="74">
        <v>46023</v>
      </c>
      <c r="D923" s="70" t="s">
        <v>2928</v>
      </c>
      <c r="E923" s="75" t="s">
        <v>1790</v>
      </c>
      <c r="F923" s="63" t="s">
        <v>6</v>
      </c>
      <c r="G923" s="56" t="s">
        <v>2814</v>
      </c>
      <c r="H923" s="56" t="s">
        <v>2815</v>
      </c>
    </row>
    <row r="924" spans="2:8" x14ac:dyDescent="0.3">
      <c r="B924" s="138">
        <v>46027</v>
      </c>
      <c r="C924" s="74">
        <v>46023</v>
      </c>
      <c r="D924" s="70" t="s">
        <v>2928</v>
      </c>
      <c r="E924" s="75" t="s">
        <v>1790</v>
      </c>
      <c r="F924" s="63" t="s">
        <v>6</v>
      </c>
      <c r="G924" s="56" t="s">
        <v>2816</v>
      </c>
      <c r="H924" s="56" t="s">
        <v>2817</v>
      </c>
    </row>
    <row r="925" spans="2:8" x14ac:dyDescent="0.3">
      <c r="B925" s="138">
        <v>46027</v>
      </c>
      <c r="C925" s="74">
        <v>46023</v>
      </c>
      <c r="D925" s="70" t="s">
        <v>2928</v>
      </c>
      <c r="E925" s="75" t="s">
        <v>1790</v>
      </c>
      <c r="F925" s="63" t="s">
        <v>6</v>
      </c>
      <c r="G925" s="56" t="s">
        <v>2818</v>
      </c>
      <c r="H925" s="56" t="s">
        <v>2819</v>
      </c>
    </row>
    <row r="926" spans="2:8" x14ac:dyDescent="0.3">
      <c r="B926" s="138">
        <v>46028</v>
      </c>
      <c r="C926" s="74">
        <v>46023</v>
      </c>
      <c r="D926" s="70" t="s">
        <v>2928</v>
      </c>
      <c r="E926" s="75" t="s">
        <v>1790</v>
      </c>
      <c r="F926" s="137" t="s">
        <v>325</v>
      </c>
      <c r="G926" s="56" t="s">
        <v>3037</v>
      </c>
      <c r="H926" s="56" t="s">
        <v>3037</v>
      </c>
    </row>
    <row r="927" spans="2:8" x14ac:dyDescent="0.3">
      <c r="B927" s="138">
        <v>46028</v>
      </c>
      <c r="C927" s="74">
        <v>46023</v>
      </c>
      <c r="D927" s="70" t="s">
        <v>2928</v>
      </c>
      <c r="E927" s="75" t="s">
        <v>1790</v>
      </c>
      <c r="F927" s="137" t="s">
        <v>325</v>
      </c>
      <c r="G927" s="56" t="s">
        <v>3038</v>
      </c>
      <c r="H927" s="56" t="s">
        <v>3038</v>
      </c>
    </row>
    <row r="928" spans="2:8" x14ac:dyDescent="0.3">
      <c r="B928" s="138">
        <v>46028</v>
      </c>
      <c r="C928" s="74">
        <v>46023</v>
      </c>
      <c r="D928" s="70" t="s">
        <v>2928</v>
      </c>
      <c r="E928" s="75" t="s">
        <v>1790</v>
      </c>
      <c r="F928" s="63" t="s">
        <v>6</v>
      </c>
      <c r="G928" s="56" t="s">
        <v>2870</v>
      </c>
      <c r="H928" s="56" t="s">
        <v>2870</v>
      </c>
    </row>
    <row r="929" spans="2:8" x14ac:dyDescent="0.3">
      <c r="B929" s="138">
        <v>46028</v>
      </c>
      <c r="C929" s="74">
        <v>46023</v>
      </c>
      <c r="D929" s="70" t="s">
        <v>2928</v>
      </c>
      <c r="E929" s="75" t="s">
        <v>1790</v>
      </c>
      <c r="F929" s="63" t="s">
        <v>6</v>
      </c>
      <c r="G929" s="56" t="s">
        <v>2899</v>
      </c>
      <c r="H929" s="56" t="s">
        <v>2900</v>
      </c>
    </row>
    <row r="930" spans="2:8" x14ac:dyDescent="0.3">
      <c r="B930" s="138">
        <v>46028</v>
      </c>
      <c r="C930" s="74">
        <v>46023</v>
      </c>
      <c r="D930" s="70" t="s">
        <v>2928</v>
      </c>
      <c r="E930" s="75" t="s">
        <v>1790</v>
      </c>
      <c r="F930" s="63" t="s">
        <v>6</v>
      </c>
      <c r="G930" s="56" t="s">
        <v>2814</v>
      </c>
      <c r="H930" s="56" t="s">
        <v>2815</v>
      </c>
    </row>
    <row r="931" spans="2:8" x14ac:dyDescent="0.3">
      <c r="B931" s="138">
        <v>46028</v>
      </c>
      <c r="C931" s="74">
        <v>46023</v>
      </c>
      <c r="D931" s="70" t="s">
        <v>2928</v>
      </c>
      <c r="E931" s="75" t="s">
        <v>1790</v>
      </c>
      <c r="F931" s="63" t="s">
        <v>6</v>
      </c>
      <c r="G931" s="56" t="s">
        <v>2816</v>
      </c>
      <c r="H931" s="56" t="s">
        <v>2817</v>
      </c>
    </row>
    <row r="932" spans="2:8" x14ac:dyDescent="0.3">
      <c r="B932" s="138">
        <v>46028</v>
      </c>
      <c r="C932" s="74">
        <v>46023</v>
      </c>
      <c r="D932" s="70" t="s">
        <v>2928</v>
      </c>
      <c r="E932" s="75" t="s">
        <v>1790</v>
      </c>
      <c r="F932" s="63" t="s">
        <v>6</v>
      </c>
      <c r="G932" s="56" t="s">
        <v>2818</v>
      </c>
      <c r="H932" s="56" t="s">
        <v>2819</v>
      </c>
    </row>
    <row r="933" spans="2:8" x14ac:dyDescent="0.3">
      <c r="B933" s="138">
        <v>46029</v>
      </c>
      <c r="C933" s="74">
        <v>46023</v>
      </c>
      <c r="D933" s="70" t="s">
        <v>2928</v>
      </c>
      <c r="E933" s="75" t="s">
        <v>1790</v>
      </c>
      <c r="F933" s="63" t="s">
        <v>6</v>
      </c>
      <c r="G933" s="56" t="s">
        <v>2870</v>
      </c>
      <c r="H933" s="56" t="s">
        <v>2870</v>
      </c>
    </row>
    <row r="934" spans="2:8" x14ac:dyDescent="0.3">
      <c r="B934" s="138">
        <v>46029</v>
      </c>
      <c r="C934" s="74">
        <v>46023</v>
      </c>
      <c r="D934" s="70" t="s">
        <v>2928</v>
      </c>
      <c r="E934" s="75" t="s">
        <v>1790</v>
      </c>
      <c r="F934" s="63" t="s">
        <v>6</v>
      </c>
      <c r="G934" s="56" t="s">
        <v>2899</v>
      </c>
      <c r="H934" s="56" t="s">
        <v>2900</v>
      </c>
    </row>
    <row r="935" spans="2:8" x14ac:dyDescent="0.3">
      <c r="B935" s="138">
        <v>46029</v>
      </c>
      <c r="C935" s="74">
        <v>46023</v>
      </c>
      <c r="D935" s="70" t="s">
        <v>2928</v>
      </c>
      <c r="E935" s="75" t="s">
        <v>1790</v>
      </c>
      <c r="F935" s="63" t="s">
        <v>6</v>
      </c>
      <c r="G935" s="56" t="s">
        <v>2814</v>
      </c>
      <c r="H935" s="56" t="s">
        <v>2815</v>
      </c>
    </row>
    <row r="936" spans="2:8" x14ac:dyDescent="0.3">
      <c r="B936" s="138">
        <v>46029</v>
      </c>
      <c r="C936" s="74">
        <v>46023</v>
      </c>
      <c r="D936" s="70" t="s">
        <v>2928</v>
      </c>
      <c r="E936" s="75" t="s">
        <v>1790</v>
      </c>
      <c r="F936" s="63" t="s">
        <v>6</v>
      </c>
      <c r="G936" s="56" t="s">
        <v>2816</v>
      </c>
      <c r="H936" s="56" t="s">
        <v>2817</v>
      </c>
    </row>
    <row r="937" spans="2:8" x14ac:dyDescent="0.3">
      <c r="B937" s="138">
        <v>46029</v>
      </c>
      <c r="C937" s="74">
        <v>46023</v>
      </c>
      <c r="D937" s="70" t="s">
        <v>2928</v>
      </c>
      <c r="E937" s="75" t="s">
        <v>1790</v>
      </c>
      <c r="F937" s="63" t="s">
        <v>6</v>
      </c>
      <c r="G937" s="56" t="s">
        <v>2818</v>
      </c>
      <c r="H937" s="56" t="s">
        <v>2819</v>
      </c>
    </row>
    <row r="938" spans="2:8" x14ac:dyDescent="0.3">
      <c r="B938" s="138">
        <v>46030</v>
      </c>
      <c r="C938" s="74">
        <v>46023</v>
      </c>
      <c r="D938" s="70" t="s">
        <v>2928</v>
      </c>
      <c r="E938" s="75" t="s">
        <v>1790</v>
      </c>
      <c r="F938" s="63" t="s">
        <v>6</v>
      </c>
      <c r="G938" s="56" t="s">
        <v>2870</v>
      </c>
      <c r="H938" s="56" t="s">
        <v>2870</v>
      </c>
    </row>
    <row r="939" spans="2:8" x14ac:dyDescent="0.3">
      <c r="B939" s="138">
        <v>46030</v>
      </c>
      <c r="C939" s="74">
        <v>46023</v>
      </c>
      <c r="D939" s="70" t="s">
        <v>2928</v>
      </c>
      <c r="E939" s="75" t="s">
        <v>1790</v>
      </c>
      <c r="F939" s="63" t="s">
        <v>6</v>
      </c>
      <c r="G939" s="56" t="s">
        <v>2899</v>
      </c>
      <c r="H939" s="56" t="s">
        <v>2900</v>
      </c>
    </row>
    <row r="940" spans="2:8" x14ac:dyDescent="0.3">
      <c r="B940" s="138">
        <v>46030</v>
      </c>
      <c r="C940" s="74">
        <v>46023</v>
      </c>
      <c r="D940" s="70" t="s">
        <v>2928</v>
      </c>
      <c r="E940" s="75" t="s">
        <v>1790</v>
      </c>
      <c r="F940" s="63" t="s">
        <v>6</v>
      </c>
      <c r="G940" s="56" t="s">
        <v>2814</v>
      </c>
      <c r="H940" s="56" t="s">
        <v>2815</v>
      </c>
    </row>
    <row r="941" spans="2:8" x14ac:dyDescent="0.3">
      <c r="B941" s="138">
        <v>46030</v>
      </c>
      <c r="C941" s="74">
        <v>46023</v>
      </c>
      <c r="D941" s="70" t="s">
        <v>2928</v>
      </c>
      <c r="E941" s="75" t="s">
        <v>1790</v>
      </c>
      <c r="F941" s="63" t="s">
        <v>6</v>
      </c>
      <c r="G941" s="56" t="s">
        <v>2816</v>
      </c>
      <c r="H941" s="56" t="s">
        <v>2817</v>
      </c>
    </row>
    <row r="942" spans="2:8" x14ac:dyDescent="0.3">
      <c r="B942" s="138">
        <v>46030</v>
      </c>
      <c r="C942" s="74">
        <v>46023</v>
      </c>
      <c r="D942" s="70" t="s">
        <v>2928</v>
      </c>
      <c r="E942" s="75" t="s">
        <v>1790</v>
      </c>
      <c r="F942" s="63" t="s">
        <v>6</v>
      </c>
      <c r="G942" s="56" t="s">
        <v>2818</v>
      </c>
      <c r="H942" s="56" t="s">
        <v>2819</v>
      </c>
    </row>
    <row r="943" spans="2:8" x14ac:dyDescent="0.3">
      <c r="B943" s="138">
        <v>46031</v>
      </c>
      <c r="C943" s="74">
        <v>46023</v>
      </c>
      <c r="D943" s="70" t="s">
        <v>2928</v>
      </c>
      <c r="E943" s="75" t="s">
        <v>1790</v>
      </c>
      <c r="F943" s="63" t="s">
        <v>6</v>
      </c>
      <c r="G943" s="56" t="s">
        <v>2870</v>
      </c>
      <c r="H943" s="56" t="s">
        <v>2870</v>
      </c>
    </row>
    <row r="944" spans="2:8" x14ac:dyDescent="0.3">
      <c r="B944" s="138">
        <v>46031</v>
      </c>
      <c r="C944" s="74">
        <v>46023</v>
      </c>
      <c r="D944" s="70" t="s">
        <v>2928</v>
      </c>
      <c r="E944" s="75" t="s">
        <v>1790</v>
      </c>
      <c r="F944" s="63" t="s">
        <v>6</v>
      </c>
      <c r="G944" s="56" t="s">
        <v>2899</v>
      </c>
      <c r="H944" s="56" t="s">
        <v>2900</v>
      </c>
    </row>
    <row r="945" spans="2:8" x14ac:dyDescent="0.3">
      <c r="B945" s="138">
        <v>46031</v>
      </c>
      <c r="C945" s="74">
        <v>46023</v>
      </c>
      <c r="D945" s="70" t="s">
        <v>2928</v>
      </c>
      <c r="E945" s="75" t="s">
        <v>1790</v>
      </c>
      <c r="F945" s="63" t="s">
        <v>6</v>
      </c>
      <c r="G945" s="56" t="s">
        <v>2814</v>
      </c>
      <c r="H945" s="56" t="s">
        <v>2815</v>
      </c>
    </row>
    <row r="946" spans="2:8" x14ac:dyDescent="0.3">
      <c r="B946" s="138">
        <v>46031</v>
      </c>
      <c r="C946" s="74">
        <v>46023</v>
      </c>
      <c r="D946" s="70" t="s">
        <v>2928</v>
      </c>
      <c r="E946" s="75" t="s">
        <v>1790</v>
      </c>
      <c r="F946" s="63" t="s">
        <v>6</v>
      </c>
      <c r="G946" s="56" t="s">
        <v>2816</v>
      </c>
      <c r="H946" s="56" t="s">
        <v>2817</v>
      </c>
    </row>
    <row r="947" spans="2:8" x14ac:dyDescent="0.3">
      <c r="B947" s="138">
        <v>46031</v>
      </c>
      <c r="C947" s="74">
        <v>46023</v>
      </c>
      <c r="D947" s="70" t="s">
        <v>2928</v>
      </c>
      <c r="E947" s="75" t="s">
        <v>1790</v>
      </c>
      <c r="F947" s="63" t="s">
        <v>6</v>
      </c>
      <c r="G947" s="56" t="s">
        <v>2818</v>
      </c>
      <c r="H947" s="56" t="s">
        <v>2819</v>
      </c>
    </row>
    <row r="948" spans="2:8" x14ac:dyDescent="0.3">
      <c r="B948" s="138">
        <v>46034</v>
      </c>
      <c r="C948" s="74">
        <v>46023</v>
      </c>
      <c r="D948" s="70" t="s">
        <v>2928</v>
      </c>
      <c r="E948" s="75" t="s">
        <v>1790</v>
      </c>
      <c r="F948" s="63" t="s">
        <v>6</v>
      </c>
      <c r="G948" s="56" t="s">
        <v>2870</v>
      </c>
      <c r="H948" s="56" t="s">
        <v>2870</v>
      </c>
    </row>
    <row r="949" spans="2:8" x14ac:dyDescent="0.3">
      <c r="B949" s="138">
        <v>46034</v>
      </c>
      <c r="C949" s="74">
        <v>46023</v>
      </c>
      <c r="D949" s="70" t="s">
        <v>2928</v>
      </c>
      <c r="E949" s="75" t="s">
        <v>1790</v>
      </c>
      <c r="F949" s="63" t="s">
        <v>6</v>
      </c>
      <c r="G949" s="56" t="s">
        <v>2899</v>
      </c>
      <c r="H949" s="56" t="s">
        <v>2900</v>
      </c>
    </row>
    <row r="950" spans="2:8" x14ac:dyDescent="0.3">
      <c r="B950" s="138">
        <v>46034</v>
      </c>
      <c r="C950" s="74">
        <v>46023</v>
      </c>
      <c r="D950" s="70" t="s">
        <v>2928</v>
      </c>
      <c r="E950" s="75" t="s">
        <v>1790</v>
      </c>
      <c r="F950" s="63" t="s">
        <v>6</v>
      </c>
      <c r="G950" s="56" t="s">
        <v>2814</v>
      </c>
      <c r="H950" s="56" t="s">
        <v>2815</v>
      </c>
    </row>
    <row r="951" spans="2:8" x14ac:dyDescent="0.3">
      <c r="B951" s="138">
        <v>46034</v>
      </c>
      <c r="C951" s="74">
        <v>46023</v>
      </c>
      <c r="D951" s="70" t="s">
        <v>2928</v>
      </c>
      <c r="E951" s="75" t="s">
        <v>1790</v>
      </c>
      <c r="F951" s="63" t="s">
        <v>6</v>
      </c>
      <c r="G951" s="56" t="s">
        <v>2816</v>
      </c>
      <c r="H951" s="56" t="s">
        <v>2817</v>
      </c>
    </row>
    <row r="952" spans="2:8" x14ac:dyDescent="0.3">
      <c r="B952" s="138">
        <v>46034</v>
      </c>
      <c r="C952" s="74">
        <v>46023</v>
      </c>
      <c r="D952" s="70" t="s">
        <v>2928</v>
      </c>
      <c r="E952" s="75" t="s">
        <v>1790</v>
      </c>
      <c r="F952" s="63" t="s">
        <v>6</v>
      </c>
      <c r="G952" s="56" t="s">
        <v>2818</v>
      </c>
      <c r="H952" s="56" t="s">
        <v>2819</v>
      </c>
    </row>
    <row r="953" spans="2:8" x14ac:dyDescent="0.3">
      <c r="B953" s="138">
        <v>46035</v>
      </c>
      <c r="C953" s="74">
        <v>46023</v>
      </c>
      <c r="D953" s="70" t="s">
        <v>2928</v>
      </c>
      <c r="E953" s="75" t="s">
        <v>1790</v>
      </c>
      <c r="F953" s="63" t="s">
        <v>6</v>
      </c>
      <c r="G953" s="56" t="s">
        <v>2870</v>
      </c>
      <c r="H953" s="56" t="s">
        <v>2870</v>
      </c>
    </row>
    <row r="954" spans="2:8" x14ac:dyDescent="0.3">
      <c r="B954" s="138">
        <v>46035</v>
      </c>
      <c r="C954" s="74">
        <v>46023</v>
      </c>
      <c r="D954" s="70" t="s">
        <v>2928</v>
      </c>
      <c r="E954" s="75" t="s">
        <v>1790</v>
      </c>
      <c r="F954" s="63" t="s">
        <v>6</v>
      </c>
      <c r="G954" s="56" t="s">
        <v>2899</v>
      </c>
      <c r="H954" s="56" t="s">
        <v>2900</v>
      </c>
    </row>
    <row r="955" spans="2:8" x14ac:dyDescent="0.3">
      <c r="B955" s="138">
        <v>46035</v>
      </c>
      <c r="C955" s="74">
        <v>46023</v>
      </c>
      <c r="D955" s="70" t="s">
        <v>2928</v>
      </c>
      <c r="E955" s="75" t="s">
        <v>1790</v>
      </c>
      <c r="F955" s="63" t="s">
        <v>6</v>
      </c>
      <c r="G955" s="56" t="s">
        <v>2814</v>
      </c>
      <c r="H955" s="56" t="s">
        <v>2815</v>
      </c>
    </row>
    <row r="956" spans="2:8" x14ac:dyDescent="0.3">
      <c r="B956" s="138">
        <v>46035</v>
      </c>
      <c r="C956" s="74">
        <v>46023</v>
      </c>
      <c r="D956" s="70" t="s">
        <v>2928</v>
      </c>
      <c r="E956" s="75" t="s">
        <v>1790</v>
      </c>
      <c r="F956" s="63" t="s">
        <v>6</v>
      </c>
      <c r="G956" s="56" t="s">
        <v>2816</v>
      </c>
      <c r="H956" s="56" t="s">
        <v>2817</v>
      </c>
    </row>
    <row r="957" spans="2:8" x14ac:dyDescent="0.3">
      <c r="B957" s="138">
        <v>46035</v>
      </c>
      <c r="C957" s="74">
        <v>46023</v>
      </c>
      <c r="D957" s="70" t="s">
        <v>2928</v>
      </c>
      <c r="E957" s="75" t="s">
        <v>1790</v>
      </c>
      <c r="F957" s="63" t="s">
        <v>6</v>
      </c>
      <c r="G957" s="56" t="s">
        <v>2818</v>
      </c>
      <c r="H957" s="56" t="s">
        <v>2819</v>
      </c>
    </row>
    <row r="958" spans="2:8" x14ac:dyDescent="0.3">
      <c r="B958" s="138">
        <v>46036</v>
      </c>
      <c r="C958" s="74">
        <v>46023</v>
      </c>
      <c r="D958" s="70" t="s">
        <v>2928</v>
      </c>
      <c r="E958" s="75" t="s">
        <v>1790</v>
      </c>
      <c r="F958" s="63" t="s">
        <v>6</v>
      </c>
      <c r="G958" s="56" t="s">
        <v>2870</v>
      </c>
      <c r="H958" s="56" t="s">
        <v>2870</v>
      </c>
    </row>
    <row r="959" spans="2:8" x14ac:dyDescent="0.3">
      <c r="B959" s="138">
        <v>46036</v>
      </c>
      <c r="C959" s="74">
        <v>46023</v>
      </c>
      <c r="D959" s="70" t="s">
        <v>2928</v>
      </c>
      <c r="E959" s="75" t="s">
        <v>1790</v>
      </c>
      <c r="F959" s="63" t="s">
        <v>6</v>
      </c>
      <c r="G959" s="56" t="s">
        <v>2899</v>
      </c>
      <c r="H959" s="56" t="s">
        <v>2900</v>
      </c>
    </row>
    <row r="960" spans="2:8" x14ac:dyDescent="0.3">
      <c r="B960" s="138">
        <v>46036</v>
      </c>
      <c r="C960" s="74">
        <v>46023</v>
      </c>
      <c r="D960" s="70" t="s">
        <v>2928</v>
      </c>
      <c r="E960" s="75" t="s">
        <v>1790</v>
      </c>
      <c r="F960" s="63" t="s">
        <v>6</v>
      </c>
      <c r="G960" s="56" t="s">
        <v>2814</v>
      </c>
      <c r="H960" s="56" t="s">
        <v>2815</v>
      </c>
    </row>
    <row r="961" spans="2:8" x14ac:dyDescent="0.3">
      <c r="B961" s="138">
        <v>46036</v>
      </c>
      <c r="C961" s="74">
        <v>46023</v>
      </c>
      <c r="D961" s="70" t="s">
        <v>2928</v>
      </c>
      <c r="E961" s="75" t="s">
        <v>1790</v>
      </c>
      <c r="F961" s="63" t="s">
        <v>6</v>
      </c>
      <c r="G961" s="56" t="s">
        <v>2816</v>
      </c>
      <c r="H961" s="56" t="s">
        <v>2817</v>
      </c>
    </row>
    <row r="962" spans="2:8" x14ac:dyDescent="0.3">
      <c r="B962" s="138">
        <v>46036</v>
      </c>
      <c r="C962" s="74">
        <v>46023</v>
      </c>
      <c r="D962" s="70" t="s">
        <v>2928</v>
      </c>
      <c r="E962" s="75" t="s">
        <v>1790</v>
      </c>
      <c r="F962" s="63" t="s">
        <v>6</v>
      </c>
      <c r="G962" s="56" t="s">
        <v>2818</v>
      </c>
      <c r="H962" s="56" t="s">
        <v>2819</v>
      </c>
    </row>
    <row r="963" spans="2:8" x14ac:dyDescent="0.3">
      <c r="B963" s="138">
        <v>46037</v>
      </c>
      <c r="C963" s="74">
        <v>46023</v>
      </c>
      <c r="D963" s="70" t="s">
        <v>2928</v>
      </c>
      <c r="E963" s="75" t="s">
        <v>1790</v>
      </c>
      <c r="F963" s="63" t="s">
        <v>6</v>
      </c>
      <c r="G963" s="56" t="s">
        <v>2870</v>
      </c>
      <c r="H963" s="56" t="s">
        <v>2870</v>
      </c>
    </row>
    <row r="964" spans="2:8" x14ac:dyDescent="0.3">
      <c r="B964" s="138">
        <v>46037</v>
      </c>
      <c r="C964" s="74">
        <v>46023</v>
      </c>
      <c r="D964" s="70" t="s">
        <v>2928</v>
      </c>
      <c r="E964" s="75" t="s">
        <v>1790</v>
      </c>
      <c r="F964" s="63" t="s">
        <v>6</v>
      </c>
      <c r="G964" s="56" t="s">
        <v>2899</v>
      </c>
      <c r="H964" s="56" t="s">
        <v>2900</v>
      </c>
    </row>
    <row r="965" spans="2:8" x14ac:dyDescent="0.3">
      <c r="B965" s="138">
        <v>46037</v>
      </c>
      <c r="C965" s="74">
        <v>46023</v>
      </c>
      <c r="D965" s="70" t="s">
        <v>2928</v>
      </c>
      <c r="E965" s="75" t="s">
        <v>1790</v>
      </c>
      <c r="F965" s="63" t="s">
        <v>6</v>
      </c>
      <c r="G965" s="56" t="s">
        <v>2814</v>
      </c>
      <c r="H965" s="56" t="s">
        <v>2815</v>
      </c>
    </row>
    <row r="966" spans="2:8" x14ac:dyDescent="0.3">
      <c r="B966" s="138">
        <v>46037</v>
      </c>
      <c r="C966" s="74">
        <v>46023</v>
      </c>
      <c r="D966" s="70" t="s">
        <v>2928</v>
      </c>
      <c r="E966" s="75" t="s">
        <v>1790</v>
      </c>
      <c r="F966" s="63" t="s">
        <v>6</v>
      </c>
      <c r="G966" s="56" t="s">
        <v>2816</v>
      </c>
      <c r="H966" s="56" t="s">
        <v>2817</v>
      </c>
    </row>
    <row r="967" spans="2:8" x14ac:dyDescent="0.3">
      <c r="B967" s="138">
        <v>46037</v>
      </c>
      <c r="C967" s="74">
        <v>46023</v>
      </c>
      <c r="D967" s="70" t="s">
        <v>2928</v>
      </c>
      <c r="E967" s="75" t="s">
        <v>1790</v>
      </c>
      <c r="F967" s="63" t="s">
        <v>6</v>
      </c>
      <c r="G967" s="56" t="s">
        <v>2818</v>
      </c>
      <c r="H967" s="56" t="s">
        <v>2819</v>
      </c>
    </row>
    <row r="968" spans="2:8" x14ac:dyDescent="0.3">
      <c r="B968" s="138">
        <v>46038</v>
      </c>
      <c r="C968" s="74">
        <v>46023</v>
      </c>
      <c r="D968" s="70" t="s">
        <v>2928</v>
      </c>
      <c r="E968" s="75" t="s">
        <v>1790</v>
      </c>
      <c r="F968" s="63" t="s">
        <v>6</v>
      </c>
      <c r="G968" s="56" t="s">
        <v>2870</v>
      </c>
      <c r="H968" s="56" t="s">
        <v>2870</v>
      </c>
    </row>
    <row r="969" spans="2:8" x14ac:dyDescent="0.3">
      <c r="B969" s="138">
        <v>46038</v>
      </c>
      <c r="C969" s="74">
        <v>46023</v>
      </c>
      <c r="D969" s="70" t="s">
        <v>2928</v>
      </c>
      <c r="E969" s="75" t="s">
        <v>1790</v>
      </c>
      <c r="F969" s="63" t="s">
        <v>6</v>
      </c>
      <c r="G969" s="56" t="s">
        <v>2899</v>
      </c>
      <c r="H969" s="56" t="s">
        <v>2900</v>
      </c>
    </row>
    <row r="970" spans="2:8" x14ac:dyDescent="0.3">
      <c r="B970" s="138">
        <v>46038</v>
      </c>
      <c r="C970" s="74">
        <v>46023</v>
      </c>
      <c r="D970" s="70" t="s">
        <v>2928</v>
      </c>
      <c r="E970" s="75" t="s">
        <v>1790</v>
      </c>
      <c r="F970" s="63" t="s">
        <v>6</v>
      </c>
      <c r="G970" s="56" t="s">
        <v>2814</v>
      </c>
      <c r="H970" s="56" t="s">
        <v>2815</v>
      </c>
    </row>
    <row r="971" spans="2:8" x14ac:dyDescent="0.3">
      <c r="B971" s="138">
        <v>46038</v>
      </c>
      <c r="C971" s="74">
        <v>46023</v>
      </c>
      <c r="D971" s="70" t="s">
        <v>2928</v>
      </c>
      <c r="E971" s="75" t="s">
        <v>1790</v>
      </c>
      <c r="F971" s="63" t="s">
        <v>6</v>
      </c>
      <c r="G971" s="56" t="s">
        <v>2816</v>
      </c>
      <c r="H971" s="56" t="s">
        <v>2817</v>
      </c>
    </row>
    <row r="972" spans="2:8" x14ac:dyDescent="0.3">
      <c r="B972" s="138">
        <v>46038</v>
      </c>
      <c r="C972" s="74">
        <v>46023</v>
      </c>
      <c r="D972" s="70" t="s">
        <v>2928</v>
      </c>
      <c r="E972" s="75" t="s">
        <v>1790</v>
      </c>
      <c r="F972" s="63" t="s">
        <v>6</v>
      </c>
      <c r="G972" s="56" t="s">
        <v>2818</v>
      </c>
      <c r="H972" s="56" t="s">
        <v>2819</v>
      </c>
    </row>
    <row r="973" spans="2:8" x14ac:dyDescent="0.3">
      <c r="B973" s="138">
        <v>46041</v>
      </c>
      <c r="C973" s="74">
        <v>46023</v>
      </c>
      <c r="D973" s="70" t="s">
        <v>2928</v>
      </c>
      <c r="E973" s="75" t="s">
        <v>1790</v>
      </c>
      <c r="F973" s="63" t="s">
        <v>6</v>
      </c>
      <c r="G973" s="56" t="s">
        <v>2870</v>
      </c>
      <c r="H973" s="56" t="s">
        <v>2870</v>
      </c>
    </row>
    <row r="974" spans="2:8" x14ac:dyDescent="0.3">
      <c r="B974" s="138">
        <v>46041</v>
      </c>
      <c r="C974" s="74">
        <v>46023</v>
      </c>
      <c r="D974" s="70" t="s">
        <v>2928</v>
      </c>
      <c r="E974" s="75" t="s">
        <v>1790</v>
      </c>
      <c r="F974" s="63" t="s">
        <v>6</v>
      </c>
      <c r="G974" s="56" t="s">
        <v>2899</v>
      </c>
      <c r="H974" s="56" t="s">
        <v>2900</v>
      </c>
    </row>
    <row r="975" spans="2:8" x14ac:dyDescent="0.3">
      <c r="B975" s="138">
        <v>46041</v>
      </c>
      <c r="C975" s="74">
        <v>46023</v>
      </c>
      <c r="D975" s="70" t="s">
        <v>2928</v>
      </c>
      <c r="E975" s="75" t="s">
        <v>1790</v>
      </c>
      <c r="F975" s="63" t="s">
        <v>6</v>
      </c>
      <c r="G975" s="56" t="s">
        <v>2814</v>
      </c>
      <c r="H975" s="56" t="s">
        <v>2815</v>
      </c>
    </row>
    <row r="976" spans="2:8" x14ac:dyDescent="0.3">
      <c r="B976" s="138">
        <v>46041</v>
      </c>
      <c r="C976" s="74">
        <v>46023</v>
      </c>
      <c r="D976" s="70" t="s">
        <v>2928</v>
      </c>
      <c r="E976" s="75" t="s">
        <v>1790</v>
      </c>
      <c r="F976" s="63" t="s">
        <v>6</v>
      </c>
      <c r="G976" s="56" t="s">
        <v>2816</v>
      </c>
      <c r="H976" s="56" t="s">
        <v>2817</v>
      </c>
    </row>
    <row r="977" spans="2:8" x14ac:dyDescent="0.3">
      <c r="B977" s="138">
        <v>46041</v>
      </c>
      <c r="C977" s="74">
        <v>46023</v>
      </c>
      <c r="D977" s="70" t="s">
        <v>2928</v>
      </c>
      <c r="E977" s="75" t="s">
        <v>1790</v>
      </c>
      <c r="F977" s="63" t="s">
        <v>6</v>
      </c>
      <c r="G977" s="56" t="s">
        <v>2818</v>
      </c>
      <c r="H977" s="56" t="s">
        <v>2819</v>
      </c>
    </row>
    <row r="978" spans="2:8" x14ac:dyDescent="0.3">
      <c r="B978" s="138">
        <v>46042</v>
      </c>
      <c r="C978" s="74">
        <v>46023</v>
      </c>
      <c r="D978" s="70" t="s">
        <v>2928</v>
      </c>
      <c r="E978" s="75" t="s">
        <v>1790</v>
      </c>
      <c r="F978" s="63" t="s">
        <v>6</v>
      </c>
      <c r="G978" s="56" t="s">
        <v>2870</v>
      </c>
      <c r="H978" s="56" t="s">
        <v>2870</v>
      </c>
    </row>
    <row r="979" spans="2:8" x14ac:dyDescent="0.3">
      <c r="B979" s="138">
        <v>46042</v>
      </c>
      <c r="C979" s="74">
        <v>46023</v>
      </c>
      <c r="D979" s="70" t="s">
        <v>2928</v>
      </c>
      <c r="E979" s="75" t="s">
        <v>1790</v>
      </c>
      <c r="F979" s="63" t="s">
        <v>6</v>
      </c>
      <c r="G979" s="56" t="s">
        <v>2899</v>
      </c>
      <c r="H979" s="56" t="s">
        <v>2900</v>
      </c>
    </row>
    <row r="980" spans="2:8" x14ac:dyDescent="0.3">
      <c r="B980" s="138">
        <v>46042</v>
      </c>
      <c r="C980" s="74">
        <v>46023</v>
      </c>
      <c r="D980" s="70" t="s">
        <v>2928</v>
      </c>
      <c r="E980" s="75" t="s">
        <v>1790</v>
      </c>
      <c r="F980" s="63" t="s">
        <v>6</v>
      </c>
      <c r="G980" s="56" t="s">
        <v>2814</v>
      </c>
      <c r="H980" s="56" t="s">
        <v>2815</v>
      </c>
    </row>
    <row r="981" spans="2:8" x14ac:dyDescent="0.3">
      <c r="B981" s="138">
        <v>46042</v>
      </c>
      <c r="C981" s="74">
        <v>46023</v>
      </c>
      <c r="D981" s="70" t="s">
        <v>2928</v>
      </c>
      <c r="E981" s="75" t="s">
        <v>1790</v>
      </c>
      <c r="F981" s="63" t="s">
        <v>6</v>
      </c>
      <c r="G981" s="56" t="s">
        <v>2816</v>
      </c>
      <c r="H981" s="56" t="s">
        <v>2817</v>
      </c>
    </row>
    <row r="982" spans="2:8" x14ac:dyDescent="0.3">
      <c r="B982" s="138">
        <v>46042</v>
      </c>
      <c r="C982" s="74">
        <v>46023</v>
      </c>
      <c r="D982" s="70" t="s">
        <v>2928</v>
      </c>
      <c r="E982" s="75" t="s">
        <v>1790</v>
      </c>
      <c r="F982" s="63" t="s">
        <v>6</v>
      </c>
      <c r="G982" s="56" t="s">
        <v>2818</v>
      </c>
      <c r="H982" s="56" t="s">
        <v>2819</v>
      </c>
    </row>
    <row r="983" spans="2:8" x14ac:dyDescent="0.3">
      <c r="B983" s="138">
        <v>46043</v>
      </c>
      <c r="C983" s="74">
        <v>46023</v>
      </c>
      <c r="D983" s="70" t="s">
        <v>2928</v>
      </c>
      <c r="E983" s="75" t="s">
        <v>1790</v>
      </c>
      <c r="F983" s="63" t="s">
        <v>6</v>
      </c>
      <c r="G983" s="56" t="s">
        <v>2870</v>
      </c>
      <c r="H983" s="56" t="s">
        <v>2870</v>
      </c>
    </row>
    <row r="984" spans="2:8" x14ac:dyDescent="0.3">
      <c r="B984" s="138">
        <v>46043</v>
      </c>
      <c r="C984" s="74">
        <v>46023</v>
      </c>
      <c r="D984" s="70" t="s">
        <v>2928</v>
      </c>
      <c r="E984" s="75" t="s">
        <v>1790</v>
      </c>
      <c r="F984" s="63" t="s">
        <v>6</v>
      </c>
      <c r="G984" s="56" t="s">
        <v>2899</v>
      </c>
      <c r="H984" s="56" t="s">
        <v>2900</v>
      </c>
    </row>
    <row r="985" spans="2:8" x14ac:dyDescent="0.3">
      <c r="B985" s="138">
        <v>46043</v>
      </c>
      <c r="C985" s="74">
        <v>46023</v>
      </c>
      <c r="D985" s="70" t="s">
        <v>2928</v>
      </c>
      <c r="E985" s="75" t="s">
        <v>1790</v>
      </c>
      <c r="F985" s="63" t="s">
        <v>6</v>
      </c>
      <c r="G985" s="56" t="s">
        <v>2814</v>
      </c>
      <c r="H985" s="56" t="s">
        <v>2815</v>
      </c>
    </row>
    <row r="986" spans="2:8" x14ac:dyDescent="0.3">
      <c r="B986" s="138">
        <v>46043</v>
      </c>
      <c r="C986" s="74">
        <v>46023</v>
      </c>
      <c r="D986" s="70" t="s">
        <v>2928</v>
      </c>
      <c r="E986" s="75" t="s">
        <v>1790</v>
      </c>
      <c r="F986" s="63" t="s">
        <v>6</v>
      </c>
      <c r="G986" s="56" t="s">
        <v>2816</v>
      </c>
      <c r="H986" s="56" t="s">
        <v>2817</v>
      </c>
    </row>
    <row r="987" spans="2:8" x14ac:dyDescent="0.3">
      <c r="B987" s="138">
        <v>46043</v>
      </c>
      <c r="C987" s="74">
        <v>46023</v>
      </c>
      <c r="D987" s="70" t="s">
        <v>2928</v>
      </c>
      <c r="E987" s="75" t="s">
        <v>1790</v>
      </c>
      <c r="F987" s="63" t="s">
        <v>6</v>
      </c>
      <c r="G987" s="56" t="s">
        <v>2818</v>
      </c>
      <c r="H987" s="56" t="s">
        <v>2819</v>
      </c>
    </row>
    <row r="988" spans="2:8" x14ac:dyDescent="0.3">
      <c r="B988" s="138">
        <v>46044</v>
      </c>
      <c r="C988" s="74">
        <v>46023</v>
      </c>
      <c r="D988" s="70" t="s">
        <v>2928</v>
      </c>
      <c r="E988" s="75" t="s">
        <v>1790</v>
      </c>
      <c r="F988" s="63" t="s">
        <v>6</v>
      </c>
      <c r="G988" s="56" t="s">
        <v>2870</v>
      </c>
      <c r="H988" s="56" t="s">
        <v>2870</v>
      </c>
    </row>
    <row r="989" spans="2:8" x14ac:dyDescent="0.3">
      <c r="B989" s="138">
        <v>46044</v>
      </c>
      <c r="C989" s="74">
        <v>46023</v>
      </c>
      <c r="D989" s="70" t="s">
        <v>2928</v>
      </c>
      <c r="E989" s="75" t="s">
        <v>1790</v>
      </c>
      <c r="F989" s="63" t="s">
        <v>6</v>
      </c>
      <c r="G989" s="56" t="s">
        <v>2899</v>
      </c>
      <c r="H989" s="56" t="s">
        <v>2900</v>
      </c>
    </row>
    <row r="990" spans="2:8" x14ac:dyDescent="0.3">
      <c r="B990" s="138">
        <v>46044</v>
      </c>
      <c r="C990" s="74">
        <v>46023</v>
      </c>
      <c r="D990" s="70" t="s">
        <v>2928</v>
      </c>
      <c r="E990" s="75" t="s">
        <v>1790</v>
      </c>
      <c r="F990" s="63" t="s">
        <v>6</v>
      </c>
      <c r="G990" s="56" t="s">
        <v>2814</v>
      </c>
      <c r="H990" s="56" t="s">
        <v>2815</v>
      </c>
    </row>
    <row r="991" spans="2:8" x14ac:dyDescent="0.3">
      <c r="B991" s="138">
        <v>46044</v>
      </c>
      <c r="C991" s="74">
        <v>46023</v>
      </c>
      <c r="D991" s="70" t="s">
        <v>2928</v>
      </c>
      <c r="E991" s="75" t="s">
        <v>1790</v>
      </c>
      <c r="F991" s="63" t="s">
        <v>6</v>
      </c>
      <c r="G991" s="56" t="s">
        <v>2816</v>
      </c>
      <c r="H991" s="56" t="s">
        <v>2817</v>
      </c>
    </row>
    <row r="992" spans="2:8" x14ac:dyDescent="0.3">
      <c r="B992" s="138">
        <v>46044</v>
      </c>
      <c r="C992" s="74">
        <v>46023</v>
      </c>
      <c r="D992" s="70" t="s">
        <v>2928</v>
      </c>
      <c r="E992" s="75" t="s">
        <v>1790</v>
      </c>
      <c r="F992" s="63" t="s">
        <v>6</v>
      </c>
      <c r="G992" s="56" t="s">
        <v>2818</v>
      </c>
      <c r="H992" s="56" t="s">
        <v>2819</v>
      </c>
    </row>
    <row r="993" spans="2:8" x14ac:dyDescent="0.3">
      <c r="B993" s="138">
        <v>46045</v>
      </c>
      <c r="C993" s="74">
        <v>46023</v>
      </c>
      <c r="D993" s="70" t="s">
        <v>2928</v>
      </c>
      <c r="E993" s="75" t="s">
        <v>1790</v>
      </c>
      <c r="F993" s="63" t="s">
        <v>6</v>
      </c>
      <c r="G993" s="56" t="s">
        <v>2870</v>
      </c>
      <c r="H993" s="56" t="s">
        <v>2870</v>
      </c>
    </row>
    <row r="994" spans="2:8" x14ac:dyDescent="0.3">
      <c r="B994" s="138">
        <v>46045</v>
      </c>
      <c r="C994" s="74">
        <v>46023</v>
      </c>
      <c r="D994" s="70" t="s">
        <v>2928</v>
      </c>
      <c r="E994" s="75" t="s">
        <v>1790</v>
      </c>
      <c r="F994" s="63" t="s">
        <v>6</v>
      </c>
      <c r="G994" s="56" t="s">
        <v>2899</v>
      </c>
      <c r="H994" s="56" t="s">
        <v>2900</v>
      </c>
    </row>
    <row r="995" spans="2:8" x14ac:dyDescent="0.3">
      <c r="B995" s="138">
        <v>46045</v>
      </c>
      <c r="C995" s="74">
        <v>46023</v>
      </c>
      <c r="D995" s="70" t="s">
        <v>2928</v>
      </c>
      <c r="E995" s="75" t="s">
        <v>1790</v>
      </c>
      <c r="F995" s="63" t="s">
        <v>6</v>
      </c>
      <c r="G995" s="56" t="s">
        <v>2814</v>
      </c>
      <c r="H995" s="56" t="s">
        <v>2815</v>
      </c>
    </row>
    <row r="996" spans="2:8" x14ac:dyDescent="0.3">
      <c r="B996" s="138">
        <v>46045</v>
      </c>
      <c r="C996" s="74">
        <v>46023</v>
      </c>
      <c r="D996" s="70" t="s">
        <v>2928</v>
      </c>
      <c r="E996" s="75" t="s">
        <v>1790</v>
      </c>
      <c r="F996" s="63" t="s">
        <v>6</v>
      </c>
      <c r="G996" s="56" t="s">
        <v>2816</v>
      </c>
      <c r="H996" s="56" t="s">
        <v>2817</v>
      </c>
    </row>
    <row r="997" spans="2:8" x14ac:dyDescent="0.3">
      <c r="B997" s="138">
        <v>46045</v>
      </c>
      <c r="C997" s="74">
        <v>46023</v>
      </c>
      <c r="D997" s="70" t="s">
        <v>2928</v>
      </c>
      <c r="E997" s="75" t="s">
        <v>1790</v>
      </c>
      <c r="F997" s="63" t="s">
        <v>6</v>
      </c>
      <c r="G997" s="56" t="s">
        <v>2818</v>
      </c>
      <c r="H997" s="56" t="s">
        <v>2819</v>
      </c>
    </row>
    <row r="998" spans="2:8" x14ac:dyDescent="0.3">
      <c r="B998" s="138">
        <v>46048</v>
      </c>
      <c r="C998" s="74">
        <v>46023</v>
      </c>
      <c r="D998" s="70" t="s">
        <v>2928</v>
      </c>
      <c r="E998" s="75" t="s">
        <v>1790</v>
      </c>
      <c r="F998" s="63" t="s">
        <v>6</v>
      </c>
      <c r="G998" s="56" t="s">
        <v>2870</v>
      </c>
      <c r="H998" s="56" t="s">
        <v>2870</v>
      </c>
    </row>
    <row r="999" spans="2:8" x14ac:dyDescent="0.3">
      <c r="B999" s="138">
        <v>46048</v>
      </c>
      <c r="C999" s="74">
        <v>46023</v>
      </c>
      <c r="D999" s="70" t="s">
        <v>2928</v>
      </c>
      <c r="E999" s="75" t="s">
        <v>1790</v>
      </c>
      <c r="F999" s="63" t="s">
        <v>6</v>
      </c>
      <c r="G999" s="56" t="s">
        <v>2899</v>
      </c>
      <c r="H999" s="56" t="s">
        <v>2900</v>
      </c>
    </row>
    <row r="1000" spans="2:8" x14ac:dyDescent="0.3">
      <c r="B1000" s="138">
        <v>46048</v>
      </c>
      <c r="C1000" s="74">
        <v>46023</v>
      </c>
      <c r="D1000" s="70" t="s">
        <v>2928</v>
      </c>
      <c r="E1000" s="75" t="s">
        <v>1790</v>
      </c>
      <c r="F1000" s="63" t="s">
        <v>6</v>
      </c>
      <c r="G1000" s="56" t="s">
        <v>2814</v>
      </c>
      <c r="H1000" s="56" t="s">
        <v>2815</v>
      </c>
    </row>
    <row r="1001" spans="2:8" x14ac:dyDescent="0.3">
      <c r="B1001" s="138">
        <v>46048</v>
      </c>
      <c r="C1001" s="74">
        <v>46023</v>
      </c>
      <c r="D1001" s="70" t="s">
        <v>2928</v>
      </c>
      <c r="E1001" s="75" t="s">
        <v>1790</v>
      </c>
      <c r="F1001" s="63" t="s">
        <v>6</v>
      </c>
      <c r="G1001" s="56" t="s">
        <v>2816</v>
      </c>
      <c r="H1001" s="56" t="s">
        <v>2817</v>
      </c>
    </row>
    <row r="1002" spans="2:8" x14ac:dyDescent="0.3">
      <c r="B1002" s="138">
        <v>46048</v>
      </c>
      <c r="C1002" s="74">
        <v>46023</v>
      </c>
      <c r="D1002" s="70" t="s">
        <v>2928</v>
      </c>
      <c r="E1002" s="75" t="s">
        <v>1790</v>
      </c>
      <c r="F1002" s="63" t="s">
        <v>6</v>
      </c>
      <c r="G1002" s="56" t="s">
        <v>2818</v>
      </c>
      <c r="H1002" s="56" t="s">
        <v>2819</v>
      </c>
    </row>
    <row r="1003" spans="2:8" x14ac:dyDescent="0.3">
      <c r="B1003" s="138">
        <v>46049</v>
      </c>
      <c r="C1003" s="74">
        <v>46023</v>
      </c>
      <c r="D1003" s="70" t="s">
        <v>2928</v>
      </c>
      <c r="E1003" s="75" t="s">
        <v>1790</v>
      </c>
      <c r="F1003" s="63" t="s">
        <v>6</v>
      </c>
      <c r="G1003" s="56" t="s">
        <v>2870</v>
      </c>
      <c r="H1003" s="56" t="s">
        <v>2870</v>
      </c>
    </row>
    <row r="1004" spans="2:8" x14ac:dyDescent="0.3">
      <c r="B1004" s="138">
        <v>46049</v>
      </c>
      <c r="C1004" s="74">
        <v>46023</v>
      </c>
      <c r="D1004" s="70" t="s">
        <v>2928</v>
      </c>
      <c r="E1004" s="75" t="s">
        <v>1790</v>
      </c>
      <c r="F1004" s="63" t="s">
        <v>6</v>
      </c>
      <c r="G1004" s="56" t="s">
        <v>2899</v>
      </c>
      <c r="H1004" s="56" t="s">
        <v>2900</v>
      </c>
    </row>
    <row r="1005" spans="2:8" x14ac:dyDescent="0.3">
      <c r="B1005" s="138">
        <v>46049</v>
      </c>
      <c r="C1005" s="74">
        <v>46023</v>
      </c>
      <c r="D1005" s="70" t="s">
        <v>2928</v>
      </c>
      <c r="E1005" s="75" t="s">
        <v>1790</v>
      </c>
      <c r="F1005" s="63" t="s">
        <v>6</v>
      </c>
      <c r="G1005" s="56" t="s">
        <v>2814</v>
      </c>
      <c r="H1005" s="56" t="s">
        <v>2815</v>
      </c>
    </row>
    <row r="1006" spans="2:8" x14ac:dyDescent="0.3">
      <c r="B1006" s="138">
        <v>46049</v>
      </c>
      <c r="C1006" s="74">
        <v>46023</v>
      </c>
      <c r="D1006" s="70" t="s">
        <v>2928</v>
      </c>
      <c r="E1006" s="75" t="s">
        <v>1790</v>
      </c>
      <c r="F1006" s="63" t="s">
        <v>6</v>
      </c>
      <c r="G1006" s="56" t="s">
        <v>2816</v>
      </c>
      <c r="H1006" s="56" t="s">
        <v>2817</v>
      </c>
    </row>
    <row r="1007" spans="2:8" x14ac:dyDescent="0.3">
      <c r="B1007" s="138">
        <v>46049</v>
      </c>
      <c r="C1007" s="74">
        <v>46023</v>
      </c>
      <c r="D1007" s="70" t="s">
        <v>2928</v>
      </c>
      <c r="E1007" s="75" t="s">
        <v>1790</v>
      </c>
      <c r="F1007" s="63" t="s">
        <v>6</v>
      </c>
      <c r="G1007" s="56" t="s">
        <v>2818</v>
      </c>
      <c r="H1007" s="56" t="s">
        <v>2819</v>
      </c>
    </row>
    <row r="1008" spans="2:8" x14ac:dyDescent="0.3">
      <c r="B1008" s="138">
        <v>46050</v>
      </c>
      <c r="C1008" s="74">
        <v>46023</v>
      </c>
      <c r="D1008" s="70" t="s">
        <v>2928</v>
      </c>
      <c r="E1008" s="75" t="s">
        <v>1790</v>
      </c>
      <c r="F1008" s="63" t="s">
        <v>6</v>
      </c>
      <c r="G1008" s="56" t="s">
        <v>2870</v>
      </c>
      <c r="H1008" s="56" t="s">
        <v>2870</v>
      </c>
    </row>
    <row r="1009" spans="2:8" x14ac:dyDescent="0.3">
      <c r="B1009" s="138">
        <v>46050</v>
      </c>
      <c r="C1009" s="74">
        <v>46023</v>
      </c>
      <c r="D1009" s="70" t="s">
        <v>2928</v>
      </c>
      <c r="E1009" s="75" t="s">
        <v>1790</v>
      </c>
      <c r="F1009" s="63" t="s">
        <v>6</v>
      </c>
      <c r="G1009" s="56" t="s">
        <v>2899</v>
      </c>
      <c r="H1009" s="56" t="s">
        <v>2900</v>
      </c>
    </row>
    <row r="1010" spans="2:8" x14ac:dyDescent="0.3">
      <c r="B1010" s="138">
        <v>46050</v>
      </c>
      <c r="C1010" s="74">
        <v>46023</v>
      </c>
      <c r="D1010" s="70" t="s">
        <v>2928</v>
      </c>
      <c r="E1010" s="75" t="s">
        <v>1790</v>
      </c>
      <c r="F1010" s="63" t="s">
        <v>6</v>
      </c>
      <c r="G1010" s="56" t="s">
        <v>2814</v>
      </c>
      <c r="H1010" s="56" t="s">
        <v>2815</v>
      </c>
    </row>
    <row r="1011" spans="2:8" x14ac:dyDescent="0.3">
      <c r="B1011" s="138">
        <v>46050</v>
      </c>
      <c r="C1011" s="74">
        <v>46023</v>
      </c>
      <c r="D1011" s="70" t="s">
        <v>2928</v>
      </c>
      <c r="E1011" s="75" t="s">
        <v>1790</v>
      </c>
      <c r="F1011" s="63" t="s">
        <v>6</v>
      </c>
      <c r="G1011" s="56" t="s">
        <v>2816</v>
      </c>
      <c r="H1011" s="56" t="s">
        <v>2817</v>
      </c>
    </row>
    <row r="1012" spans="2:8" x14ac:dyDescent="0.3">
      <c r="B1012" s="138">
        <v>46050</v>
      </c>
      <c r="C1012" s="74">
        <v>46023</v>
      </c>
      <c r="D1012" s="70" t="s">
        <v>2928</v>
      </c>
      <c r="E1012" s="75" t="s">
        <v>1790</v>
      </c>
      <c r="F1012" s="63" t="s">
        <v>6</v>
      </c>
      <c r="G1012" s="56" t="s">
        <v>2818</v>
      </c>
      <c r="H1012" s="56" t="s">
        <v>2819</v>
      </c>
    </row>
    <row r="1013" spans="2:8" x14ac:dyDescent="0.3">
      <c r="B1013" s="138">
        <v>46051</v>
      </c>
      <c r="C1013" s="74">
        <v>46023</v>
      </c>
      <c r="D1013" s="70" t="s">
        <v>2928</v>
      </c>
      <c r="E1013" s="75" t="s">
        <v>1790</v>
      </c>
      <c r="F1013" s="63" t="s">
        <v>6</v>
      </c>
      <c r="G1013" s="56" t="s">
        <v>2870</v>
      </c>
      <c r="H1013" s="56" t="s">
        <v>2870</v>
      </c>
    </row>
    <row r="1014" spans="2:8" x14ac:dyDescent="0.3">
      <c r="B1014" s="138">
        <v>46051</v>
      </c>
      <c r="C1014" s="74">
        <v>46023</v>
      </c>
      <c r="D1014" s="70" t="s">
        <v>2928</v>
      </c>
      <c r="E1014" s="75" t="s">
        <v>1790</v>
      </c>
      <c r="F1014" s="63" t="s">
        <v>6</v>
      </c>
      <c r="G1014" s="56" t="s">
        <v>2899</v>
      </c>
      <c r="H1014" s="56" t="s">
        <v>2900</v>
      </c>
    </row>
    <row r="1015" spans="2:8" x14ac:dyDescent="0.3">
      <c r="B1015" s="138">
        <v>46051</v>
      </c>
      <c r="C1015" s="74">
        <v>46023</v>
      </c>
      <c r="D1015" s="70" t="s">
        <v>2928</v>
      </c>
      <c r="E1015" s="75" t="s">
        <v>1790</v>
      </c>
      <c r="F1015" s="63" t="s">
        <v>6</v>
      </c>
      <c r="G1015" s="56" t="s">
        <v>2814</v>
      </c>
      <c r="H1015" s="56" t="s">
        <v>2815</v>
      </c>
    </row>
    <row r="1016" spans="2:8" x14ac:dyDescent="0.3">
      <c r="B1016" s="138">
        <v>46051</v>
      </c>
      <c r="C1016" s="74">
        <v>46023</v>
      </c>
      <c r="D1016" s="70" t="s">
        <v>2928</v>
      </c>
      <c r="E1016" s="75" t="s">
        <v>1790</v>
      </c>
      <c r="F1016" s="63" t="s">
        <v>6</v>
      </c>
      <c r="G1016" s="56" t="s">
        <v>2816</v>
      </c>
      <c r="H1016" s="56" t="s">
        <v>2817</v>
      </c>
    </row>
    <row r="1017" spans="2:8" x14ac:dyDescent="0.3">
      <c r="B1017" s="138">
        <v>46051</v>
      </c>
      <c r="C1017" s="74">
        <v>46023</v>
      </c>
      <c r="D1017" s="70" t="s">
        <v>2928</v>
      </c>
      <c r="E1017" s="75" t="s">
        <v>1790</v>
      </c>
      <c r="F1017" s="63" t="s">
        <v>6</v>
      </c>
      <c r="G1017" s="56" t="s">
        <v>2818</v>
      </c>
      <c r="H1017" s="56" t="s">
        <v>2819</v>
      </c>
    </row>
    <row r="1018" spans="2:8" x14ac:dyDescent="0.3">
      <c r="B1018" s="138">
        <v>46052</v>
      </c>
      <c r="C1018" s="74">
        <v>46023</v>
      </c>
      <c r="D1018" s="70" t="s">
        <v>2928</v>
      </c>
      <c r="E1018" s="75" t="s">
        <v>1790</v>
      </c>
      <c r="F1018" s="63" t="s">
        <v>6</v>
      </c>
      <c r="G1018" s="56" t="s">
        <v>2870</v>
      </c>
      <c r="H1018" s="56" t="s">
        <v>2870</v>
      </c>
    </row>
    <row r="1019" spans="2:8" x14ac:dyDescent="0.3">
      <c r="B1019" s="138">
        <v>46052</v>
      </c>
      <c r="C1019" s="74">
        <v>46023</v>
      </c>
      <c r="D1019" s="70" t="s">
        <v>2928</v>
      </c>
      <c r="E1019" s="75" t="s">
        <v>1790</v>
      </c>
      <c r="F1019" s="63" t="s">
        <v>6</v>
      </c>
      <c r="G1019" s="56" t="s">
        <v>2899</v>
      </c>
      <c r="H1019" s="56" t="s">
        <v>2900</v>
      </c>
    </row>
    <row r="1020" spans="2:8" x14ac:dyDescent="0.3">
      <c r="B1020" s="138">
        <v>46052</v>
      </c>
      <c r="C1020" s="74">
        <v>46023</v>
      </c>
      <c r="D1020" s="70" t="s">
        <v>2928</v>
      </c>
      <c r="E1020" s="75" t="s">
        <v>1790</v>
      </c>
      <c r="F1020" s="63" t="s">
        <v>6</v>
      </c>
      <c r="G1020" s="56" t="s">
        <v>2814</v>
      </c>
      <c r="H1020" s="56" t="s">
        <v>2815</v>
      </c>
    </row>
    <row r="1021" spans="2:8" x14ac:dyDescent="0.3">
      <c r="B1021" s="138">
        <v>46052</v>
      </c>
      <c r="C1021" s="74">
        <v>46023</v>
      </c>
      <c r="D1021" s="70" t="s">
        <v>2928</v>
      </c>
      <c r="E1021" s="75" t="s">
        <v>1790</v>
      </c>
      <c r="F1021" s="63" t="s">
        <v>6</v>
      </c>
      <c r="G1021" s="56" t="s">
        <v>2816</v>
      </c>
      <c r="H1021" s="56" t="s">
        <v>2817</v>
      </c>
    </row>
    <row r="1022" spans="2:8" x14ac:dyDescent="0.3">
      <c r="B1022" s="138">
        <v>46052</v>
      </c>
      <c r="C1022" s="74">
        <v>46023</v>
      </c>
      <c r="D1022" s="70" t="s">
        <v>2928</v>
      </c>
      <c r="E1022" s="75" t="s">
        <v>1790</v>
      </c>
      <c r="F1022" s="63" t="s">
        <v>6</v>
      </c>
      <c r="G1022" s="56" t="s">
        <v>2818</v>
      </c>
      <c r="H1022" s="56" t="s">
        <v>2819</v>
      </c>
    </row>
    <row r="1023" spans="2:8" x14ac:dyDescent="0.3">
      <c r="B1023" s="138">
        <v>46055</v>
      </c>
      <c r="C1023" s="74">
        <v>46054</v>
      </c>
      <c r="D1023" s="70" t="s">
        <v>2928</v>
      </c>
      <c r="E1023" s="75" t="s">
        <v>1790</v>
      </c>
      <c r="F1023" s="168"/>
      <c r="G1023" s="56" t="s">
        <v>3039</v>
      </c>
      <c r="H1023" s="56" t="s">
        <v>3039</v>
      </c>
    </row>
    <row r="1024" spans="2:8" x14ac:dyDescent="0.3">
      <c r="B1024" s="138">
        <v>46056</v>
      </c>
      <c r="C1024" s="74">
        <v>46054</v>
      </c>
      <c r="D1024" s="70" t="s">
        <v>2928</v>
      </c>
      <c r="E1024" s="75" t="s">
        <v>1790</v>
      </c>
      <c r="F1024" s="168"/>
      <c r="G1024" s="56" t="s">
        <v>3039</v>
      </c>
      <c r="H1024" s="56" t="s">
        <v>3039</v>
      </c>
    </row>
    <row r="1025" spans="2:8" x14ac:dyDescent="0.3">
      <c r="B1025" s="138">
        <v>46057</v>
      </c>
      <c r="C1025" s="74">
        <v>46054</v>
      </c>
      <c r="D1025" s="70" t="s">
        <v>2928</v>
      </c>
      <c r="E1025" s="75" t="s">
        <v>1790</v>
      </c>
      <c r="F1025" s="168"/>
      <c r="G1025" s="56" t="s">
        <v>3039</v>
      </c>
      <c r="H1025" s="56" t="s">
        <v>3039</v>
      </c>
    </row>
    <row r="1026" spans="2:8" x14ac:dyDescent="0.3">
      <c r="B1026" s="138">
        <v>46058</v>
      </c>
      <c r="C1026" s="74">
        <v>46054</v>
      </c>
      <c r="D1026" s="70" t="s">
        <v>2928</v>
      </c>
      <c r="E1026" s="75" t="s">
        <v>1790</v>
      </c>
      <c r="F1026" s="168"/>
      <c r="G1026" s="56" t="s">
        <v>3039</v>
      </c>
      <c r="H1026" s="56" t="s">
        <v>3039</v>
      </c>
    </row>
    <row r="1027" spans="2:8" x14ac:dyDescent="0.3">
      <c r="B1027" s="138">
        <v>46059</v>
      </c>
      <c r="C1027" s="74">
        <v>46054</v>
      </c>
      <c r="D1027" s="70" t="s">
        <v>2928</v>
      </c>
      <c r="E1027" s="75" t="s">
        <v>1790</v>
      </c>
      <c r="F1027" s="168"/>
      <c r="G1027" s="56" t="s">
        <v>3039</v>
      </c>
      <c r="H1027" s="56" t="s">
        <v>3039</v>
      </c>
    </row>
    <row r="1028" spans="2:8" x14ac:dyDescent="0.3">
      <c r="B1028" s="138">
        <v>46062</v>
      </c>
      <c r="C1028" s="74">
        <v>46054</v>
      </c>
      <c r="D1028" s="70" t="s">
        <v>2928</v>
      </c>
      <c r="E1028" s="75" t="s">
        <v>1790</v>
      </c>
      <c r="F1028" s="63" t="s">
        <v>6</v>
      </c>
      <c r="G1028" s="56" t="s">
        <v>2870</v>
      </c>
      <c r="H1028" s="56" t="s">
        <v>2870</v>
      </c>
    </row>
    <row r="1029" spans="2:8" x14ac:dyDescent="0.3">
      <c r="B1029" s="138">
        <v>46062</v>
      </c>
      <c r="C1029" s="74">
        <v>46054</v>
      </c>
      <c r="D1029" s="70" t="s">
        <v>2928</v>
      </c>
      <c r="E1029" s="75" t="s">
        <v>1790</v>
      </c>
      <c r="F1029" s="63" t="s">
        <v>6</v>
      </c>
      <c r="G1029" s="56" t="s">
        <v>2899</v>
      </c>
      <c r="H1029" s="56" t="s">
        <v>2900</v>
      </c>
    </row>
    <row r="1030" spans="2:8" x14ac:dyDescent="0.3">
      <c r="B1030" s="138">
        <v>46062</v>
      </c>
      <c r="C1030" s="74">
        <v>46054</v>
      </c>
      <c r="D1030" s="70" t="s">
        <v>2928</v>
      </c>
      <c r="E1030" s="75" t="s">
        <v>1790</v>
      </c>
      <c r="F1030" s="63" t="s">
        <v>6</v>
      </c>
      <c r="G1030" s="56" t="s">
        <v>2814</v>
      </c>
      <c r="H1030" s="56" t="s">
        <v>2815</v>
      </c>
    </row>
    <row r="1031" spans="2:8" x14ac:dyDescent="0.3">
      <c r="B1031" s="138">
        <v>46062</v>
      </c>
      <c r="C1031" s="74">
        <v>46054</v>
      </c>
      <c r="D1031" s="70" t="s">
        <v>2928</v>
      </c>
      <c r="E1031" s="75" t="s">
        <v>1790</v>
      </c>
      <c r="F1031" s="63" t="s">
        <v>6</v>
      </c>
      <c r="G1031" s="56" t="s">
        <v>2816</v>
      </c>
      <c r="H1031" s="56" t="s">
        <v>2817</v>
      </c>
    </row>
    <row r="1032" spans="2:8" x14ac:dyDescent="0.3">
      <c r="B1032" s="138">
        <v>46062</v>
      </c>
      <c r="C1032" s="74">
        <v>46054</v>
      </c>
      <c r="D1032" s="70" t="s">
        <v>2928</v>
      </c>
      <c r="E1032" s="75" t="s">
        <v>1790</v>
      </c>
      <c r="F1032" s="63" t="s">
        <v>6</v>
      </c>
      <c r="G1032" s="56" t="s">
        <v>2818</v>
      </c>
      <c r="H1032" s="56" t="s">
        <v>2819</v>
      </c>
    </row>
    <row r="1033" spans="2:8" x14ac:dyDescent="0.3">
      <c r="B1033" s="138">
        <v>46063</v>
      </c>
      <c r="C1033" s="74">
        <v>46054</v>
      </c>
      <c r="D1033" s="70" t="s">
        <v>2928</v>
      </c>
      <c r="E1033" s="75" t="s">
        <v>1790</v>
      </c>
      <c r="F1033" s="63" t="s">
        <v>6</v>
      </c>
      <c r="G1033" s="56" t="s">
        <v>2870</v>
      </c>
      <c r="H1033" s="56" t="s">
        <v>2870</v>
      </c>
    </row>
    <row r="1034" spans="2:8" x14ac:dyDescent="0.3">
      <c r="B1034" s="138">
        <v>46063</v>
      </c>
      <c r="C1034" s="74">
        <v>46054</v>
      </c>
      <c r="D1034" s="70" t="s">
        <v>2928</v>
      </c>
      <c r="E1034" s="75" t="s">
        <v>1790</v>
      </c>
      <c r="F1034" s="63" t="s">
        <v>6</v>
      </c>
      <c r="G1034" s="56" t="s">
        <v>2899</v>
      </c>
      <c r="H1034" s="56" t="s">
        <v>2900</v>
      </c>
    </row>
    <row r="1035" spans="2:8" x14ac:dyDescent="0.3">
      <c r="B1035" s="138">
        <v>46063</v>
      </c>
      <c r="C1035" s="74">
        <v>46054</v>
      </c>
      <c r="D1035" s="70" t="s">
        <v>2928</v>
      </c>
      <c r="E1035" s="75" t="s">
        <v>1790</v>
      </c>
      <c r="F1035" s="63" t="s">
        <v>6</v>
      </c>
      <c r="G1035" s="56" t="s">
        <v>2814</v>
      </c>
      <c r="H1035" s="56" t="s">
        <v>2815</v>
      </c>
    </row>
    <row r="1036" spans="2:8" x14ac:dyDescent="0.3">
      <c r="B1036" s="138">
        <v>46063</v>
      </c>
      <c r="C1036" s="74">
        <v>46054</v>
      </c>
      <c r="D1036" s="70" t="s">
        <v>2928</v>
      </c>
      <c r="E1036" s="75" t="s">
        <v>1790</v>
      </c>
      <c r="F1036" s="63" t="s">
        <v>6</v>
      </c>
      <c r="G1036" s="56" t="s">
        <v>2816</v>
      </c>
      <c r="H1036" s="56" t="s">
        <v>2817</v>
      </c>
    </row>
    <row r="1037" spans="2:8" x14ac:dyDescent="0.3">
      <c r="B1037" s="138">
        <v>46063</v>
      </c>
      <c r="C1037" s="74">
        <v>46054</v>
      </c>
      <c r="D1037" s="70" t="s">
        <v>2928</v>
      </c>
      <c r="E1037" s="75" t="s">
        <v>1790</v>
      </c>
      <c r="F1037" s="63" t="s">
        <v>6</v>
      </c>
      <c r="G1037" s="56" t="s">
        <v>2818</v>
      </c>
      <c r="H1037" s="56" t="s">
        <v>2819</v>
      </c>
    </row>
    <row r="1038" spans="2:8" x14ac:dyDescent="0.3">
      <c r="B1038" s="138">
        <v>46064</v>
      </c>
      <c r="C1038" s="74">
        <v>46054</v>
      </c>
      <c r="D1038" s="70" t="s">
        <v>2928</v>
      </c>
      <c r="E1038" s="75" t="s">
        <v>1790</v>
      </c>
      <c r="F1038" s="63" t="s">
        <v>6</v>
      </c>
      <c r="G1038" s="56" t="s">
        <v>2870</v>
      </c>
      <c r="H1038" s="56" t="s">
        <v>2870</v>
      </c>
    </row>
    <row r="1039" spans="2:8" x14ac:dyDescent="0.3">
      <c r="B1039" s="138">
        <v>46064</v>
      </c>
      <c r="C1039" s="74">
        <v>46054</v>
      </c>
      <c r="D1039" s="70" t="s">
        <v>2928</v>
      </c>
      <c r="E1039" s="75" t="s">
        <v>1790</v>
      </c>
      <c r="F1039" s="63" t="s">
        <v>6</v>
      </c>
      <c r="G1039" s="56" t="s">
        <v>2899</v>
      </c>
      <c r="H1039" s="56" t="s">
        <v>2900</v>
      </c>
    </row>
    <row r="1040" spans="2:8" x14ac:dyDescent="0.3">
      <c r="B1040" s="138">
        <v>46064</v>
      </c>
      <c r="C1040" s="74">
        <v>46054</v>
      </c>
      <c r="D1040" s="70" t="s">
        <v>2928</v>
      </c>
      <c r="E1040" s="75" t="s">
        <v>1790</v>
      </c>
      <c r="F1040" s="63" t="s">
        <v>6</v>
      </c>
      <c r="G1040" s="56" t="s">
        <v>2814</v>
      </c>
      <c r="H1040" s="56" t="s">
        <v>2815</v>
      </c>
    </row>
    <row r="1041" spans="2:8" x14ac:dyDescent="0.3">
      <c r="B1041" s="138">
        <v>46064</v>
      </c>
      <c r="C1041" s="74">
        <v>46054</v>
      </c>
      <c r="D1041" s="70" t="s">
        <v>2928</v>
      </c>
      <c r="E1041" s="75" t="s">
        <v>1790</v>
      </c>
      <c r="F1041" s="63" t="s">
        <v>6</v>
      </c>
      <c r="G1041" s="56" t="s">
        <v>2816</v>
      </c>
      <c r="H1041" s="56" t="s">
        <v>2817</v>
      </c>
    </row>
    <row r="1042" spans="2:8" x14ac:dyDescent="0.3">
      <c r="B1042" s="138">
        <v>46064</v>
      </c>
      <c r="C1042" s="74">
        <v>46054</v>
      </c>
      <c r="D1042" s="70" t="s">
        <v>2928</v>
      </c>
      <c r="E1042" s="75" t="s">
        <v>1790</v>
      </c>
      <c r="F1042" s="63" t="s">
        <v>6</v>
      </c>
      <c r="G1042" s="56" t="s">
        <v>2818</v>
      </c>
      <c r="H1042" s="56" t="s">
        <v>2819</v>
      </c>
    </row>
    <row r="1043" spans="2:8" x14ac:dyDescent="0.3">
      <c r="B1043" s="138">
        <v>46065</v>
      </c>
      <c r="C1043" s="74">
        <v>46054</v>
      </c>
      <c r="D1043" s="70" t="s">
        <v>2928</v>
      </c>
      <c r="E1043" s="75" t="s">
        <v>1790</v>
      </c>
      <c r="F1043" s="63" t="s">
        <v>6</v>
      </c>
      <c r="G1043" s="56" t="s">
        <v>2870</v>
      </c>
      <c r="H1043" s="56" t="s">
        <v>2870</v>
      </c>
    </row>
    <row r="1044" spans="2:8" x14ac:dyDescent="0.3">
      <c r="B1044" s="138">
        <v>46065</v>
      </c>
      <c r="C1044" s="74">
        <v>46054</v>
      </c>
      <c r="D1044" s="70" t="s">
        <v>2928</v>
      </c>
      <c r="E1044" s="75" t="s">
        <v>1790</v>
      </c>
      <c r="F1044" s="63" t="s">
        <v>6</v>
      </c>
      <c r="G1044" s="56" t="s">
        <v>2899</v>
      </c>
      <c r="H1044" s="56" t="s">
        <v>2900</v>
      </c>
    </row>
    <row r="1045" spans="2:8" x14ac:dyDescent="0.3">
      <c r="B1045" s="138">
        <v>46065</v>
      </c>
      <c r="C1045" s="74">
        <v>46054</v>
      </c>
      <c r="D1045" s="70" t="s">
        <v>2928</v>
      </c>
      <c r="E1045" s="75" t="s">
        <v>1790</v>
      </c>
      <c r="F1045" s="63" t="s">
        <v>6</v>
      </c>
      <c r="G1045" s="56" t="s">
        <v>2814</v>
      </c>
      <c r="H1045" s="56" t="s">
        <v>2815</v>
      </c>
    </row>
    <row r="1046" spans="2:8" x14ac:dyDescent="0.3">
      <c r="B1046" s="138">
        <v>46065</v>
      </c>
      <c r="C1046" s="74">
        <v>46054</v>
      </c>
      <c r="D1046" s="70" t="s">
        <v>2928</v>
      </c>
      <c r="E1046" s="75" t="s">
        <v>1790</v>
      </c>
      <c r="F1046" s="63" t="s">
        <v>6</v>
      </c>
      <c r="G1046" s="56" t="s">
        <v>2816</v>
      </c>
      <c r="H1046" s="56" t="s">
        <v>2817</v>
      </c>
    </row>
    <row r="1047" spans="2:8" x14ac:dyDescent="0.3">
      <c r="B1047" s="138">
        <v>46065</v>
      </c>
      <c r="C1047" s="74">
        <v>46054</v>
      </c>
      <c r="D1047" s="70" t="s">
        <v>2928</v>
      </c>
      <c r="E1047" s="75" t="s">
        <v>1790</v>
      </c>
      <c r="F1047" s="63" t="s">
        <v>6</v>
      </c>
      <c r="G1047" s="56" t="s">
        <v>2818</v>
      </c>
      <c r="H1047" s="56" t="s">
        <v>2819</v>
      </c>
    </row>
    <row r="1048" spans="2:8" x14ac:dyDescent="0.3">
      <c r="B1048" s="138">
        <v>46066</v>
      </c>
      <c r="C1048" s="74">
        <v>46054</v>
      </c>
      <c r="D1048" s="70" t="s">
        <v>2928</v>
      </c>
      <c r="E1048" s="75" t="s">
        <v>1790</v>
      </c>
      <c r="F1048" s="63" t="s">
        <v>6</v>
      </c>
      <c r="G1048" s="56" t="s">
        <v>2870</v>
      </c>
      <c r="H1048" s="56" t="s">
        <v>2870</v>
      </c>
    </row>
    <row r="1049" spans="2:8" x14ac:dyDescent="0.3">
      <c r="B1049" s="138">
        <v>46066</v>
      </c>
      <c r="C1049" s="74">
        <v>46054</v>
      </c>
      <c r="D1049" s="70" t="s">
        <v>2928</v>
      </c>
      <c r="E1049" s="75" t="s">
        <v>1790</v>
      </c>
      <c r="F1049" s="63" t="s">
        <v>6</v>
      </c>
      <c r="G1049" s="56" t="s">
        <v>2899</v>
      </c>
      <c r="H1049" s="56" t="s">
        <v>2900</v>
      </c>
    </row>
    <row r="1050" spans="2:8" x14ac:dyDescent="0.3">
      <c r="B1050" s="138">
        <v>46066</v>
      </c>
      <c r="C1050" s="74">
        <v>46054</v>
      </c>
      <c r="D1050" s="70" t="s">
        <v>2928</v>
      </c>
      <c r="E1050" s="75" t="s">
        <v>1790</v>
      </c>
      <c r="F1050" s="63" t="s">
        <v>6</v>
      </c>
      <c r="G1050" s="56" t="s">
        <v>2814</v>
      </c>
      <c r="H1050" s="56" t="s">
        <v>2815</v>
      </c>
    </row>
    <row r="1051" spans="2:8" x14ac:dyDescent="0.3">
      <c r="B1051" s="138">
        <v>46066</v>
      </c>
      <c r="C1051" s="74">
        <v>46054</v>
      </c>
      <c r="D1051" s="70" t="s">
        <v>2928</v>
      </c>
      <c r="E1051" s="75" t="s">
        <v>1790</v>
      </c>
      <c r="F1051" s="63" t="s">
        <v>6</v>
      </c>
      <c r="G1051" s="56" t="s">
        <v>2816</v>
      </c>
      <c r="H1051" s="56" t="s">
        <v>2817</v>
      </c>
    </row>
    <row r="1052" spans="2:8" x14ac:dyDescent="0.3">
      <c r="B1052" s="138">
        <v>46066</v>
      </c>
      <c r="C1052" s="74">
        <v>46054</v>
      </c>
      <c r="D1052" s="70" t="s">
        <v>2928</v>
      </c>
      <c r="E1052" s="75" t="s">
        <v>1790</v>
      </c>
      <c r="F1052" s="63" t="s">
        <v>6</v>
      </c>
      <c r="G1052" s="56" t="s">
        <v>2818</v>
      </c>
      <c r="H1052" s="56" t="s">
        <v>2819</v>
      </c>
    </row>
    <row r="1053" spans="2:8" x14ac:dyDescent="0.3">
      <c r="B1053" s="138">
        <v>46069</v>
      </c>
      <c r="C1053" s="74">
        <v>46054</v>
      </c>
      <c r="D1053" s="70" t="s">
        <v>2928</v>
      </c>
      <c r="E1053" s="75" t="s">
        <v>1790</v>
      </c>
      <c r="F1053" s="63" t="s">
        <v>6</v>
      </c>
      <c r="G1053" s="56" t="s">
        <v>2870</v>
      </c>
      <c r="H1053" s="56" t="s">
        <v>2870</v>
      </c>
    </row>
    <row r="1054" spans="2:8" x14ac:dyDescent="0.3">
      <c r="B1054" s="138">
        <v>46069</v>
      </c>
      <c r="C1054" s="74">
        <v>46054</v>
      </c>
      <c r="D1054" s="70" t="s">
        <v>2928</v>
      </c>
      <c r="E1054" s="75" t="s">
        <v>1790</v>
      </c>
      <c r="F1054" s="63" t="s">
        <v>6</v>
      </c>
      <c r="G1054" s="56" t="s">
        <v>2899</v>
      </c>
      <c r="H1054" s="56" t="s">
        <v>2900</v>
      </c>
    </row>
    <row r="1055" spans="2:8" x14ac:dyDescent="0.3">
      <c r="B1055" s="138">
        <v>46069</v>
      </c>
      <c r="C1055" s="74">
        <v>46054</v>
      </c>
      <c r="D1055" s="70" t="s">
        <v>2928</v>
      </c>
      <c r="E1055" s="75" t="s">
        <v>1790</v>
      </c>
      <c r="F1055" s="63" t="s">
        <v>6</v>
      </c>
      <c r="G1055" s="56" t="s">
        <v>2814</v>
      </c>
      <c r="H1055" s="56" t="s">
        <v>2815</v>
      </c>
    </row>
    <row r="1056" spans="2:8" x14ac:dyDescent="0.3">
      <c r="B1056" s="138">
        <v>46069</v>
      </c>
      <c r="C1056" s="74">
        <v>46054</v>
      </c>
      <c r="D1056" s="70" t="s">
        <v>2928</v>
      </c>
      <c r="E1056" s="75" t="s">
        <v>1790</v>
      </c>
      <c r="F1056" s="63" t="s">
        <v>6</v>
      </c>
      <c r="G1056" s="56" t="s">
        <v>2816</v>
      </c>
      <c r="H1056" s="56" t="s">
        <v>2817</v>
      </c>
    </row>
    <row r="1057" spans="2:8" x14ac:dyDescent="0.3">
      <c r="B1057" s="138">
        <v>46069</v>
      </c>
      <c r="C1057" s="74">
        <v>46054</v>
      </c>
      <c r="D1057" s="70" t="s">
        <v>2928</v>
      </c>
      <c r="E1057" s="75" t="s">
        <v>1790</v>
      </c>
      <c r="F1057" s="63" t="s">
        <v>6</v>
      </c>
      <c r="G1057" s="56" t="s">
        <v>2818</v>
      </c>
      <c r="H1057" s="56" t="s">
        <v>2819</v>
      </c>
    </row>
    <row r="1058" spans="2:8" x14ac:dyDescent="0.3">
      <c r="B1058" s="138">
        <v>46070</v>
      </c>
      <c r="C1058" s="74">
        <v>46054</v>
      </c>
      <c r="D1058" s="70" t="s">
        <v>2928</v>
      </c>
      <c r="E1058" s="75" t="s">
        <v>1790</v>
      </c>
      <c r="F1058" s="63" t="s">
        <v>6</v>
      </c>
      <c r="G1058" s="56" t="s">
        <v>2870</v>
      </c>
      <c r="H1058" s="56" t="s">
        <v>2870</v>
      </c>
    </row>
    <row r="1059" spans="2:8" x14ac:dyDescent="0.3">
      <c r="B1059" s="138">
        <v>46070</v>
      </c>
      <c r="C1059" s="74">
        <v>46054</v>
      </c>
      <c r="D1059" s="70" t="s">
        <v>2928</v>
      </c>
      <c r="E1059" s="75" t="s">
        <v>1790</v>
      </c>
      <c r="F1059" s="63" t="s">
        <v>6</v>
      </c>
      <c r="G1059" s="56" t="s">
        <v>2899</v>
      </c>
      <c r="H1059" s="56" t="s">
        <v>2900</v>
      </c>
    </row>
    <row r="1060" spans="2:8" x14ac:dyDescent="0.3">
      <c r="B1060" s="138">
        <v>46070</v>
      </c>
      <c r="C1060" s="74">
        <v>46054</v>
      </c>
      <c r="D1060" s="70" t="s">
        <v>2928</v>
      </c>
      <c r="E1060" s="75" t="s">
        <v>1790</v>
      </c>
      <c r="F1060" s="63" t="s">
        <v>6</v>
      </c>
      <c r="G1060" s="56" t="s">
        <v>2814</v>
      </c>
      <c r="H1060" s="56" t="s">
        <v>2815</v>
      </c>
    </row>
    <row r="1061" spans="2:8" x14ac:dyDescent="0.3">
      <c r="B1061" s="138">
        <v>46070</v>
      </c>
      <c r="C1061" s="74">
        <v>46054</v>
      </c>
      <c r="D1061" s="70" t="s">
        <v>2928</v>
      </c>
      <c r="E1061" s="75" t="s">
        <v>1790</v>
      </c>
      <c r="F1061" s="63" t="s">
        <v>6</v>
      </c>
      <c r="G1061" s="56" t="s">
        <v>2816</v>
      </c>
      <c r="H1061" s="56" t="s">
        <v>2817</v>
      </c>
    </row>
    <row r="1062" spans="2:8" x14ac:dyDescent="0.3">
      <c r="B1062" s="138">
        <v>46070</v>
      </c>
      <c r="C1062" s="74">
        <v>46054</v>
      </c>
      <c r="D1062" s="70" t="s">
        <v>2928</v>
      </c>
      <c r="E1062" s="75" t="s">
        <v>1790</v>
      </c>
      <c r="F1062" s="63" t="s">
        <v>6</v>
      </c>
      <c r="G1062" s="56" t="s">
        <v>2818</v>
      </c>
      <c r="H1062" s="56" t="s">
        <v>2819</v>
      </c>
    </row>
    <row r="1063" spans="2:8" x14ac:dyDescent="0.3">
      <c r="B1063" s="138">
        <v>46071</v>
      </c>
      <c r="C1063" s="74">
        <v>46054</v>
      </c>
      <c r="D1063" s="70" t="s">
        <v>2928</v>
      </c>
      <c r="E1063" s="75" t="s">
        <v>1790</v>
      </c>
      <c r="F1063" s="63" t="s">
        <v>6</v>
      </c>
      <c r="G1063" s="56" t="s">
        <v>2870</v>
      </c>
      <c r="H1063" s="56" t="s">
        <v>2870</v>
      </c>
    </row>
    <row r="1064" spans="2:8" x14ac:dyDescent="0.3">
      <c r="B1064" s="138">
        <v>46071</v>
      </c>
      <c r="C1064" s="74">
        <v>46054</v>
      </c>
      <c r="D1064" s="70" t="s">
        <v>2928</v>
      </c>
      <c r="E1064" s="75" t="s">
        <v>1790</v>
      </c>
      <c r="F1064" s="63" t="s">
        <v>6</v>
      </c>
      <c r="G1064" s="56" t="s">
        <v>2899</v>
      </c>
      <c r="H1064" s="56" t="s">
        <v>2900</v>
      </c>
    </row>
    <row r="1065" spans="2:8" x14ac:dyDescent="0.3">
      <c r="B1065" s="138">
        <v>46071</v>
      </c>
      <c r="C1065" s="74">
        <v>46054</v>
      </c>
      <c r="D1065" s="70" t="s">
        <v>2928</v>
      </c>
      <c r="E1065" s="75" t="s">
        <v>1790</v>
      </c>
      <c r="F1065" s="63" t="s">
        <v>6</v>
      </c>
      <c r="G1065" s="56" t="s">
        <v>2814</v>
      </c>
      <c r="H1065" s="56" t="s">
        <v>2815</v>
      </c>
    </row>
    <row r="1066" spans="2:8" x14ac:dyDescent="0.3">
      <c r="B1066" s="138">
        <v>46071</v>
      </c>
      <c r="C1066" s="74">
        <v>46054</v>
      </c>
      <c r="D1066" s="70" t="s">
        <v>2928</v>
      </c>
      <c r="E1066" s="75" t="s">
        <v>1790</v>
      </c>
      <c r="F1066" s="63" t="s">
        <v>6</v>
      </c>
      <c r="G1066" s="56" t="s">
        <v>2816</v>
      </c>
      <c r="H1066" s="56" t="s">
        <v>2817</v>
      </c>
    </row>
    <row r="1067" spans="2:8" x14ac:dyDescent="0.3">
      <c r="B1067" s="138">
        <v>46071</v>
      </c>
      <c r="C1067" s="74">
        <v>46054</v>
      </c>
      <c r="D1067" s="70" t="s">
        <v>2928</v>
      </c>
      <c r="E1067" s="75" t="s">
        <v>1790</v>
      </c>
      <c r="F1067" s="63" t="s">
        <v>6</v>
      </c>
      <c r="G1067" s="56" t="s">
        <v>2818</v>
      </c>
      <c r="H1067" s="56" t="s">
        <v>2819</v>
      </c>
    </row>
    <row r="1068" spans="2:8" x14ac:dyDescent="0.3">
      <c r="B1068" s="138">
        <v>46072</v>
      </c>
      <c r="C1068" s="74">
        <v>46054</v>
      </c>
      <c r="D1068" s="70" t="s">
        <v>2928</v>
      </c>
      <c r="E1068" s="75" t="s">
        <v>1790</v>
      </c>
      <c r="F1068" s="63" t="s">
        <v>6</v>
      </c>
      <c r="G1068" s="56" t="s">
        <v>2870</v>
      </c>
      <c r="H1068" s="56" t="s">
        <v>2870</v>
      </c>
    </row>
    <row r="1069" spans="2:8" x14ac:dyDescent="0.3">
      <c r="B1069" s="138">
        <v>46072</v>
      </c>
      <c r="C1069" s="74">
        <v>46054</v>
      </c>
      <c r="D1069" s="70" t="s">
        <v>2928</v>
      </c>
      <c r="E1069" s="75" t="s">
        <v>1790</v>
      </c>
      <c r="F1069" s="63" t="s">
        <v>6</v>
      </c>
      <c r="G1069" s="56" t="s">
        <v>2899</v>
      </c>
      <c r="H1069" s="56" t="s">
        <v>2900</v>
      </c>
    </row>
    <row r="1070" spans="2:8" x14ac:dyDescent="0.3">
      <c r="B1070" s="138">
        <v>46072</v>
      </c>
      <c r="C1070" s="74">
        <v>46054</v>
      </c>
      <c r="D1070" s="70" t="s">
        <v>2928</v>
      </c>
      <c r="E1070" s="75" t="s">
        <v>1790</v>
      </c>
      <c r="F1070" s="63" t="s">
        <v>6</v>
      </c>
      <c r="G1070" s="56" t="s">
        <v>2814</v>
      </c>
      <c r="H1070" s="56" t="s">
        <v>2815</v>
      </c>
    </row>
    <row r="1071" spans="2:8" x14ac:dyDescent="0.3">
      <c r="B1071" s="138">
        <v>46072</v>
      </c>
      <c r="C1071" s="74">
        <v>46054</v>
      </c>
      <c r="D1071" s="70" t="s">
        <v>2928</v>
      </c>
      <c r="E1071" s="75" t="s">
        <v>1790</v>
      </c>
      <c r="F1071" s="63" t="s">
        <v>6</v>
      </c>
      <c r="G1071" s="56" t="s">
        <v>2816</v>
      </c>
      <c r="H1071" s="56" t="s">
        <v>2817</v>
      </c>
    </row>
    <row r="1072" spans="2:8" x14ac:dyDescent="0.3">
      <c r="B1072" s="138">
        <v>46072</v>
      </c>
      <c r="C1072" s="74">
        <v>46054</v>
      </c>
      <c r="D1072" s="70" t="s">
        <v>2928</v>
      </c>
      <c r="E1072" s="75" t="s">
        <v>1790</v>
      </c>
      <c r="F1072" s="63" t="s">
        <v>6</v>
      </c>
      <c r="G1072" s="56" t="s">
        <v>2818</v>
      </c>
      <c r="H1072" s="56" t="s">
        <v>2819</v>
      </c>
    </row>
    <row r="1073" spans="2:8" x14ac:dyDescent="0.3">
      <c r="B1073" s="138">
        <v>46073</v>
      </c>
      <c r="C1073" s="74">
        <v>46054</v>
      </c>
      <c r="D1073" s="70" t="s">
        <v>2928</v>
      </c>
      <c r="E1073" s="75" t="s">
        <v>1790</v>
      </c>
      <c r="F1073" s="63" t="s">
        <v>6</v>
      </c>
      <c r="G1073" s="56" t="s">
        <v>2870</v>
      </c>
      <c r="H1073" s="56" t="s">
        <v>2870</v>
      </c>
    </row>
    <row r="1074" spans="2:8" x14ac:dyDescent="0.3">
      <c r="B1074" s="138">
        <v>46073</v>
      </c>
      <c r="C1074" s="74">
        <v>46054</v>
      </c>
      <c r="D1074" s="70" t="s">
        <v>2928</v>
      </c>
      <c r="E1074" s="75" t="s">
        <v>1790</v>
      </c>
      <c r="F1074" s="63" t="s">
        <v>6</v>
      </c>
      <c r="G1074" s="56" t="s">
        <v>2899</v>
      </c>
      <c r="H1074" s="56" t="s">
        <v>2900</v>
      </c>
    </row>
    <row r="1075" spans="2:8" x14ac:dyDescent="0.3">
      <c r="B1075" s="138">
        <v>46073</v>
      </c>
      <c r="C1075" s="74">
        <v>46054</v>
      </c>
      <c r="D1075" s="70" t="s">
        <v>2928</v>
      </c>
      <c r="E1075" s="75" t="s">
        <v>1790</v>
      </c>
      <c r="F1075" s="63" t="s">
        <v>6</v>
      </c>
      <c r="G1075" s="56" t="s">
        <v>2814</v>
      </c>
      <c r="H1075" s="56" t="s">
        <v>2815</v>
      </c>
    </row>
    <row r="1076" spans="2:8" x14ac:dyDescent="0.3">
      <c r="B1076" s="138">
        <v>46073</v>
      </c>
      <c r="C1076" s="74">
        <v>46054</v>
      </c>
      <c r="D1076" s="70" t="s">
        <v>2928</v>
      </c>
      <c r="E1076" s="75" t="s">
        <v>1790</v>
      </c>
      <c r="F1076" s="63" t="s">
        <v>6</v>
      </c>
      <c r="G1076" s="56" t="s">
        <v>2816</v>
      </c>
      <c r="H1076" s="56" t="s">
        <v>2817</v>
      </c>
    </row>
    <row r="1077" spans="2:8" x14ac:dyDescent="0.3">
      <c r="B1077" s="138">
        <v>46073</v>
      </c>
      <c r="C1077" s="74">
        <v>46054</v>
      </c>
      <c r="D1077" s="70" t="s">
        <v>2928</v>
      </c>
      <c r="E1077" s="75" t="s">
        <v>1790</v>
      </c>
      <c r="F1077" s="63" t="s">
        <v>6</v>
      </c>
      <c r="G1077" s="56" t="s">
        <v>2818</v>
      </c>
      <c r="H1077" s="56" t="s">
        <v>2819</v>
      </c>
    </row>
    <row r="1078" spans="2:8" x14ac:dyDescent="0.3">
      <c r="B1078" s="138">
        <v>46076</v>
      </c>
      <c r="C1078" s="74">
        <v>46054</v>
      </c>
      <c r="D1078" s="70" t="s">
        <v>2928</v>
      </c>
      <c r="E1078" s="75" t="s">
        <v>1790</v>
      </c>
      <c r="F1078" s="137" t="s">
        <v>325</v>
      </c>
      <c r="G1078" s="56" t="s">
        <v>3040</v>
      </c>
      <c r="H1078" s="56" t="s">
        <v>3041</v>
      </c>
    </row>
    <row r="1079" spans="2:8" x14ac:dyDescent="0.3">
      <c r="B1079" s="138">
        <v>46076</v>
      </c>
      <c r="C1079" s="74">
        <v>46054</v>
      </c>
      <c r="D1079" s="70" t="s">
        <v>2928</v>
      </c>
      <c r="E1079" s="75" t="s">
        <v>1790</v>
      </c>
      <c r="F1079" s="63" t="s">
        <v>6</v>
      </c>
      <c r="G1079" s="56" t="s">
        <v>2870</v>
      </c>
      <c r="H1079" s="56" t="s">
        <v>2870</v>
      </c>
    </row>
    <row r="1080" spans="2:8" x14ac:dyDescent="0.3">
      <c r="B1080" s="138">
        <v>46076</v>
      </c>
      <c r="C1080" s="74">
        <v>46054</v>
      </c>
      <c r="D1080" s="70" t="s">
        <v>2928</v>
      </c>
      <c r="E1080" s="75" t="s">
        <v>1790</v>
      </c>
      <c r="F1080" s="63" t="s">
        <v>6</v>
      </c>
      <c r="G1080" s="56" t="s">
        <v>2899</v>
      </c>
      <c r="H1080" s="56" t="s">
        <v>2900</v>
      </c>
    </row>
    <row r="1081" spans="2:8" x14ac:dyDescent="0.3">
      <c r="B1081" s="138">
        <v>46076</v>
      </c>
      <c r="C1081" s="74">
        <v>46054</v>
      </c>
      <c r="D1081" s="70" t="s">
        <v>2928</v>
      </c>
      <c r="E1081" s="75" t="s">
        <v>1790</v>
      </c>
      <c r="F1081" s="63" t="s">
        <v>6</v>
      </c>
      <c r="G1081" s="56" t="s">
        <v>2814</v>
      </c>
      <c r="H1081" s="56" t="s">
        <v>2815</v>
      </c>
    </row>
    <row r="1082" spans="2:8" x14ac:dyDescent="0.3">
      <c r="B1082" s="138">
        <v>46076</v>
      </c>
      <c r="C1082" s="74">
        <v>46054</v>
      </c>
      <c r="D1082" s="70" t="s">
        <v>2928</v>
      </c>
      <c r="E1082" s="75" t="s">
        <v>1790</v>
      </c>
      <c r="F1082" s="63" t="s">
        <v>6</v>
      </c>
      <c r="G1082" s="56" t="s">
        <v>2816</v>
      </c>
      <c r="H1082" s="56" t="s">
        <v>2817</v>
      </c>
    </row>
    <row r="1083" spans="2:8" x14ac:dyDescent="0.3">
      <c r="B1083" s="138">
        <v>46076</v>
      </c>
      <c r="C1083" s="74">
        <v>46054</v>
      </c>
      <c r="D1083" s="70" t="s">
        <v>2928</v>
      </c>
      <c r="E1083" s="75" t="s">
        <v>1790</v>
      </c>
      <c r="F1083" s="63" t="s">
        <v>6</v>
      </c>
      <c r="G1083" s="56" t="s">
        <v>2818</v>
      </c>
      <c r="H1083" s="56" t="s">
        <v>2819</v>
      </c>
    </row>
    <row r="1084" spans="2:8" x14ac:dyDescent="0.3">
      <c r="B1084" s="138">
        <v>46077</v>
      </c>
      <c r="C1084" s="74">
        <v>46054</v>
      </c>
      <c r="D1084" s="70" t="s">
        <v>2928</v>
      </c>
      <c r="E1084" s="75" t="s">
        <v>1790</v>
      </c>
      <c r="F1084" s="63" t="s">
        <v>6</v>
      </c>
      <c r="G1084" s="56" t="s">
        <v>2870</v>
      </c>
      <c r="H1084" s="56" t="s">
        <v>2870</v>
      </c>
    </row>
    <row r="1085" spans="2:8" x14ac:dyDescent="0.3">
      <c r="B1085" s="138">
        <v>46077</v>
      </c>
      <c r="C1085" s="74">
        <v>46054</v>
      </c>
      <c r="D1085" s="70" t="s">
        <v>2928</v>
      </c>
      <c r="E1085" s="75" t="s">
        <v>1790</v>
      </c>
      <c r="F1085" s="63" t="s">
        <v>6</v>
      </c>
      <c r="G1085" s="56" t="s">
        <v>2899</v>
      </c>
      <c r="H1085" s="56" t="s">
        <v>2900</v>
      </c>
    </row>
    <row r="1086" spans="2:8" x14ac:dyDescent="0.3">
      <c r="B1086" s="138">
        <v>46077</v>
      </c>
      <c r="C1086" s="74">
        <v>46054</v>
      </c>
      <c r="D1086" s="70" t="s">
        <v>2928</v>
      </c>
      <c r="E1086" s="75" t="s">
        <v>1790</v>
      </c>
      <c r="F1086" s="63" t="s">
        <v>6</v>
      </c>
      <c r="G1086" s="56" t="s">
        <v>2814</v>
      </c>
      <c r="H1086" s="56" t="s">
        <v>2815</v>
      </c>
    </row>
    <row r="1087" spans="2:8" x14ac:dyDescent="0.3">
      <c r="B1087" s="138">
        <v>46077</v>
      </c>
      <c r="C1087" s="74">
        <v>46054</v>
      </c>
      <c r="D1087" s="70" t="s">
        <v>2928</v>
      </c>
      <c r="E1087" s="75" t="s">
        <v>1790</v>
      </c>
      <c r="F1087" s="63" t="s">
        <v>6</v>
      </c>
      <c r="G1087" s="56" t="s">
        <v>2816</v>
      </c>
      <c r="H1087" s="56" t="s">
        <v>2817</v>
      </c>
    </row>
    <row r="1088" spans="2:8" x14ac:dyDescent="0.3">
      <c r="B1088" s="138">
        <v>46077</v>
      </c>
      <c r="C1088" s="74">
        <v>46054</v>
      </c>
      <c r="D1088" s="70" t="s">
        <v>2928</v>
      </c>
      <c r="E1088" s="75" t="s">
        <v>1790</v>
      </c>
      <c r="F1088" s="63" t="s">
        <v>6</v>
      </c>
      <c r="G1088" s="56" t="s">
        <v>2818</v>
      </c>
      <c r="H1088" s="56" t="s">
        <v>2819</v>
      </c>
    </row>
    <row r="1089" spans="2:8" x14ac:dyDescent="0.3">
      <c r="B1089" s="138">
        <v>46078</v>
      </c>
      <c r="C1089" s="74">
        <v>46054</v>
      </c>
      <c r="D1089" s="70" t="s">
        <v>2928</v>
      </c>
      <c r="E1089" s="75" t="s">
        <v>1790</v>
      </c>
      <c r="F1089" s="63" t="s">
        <v>6</v>
      </c>
      <c r="G1089" s="56" t="s">
        <v>2870</v>
      </c>
      <c r="H1089" s="56" t="s">
        <v>2870</v>
      </c>
    </row>
    <row r="1090" spans="2:8" x14ac:dyDescent="0.3">
      <c r="B1090" s="138">
        <v>46078</v>
      </c>
      <c r="C1090" s="74">
        <v>46054</v>
      </c>
      <c r="D1090" s="70" t="s">
        <v>2928</v>
      </c>
      <c r="E1090" s="75" t="s">
        <v>1790</v>
      </c>
      <c r="F1090" s="63" t="s">
        <v>6</v>
      </c>
      <c r="G1090" s="56" t="s">
        <v>2899</v>
      </c>
      <c r="H1090" s="56" t="s">
        <v>2900</v>
      </c>
    </row>
    <row r="1091" spans="2:8" x14ac:dyDescent="0.3">
      <c r="B1091" s="138">
        <v>46078</v>
      </c>
      <c r="C1091" s="74">
        <v>46054</v>
      </c>
      <c r="D1091" s="70" t="s">
        <v>2928</v>
      </c>
      <c r="E1091" s="75" t="s">
        <v>1790</v>
      </c>
      <c r="F1091" s="63" t="s">
        <v>6</v>
      </c>
      <c r="G1091" s="56" t="s">
        <v>2814</v>
      </c>
      <c r="H1091" s="56" t="s">
        <v>2815</v>
      </c>
    </row>
    <row r="1092" spans="2:8" x14ac:dyDescent="0.3">
      <c r="B1092" s="138">
        <v>46078</v>
      </c>
      <c r="C1092" s="74">
        <v>46054</v>
      </c>
      <c r="D1092" s="70" t="s">
        <v>2928</v>
      </c>
      <c r="E1092" s="75" t="s">
        <v>1790</v>
      </c>
      <c r="F1092" s="63" t="s">
        <v>6</v>
      </c>
      <c r="G1092" s="56" t="s">
        <v>2816</v>
      </c>
      <c r="H1092" s="56" t="s">
        <v>2817</v>
      </c>
    </row>
    <row r="1093" spans="2:8" x14ac:dyDescent="0.3">
      <c r="B1093" s="138">
        <v>46078</v>
      </c>
      <c r="C1093" s="74">
        <v>46054</v>
      </c>
      <c r="D1093" s="70" t="s">
        <v>2928</v>
      </c>
      <c r="E1093" s="75" t="s">
        <v>1790</v>
      </c>
      <c r="F1093" s="63" t="s">
        <v>6</v>
      </c>
      <c r="G1093" s="56" t="s">
        <v>2818</v>
      </c>
      <c r="H1093" s="56" t="s">
        <v>2819</v>
      </c>
    </row>
    <row r="1094" spans="2:8" x14ac:dyDescent="0.3">
      <c r="B1094" s="138">
        <v>46079</v>
      </c>
      <c r="C1094" s="74">
        <v>46054</v>
      </c>
      <c r="D1094" s="70" t="s">
        <v>2928</v>
      </c>
      <c r="E1094" s="75" t="s">
        <v>1790</v>
      </c>
      <c r="F1094" s="63" t="s">
        <v>6</v>
      </c>
      <c r="G1094" s="56" t="s">
        <v>2870</v>
      </c>
      <c r="H1094" s="56" t="s">
        <v>2870</v>
      </c>
    </row>
    <row r="1095" spans="2:8" x14ac:dyDescent="0.3">
      <c r="B1095" s="138">
        <v>46079</v>
      </c>
      <c r="C1095" s="74">
        <v>46054</v>
      </c>
      <c r="D1095" s="70" t="s">
        <v>2928</v>
      </c>
      <c r="E1095" s="75" t="s">
        <v>1790</v>
      </c>
      <c r="F1095" s="63" t="s">
        <v>6</v>
      </c>
      <c r="G1095" s="56" t="s">
        <v>2899</v>
      </c>
      <c r="H1095" s="56" t="s">
        <v>2900</v>
      </c>
    </row>
    <row r="1096" spans="2:8" x14ac:dyDescent="0.3">
      <c r="B1096" s="138">
        <v>46079</v>
      </c>
      <c r="C1096" s="74">
        <v>46054</v>
      </c>
      <c r="D1096" s="70" t="s">
        <v>2928</v>
      </c>
      <c r="E1096" s="75" t="s">
        <v>1790</v>
      </c>
      <c r="F1096" s="63" t="s">
        <v>6</v>
      </c>
      <c r="G1096" s="56" t="s">
        <v>2814</v>
      </c>
      <c r="H1096" s="56" t="s">
        <v>2815</v>
      </c>
    </row>
    <row r="1097" spans="2:8" x14ac:dyDescent="0.3">
      <c r="B1097" s="138">
        <v>46079</v>
      </c>
      <c r="C1097" s="74">
        <v>46054</v>
      </c>
      <c r="D1097" s="70" t="s">
        <v>2928</v>
      </c>
      <c r="E1097" s="75" t="s">
        <v>1790</v>
      </c>
      <c r="F1097" s="63" t="s">
        <v>6</v>
      </c>
      <c r="G1097" s="56" t="s">
        <v>2816</v>
      </c>
      <c r="H1097" s="56" t="s">
        <v>2817</v>
      </c>
    </row>
    <row r="1098" spans="2:8" x14ac:dyDescent="0.3">
      <c r="B1098" s="138">
        <v>46079</v>
      </c>
      <c r="C1098" s="74">
        <v>46054</v>
      </c>
      <c r="D1098" s="70" t="s">
        <v>2928</v>
      </c>
      <c r="E1098" s="75" t="s">
        <v>1790</v>
      </c>
      <c r="F1098" s="63" t="s">
        <v>6</v>
      </c>
      <c r="G1098" s="56" t="s">
        <v>2818</v>
      </c>
      <c r="H1098" s="56" t="s">
        <v>2819</v>
      </c>
    </row>
    <row r="1099" spans="2:8" x14ac:dyDescent="0.3">
      <c r="B1099" s="138">
        <v>46080</v>
      </c>
      <c r="C1099" s="74">
        <v>46054</v>
      </c>
      <c r="D1099" s="70" t="s">
        <v>2928</v>
      </c>
      <c r="E1099" s="75" t="s">
        <v>1790</v>
      </c>
      <c r="F1099" s="137" t="s">
        <v>325</v>
      </c>
      <c r="G1099" s="56" t="s">
        <v>3042</v>
      </c>
      <c r="H1099" s="56" t="s">
        <v>3043</v>
      </c>
    </row>
    <row r="1100" spans="2:8" x14ac:dyDescent="0.3">
      <c r="B1100" s="138">
        <v>46080</v>
      </c>
      <c r="C1100" s="74">
        <v>46054</v>
      </c>
      <c r="D1100" s="70" t="s">
        <v>2928</v>
      </c>
      <c r="E1100" s="75" t="s">
        <v>1790</v>
      </c>
      <c r="F1100" s="63" t="s">
        <v>6</v>
      </c>
      <c r="G1100" s="56" t="s">
        <v>2870</v>
      </c>
      <c r="H1100" s="56" t="s">
        <v>2870</v>
      </c>
    </row>
    <row r="1101" spans="2:8" x14ac:dyDescent="0.3">
      <c r="B1101" s="138">
        <v>46080</v>
      </c>
      <c r="C1101" s="74">
        <v>46054</v>
      </c>
      <c r="D1101" s="70" t="s">
        <v>2928</v>
      </c>
      <c r="E1101" s="75" t="s">
        <v>1790</v>
      </c>
      <c r="F1101" s="63" t="s">
        <v>6</v>
      </c>
      <c r="G1101" s="56" t="s">
        <v>2899</v>
      </c>
      <c r="H1101" s="56" t="s">
        <v>2900</v>
      </c>
    </row>
    <row r="1102" spans="2:8" x14ac:dyDescent="0.3">
      <c r="B1102" s="138">
        <v>46080</v>
      </c>
      <c r="C1102" s="74">
        <v>46054</v>
      </c>
      <c r="D1102" s="70" t="s">
        <v>2928</v>
      </c>
      <c r="E1102" s="75" t="s">
        <v>1790</v>
      </c>
      <c r="F1102" s="63" t="s">
        <v>6</v>
      </c>
      <c r="G1102" s="56" t="s">
        <v>2814</v>
      </c>
      <c r="H1102" s="56" t="s">
        <v>2815</v>
      </c>
    </row>
    <row r="1103" spans="2:8" x14ac:dyDescent="0.3">
      <c r="B1103" s="138">
        <v>46080</v>
      </c>
      <c r="C1103" s="74">
        <v>46054</v>
      </c>
      <c r="D1103" s="70" t="s">
        <v>2928</v>
      </c>
      <c r="E1103" s="75" t="s">
        <v>1790</v>
      </c>
      <c r="F1103" s="63" t="s">
        <v>6</v>
      </c>
      <c r="G1103" s="56" t="s">
        <v>2816</v>
      </c>
      <c r="H1103" s="56" t="s">
        <v>2817</v>
      </c>
    </row>
    <row r="1104" spans="2:8" x14ac:dyDescent="0.3">
      <c r="B1104" s="138">
        <v>46080</v>
      </c>
      <c r="C1104" s="74">
        <v>46054</v>
      </c>
      <c r="D1104" s="70" t="s">
        <v>2928</v>
      </c>
      <c r="E1104" s="75" t="s">
        <v>1790</v>
      </c>
      <c r="F1104" s="63" t="s">
        <v>6</v>
      </c>
      <c r="G1104" s="56" t="s">
        <v>2818</v>
      </c>
      <c r="H1104" s="56" t="s">
        <v>2819</v>
      </c>
    </row>
    <row r="1105" spans="2:8" x14ac:dyDescent="0.3">
      <c r="B1105" s="138">
        <v>46083</v>
      </c>
      <c r="C1105" s="74">
        <v>46082</v>
      </c>
      <c r="D1105" s="70" t="s">
        <v>2928</v>
      </c>
      <c r="E1105" s="75" t="s">
        <v>1790</v>
      </c>
      <c r="F1105" s="63" t="s">
        <v>6</v>
      </c>
      <c r="G1105" s="56" t="s">
        <v>2870</v>
      </c>
      <c r="H1105" s="56" t="s">
        <v>2870</v>
      </c>
    </row>
    <row r="1106" spans="2:8" x14ac:dyDescent="0.3">
      <c r="B1106" s="138">
        <v>46083</v>
      </c>
      <c r="C1106" s="74">
        <v>46082</v>
      </c>
      <c r="D1106" s="70" t="s">
        <v>2928</v>
      </c>
      <c r="E1106" s="75" t="s">
        <v>1790</v>
      </c>
      <c r="F1106" s="63" t="s">
        <v>6</v>
      </c>
      <c r="G1106" s="56" t="s">
        <v>2899</v>
      </c>
      <c r="H1106" s="56" t="s">
        <v>2900</v>
      </c>
    </row>
    <row r="1107" spans="2:8" x14ac:dyDescent="0.3">
      <c r="B1107" s="138">
        <v>46083</v>
      </c>
      <c r="C1107" s="74">
        <v>46082</v>
      </c>
      <c r="D1107" s="70" t="s">
        <v>2928</v>
      </c>
      <c r="E1107" s="75" t="s">
        <v>1790</v>
      </c>
      <c r="F1107" s="63" t="s">
        <v>6</v>
      </c>
      <c r="G1107" s="56" t="s">
        <v>2814</v>
      </c>
      <c r="H1107" s="56" t="s">
        <v>2815</v>
      </c>
    </row>
    <row r="1108" spans="2:8" x14ac:dyDescent="0.3">
      <c r="B1108" s="138">
        <v>46083</v>
      </c>
      <c r="C1108" s="74">
        <v>46082</v>
      </c>
      <c r="D1108" s="70" t="s">
        <v>2928</v>
      </c>
      <c r="E1108" s="75" t="s">
        <v>1790</v>
      </c>
      <c r="F1108" s="63" t="s">
        <v>6</v>
      </c>
      <c r="G1108" s="56" t="s">
        <v>2816</v>
      </c>
      <c r="H1108" s="56" t="s">
        <v>2817</v>
      </c>
    </row>
    <row r="1109" spans="2:8" x14ac:dyDescent="0.3">
      <c r="B1109" s="138">
        <v>46083</v>
      </c>
      <c r="C1109" s="74">
        <v>46082</v>
      </c>
      <c r="D1109" s="70" t="s">
        <v>2928</v>
      </c>
      <c r="E1109" s="75" t="s">
        <v>1790</v>
      </c>
      <c r="F1109" s="63" t="s">
        <v>6</v>
      </c>
      <c r="G1109" s="56" t="s">
        <v>2818</v>
      </c>
      <c r="H1109" s="56" t="s">
        <v>2819</v>
      </c>
    </row>
    <row r="1110" spans="2:8" x14ac:dyDescent="0.3">
      <c r="B1110" s="138">
        <v>46084</v>
      </c>
      <c r="C1110" s="74">
        <v>46082</v>
      </c>
      <c r="D1110" s="70" t="s">
        <v>2928</v>
      </c>
      <c r="E1110" s="75" t="s">
        <v>1790</v>
      </c>
      <c r="F1110" s="63" t="s">
        <v>6</v>
      </c>
      <c r="G1110" s="56" t="s">
        <v>2870</v>
      </c>
      <c r="H1110" s="56" t="s">
        <v>2870</v>
      </c>
    </row>
    <row r="1111" spans="2:8" x14ac:dyDescent="0.3">
      <c r="B1111" s="138">
        <v>46084</v>
      </c>
      <c r="C1111" s="74">
        <v>46082</v>
      </c>
      <c r="D1111" s="70" t="s">
        <v>2928</v>
      </c>
      <c r="E1111" s="75" t="s">
        <v>1790</v>
      </c>
      <c r="F1111" s="63" t="s">
        <v>6</v>
      </c>
      <c r="G1111" s="56" t="s">
        <v>2899</v>
      </c>
      <c r="H1111" s="56" t="s">
        <v>2900</v>
      </c>
    </row>
    <row r="1112" spans="2:8" x14ac:dyDescent="0.3">
      <c r="B1112" s="138">
        <v>46084</v>
      </c>
      <c r="C1112" s="74">
        <v>46082</v>
      </c>
      <c r="D1112" s="70" t="s">
        <v>2928</v>
      </c>
      <c r="E1112" s="75" t="s">
        <v>1790</v>
      </c>
      <c r="F1112" s="63" t="s">
        <v>6</v>
      </c>
      <c r="G1112" s="56" t="s">
        <v>2814</v>
      </c>
      <c r="H1112" s="56" t="s">
        <v>2815</v>
      </c>
    </row>
    <row r="1113" spans="2:8" x14ac:dyDescent="0.3">
      <c r="B1113" s="138">
        <v>46084</v>
      </c>
      <c r="C1113" s="74">
        <v>46082</v>
      </c>
      <c r="D1113" s="70" t="s">
        <v>2928</v>
      </c>
      <c r="E1113" s="75" t="s">
        <v>1790</v>
      </c>
      <c r="F1113" s="63" t="s">
        <v>6</v>
      </c>
      <c r="G1113" s="56" t="s">
        <v>2816</v>
      </c>
      <c r="H1113" s="56" t="s">
        <v>2817</v>
      </c>
    </row>
    <row r="1114" spans="2:8" x14ac:dyDescent="0.3">
      <c r="B1114" s="138">
        <v>46084</v>
      </c>
      <c r="C1114" s="74">
        <v>46082</v>
      </c>
      <c r="D1114" s="70" t="s">
        <v>2928</v>
      </c>
      <c r="E1114" s="75" t="s">
        <v>1790</v>
      </c>
      <c r="F1114" s="63" t="s">
        <v>6</v>
      </c>
      <c r="G1114" s="56" t="s">
        <v>2818</v>
      </c>
      <c r="H1114" s="56" t="s">
        <v>2819</v>
      </c>
    </row>
    <row r="1115" spans="2:8" x14ac:dyDescent="0.3">
      <c r="B1115" s="138">
        <v>46085</v>
      </c>
      <c r="C1115" s="74">
        <v>46082</v>
      </c>
      <c r="D1115" s="70" t="s">
        <v>2928</v>
      </c>
      <c r="E1115" s="75" t="s">
        <v>1790</v>
      </c>
      <c r="F1115" s="63" t="s">
        <v>6</v>
      </c>
      <c r="G1115" s="56" t="s">
        <v>2870</v>
      </c>
      <c r="H1115" s="56" t="s">
        <v>2870</v>
      </c>
    </row>
    <row r="1116" spans="2:8" x14ac:dyDescent="0.3">
      <c r="B1116" s="138">
        <v>46085</v>
      </c>
      <c r="C1116" s="74">
        <v>46082</v>
      </c>
      <c r="D1116" s="70" t="s">
        <v>2928</v>
      </c>
      <c r="E1116" s="75" t="s">
        <v>1790</v>
      </c>
      <c r="F1116" s="63" t="s">
        <v>6</v>
      </c>
      <c r="G1116" s="56" t="s">
        <v>2899</v>
      </c>
      <c r="H1116" s="56" t="s">
        <v>2900</v>
      </c>
    </row>
    <row r="1117" spans="2:8" x14ac:dyDescent="0.3">
      <c r="B1117" s="138">
        <v>46085</v>
      </c>
      <c r="C1117" s="74">
        <v>46082</v>
      </c>
      <c r="D1117" s="70" t="s">
        <v>2928</v>
      </c>
      <c r="E1117" s="75" t="s">
        <v>1790</v>
      </c>
      <c r="F1117" s="63" t="s">
        <v>6</v>
      </c>
      <c r="G1117" s="56" t="s">
        <v>2814</v>
      </c>
      <c r="H1117" s="56" t="s">
        <v>2815</v>
      </c>
    </row>
    <row r="1118" spans="2:8" x14ac:dyDescent="0.3">
      <c r="B1118" s="138">
        <v>46085</v>
      </c>
      <c r="C1118" s="74">
        <v>46082</v>
      </c>
      <c r="D1118" s="70" t="s">
        <v>2928</v>
      </c>
      <c r="E1118" s="75" t="s">
        <v>1790</v>
      </c>
      <c r="F1118" s="63" t="s">
        <v>6</v>
      </c>
      <c r="G1118" s="56" t="s">
        <v>2816</v>
      </c>
      <c r="H1118" s="56" t="s">
        <v>2817</v>
      </c>
    </row>
    <row r="1119" spans="2:8" x14ac:dyDescent="0.3">
      <c r="B1119" s="138">
        <v>46085</v>
      </c>
      <c r="C1119" s="74">
        <v>46082</v>
      </c>
      <c r="D1119" s="70" t="s">
        <v>2928</v>
      </c>
      <c r="E1119" s="75" t="s">
        <v>1790</v>
      </c>
      <c r="F1119" s="63" t="s">
        <v>6</v>
      </c>
      <c r="G1119" s="56" t="s">
        <v>2818</v>
      </c>
      <c r="H1119" s="56" t="s">
        <v>2819</v>
      </c>
    </row>
    <row r="1120" spans="2:8" x14ac:dyDescent="0.3">
      <c r="B1120" s="138">
        <v>46086</v>
      </c>
      <c r="C1120" s="74">
        <v>46082</v>
      </c>
      <c r="D1120" s="70" t="s">
        <v>2928</v>
      </c>
      <c r="E1120" s="75" t="s">
        <v>1790</v>
      </c>
      <c r="F1120" s="63" t="s">
        <v>6</v>
      </c>
      <c r="G1120" s="56" t="s">
        <v>2870</v>
      </c>
      <c r="H1120" s="56" t="s">
        <v>2870</v>
      </c>
    </row>
    <row r="1121" spans="2:8" x14ac:dyDescent="0.3">
      <c r="B1121" s="138">
        <v>46086</v>
      </c>
      <c r="C1121" s="74">
        <v>46082</v>
      </c>
      <c r="D1121" s="70" t="s">
        <v>2928</v>
      </c>
      <c r="E1121" s="75" t="s">
        <v>1790</v>
      </c>
      <c r="F1121" s="63" t="s">
        <v>6</v>
      </c>
      <c r="G1121" s="56" t="s">
        <v>2899</v>
      </c>
      <c r="H1121" s="56" t="s">
        <v>2900</v>
      </c>
    </row>
    <row r="1122" spans="2:8" x14ac:dyDescent="0.3">
      <c r="B1122" s="138">
        <v>46086</v>
      </c>
      <c r="C1122" s="74">
        <v>46082</v>
      </c>
      <c r="D1122" s="70" t="s">
        <v>2928</v>
      </c>
      <c r="E1122" s="75" t="s">
        <v>1790</v>
      </c>
      <c r="F1122" s="63" t="s">
        <v>6</v>
      </c>
      <c r="G1122" s="56" t="s">
        <v>2814</v>
      </c>
      <c r="H1122" s="56" t="s">
        <v>2815</v>
      </c>
    </row>
    <row r="1123" spans="2:8" x14ac:dyDescent="0.3">
      <c r="B1123" s="138">
        <v>46086</v>
      </c>
      <c r="C1123" s="74">
        <v>46082</v>
      </c>
      <c r="D1123" s="70" t="s">
        <v>2928</v>
      </c>
      <c r="E1123" s="75" t="s">
        <v>1790</v>
      </c>
      <c r="F1123" s="63" t="s">
        <v>6</v>
      </c>
      <c r="G1123" s="56" t="s">
        <v>2816</v>
      </c>
      <c r="H1123" s="56" t="s">
        <v>2817</v>
      </c>
    </row>
    <row r="1124" spans="2:8" x14ac:dyDescent="0.3">
      <c r="B1124" s="138">
        <v>46086</v>
      </c>
      <c r="C1124" s="74">
        <v>46082</v>
      </c>
      <c r="D1124" s="70" t="s">
        <v>2928</v>
      </c>
      <c r="E1124" s="75" t="s">
        <v>1790</v>
      </c>
      <c r="F1124" s="63" t="s">
        <v>6</v>
      </c>
      <c r="G1124" s="56" t="s">
        <v>2818</v>
      </c>
      <c r="H1124" s="56" t="s">
        <v>2819</v>
      </c>
    </row>
    <row r="1125" spans="2:8" x14ac:dyDescent="0.3">
      <c r="B1125" s="138">
        <v>46087</v>
      </c>
      <c r="C1125" s="74">
        <v>46082</v>
      </c>
      <c r="D1125" s="70" t="s">
        <v>2928</v>
      </c>
      <c r="E1125" s="75" t="s">
        <v>1790</v>
      </c>
      <c r="F1125" s="63" t="s">
        <v>6</v>
      </c>
      <c r="G1125" s="56" t="s">
        <v>2870</v>
      </c>
      <c r="H1125" s="56" t="s">
        <v>2870</v>
      </c>
    </row>
    <row r="1126" spans="2:8" x14ac:dyDescent="0.3">
      <c r="B1126" s="138">
        <v>46087</v>
      </c>
      <c r="C1126" s="74">
        <v>46082</v>
      </c>
      <c r="D1126" s="70" t="s">
        <v>2928</v>
      </c>
      <c r="E1126" s="75" t="s">
        <v>1790</v>
      </c>
      <c r="F1126" s="63" t="s">
        <v>6</v>
      </c>
      <c r="G1126" s="56" t="s">
        <v>2899</v>
      </c>
      <c r="H1126" s="56" t="s">
        <v>2900</v>
      </c>
    </row>
    <row r="1127" spans="2:8" x14ac:dyDescent="0.3">
      <c r="B1127" s="138">
        <v>46087</v>
      </c>
      <c r="C1127" s="74">
        <v>46082</v>
      </c>
      <c r="D1127" s="70" t="s">
        <v>2928</v>
      </c>
      <c r="E1127" s="75" t="s">
        <v>1790</v>
      </c>
      <c r="F1127" s="63" t="s">
        <v>6</v>
      </c>
      <c r="G1127" s="56" t="s">
        <v>2814</v>
      </c>
      <c r="H1127" s="56" t="s">
        <v>2815</v>
      </c>
    </row>
    <row r="1128" spans="2:8" x14ac:dyDescent="0.3">
      <c r="B1128" s="138">
        <v>46087</v>
      </c>
      <c r="C1128" s="74">
        <v>46082</v>
      </c>
      <c r="D1128" s="70" t="s">
        <v>2928</v>
      </c>
      <c r="E1128" s="75" t="s">
        <v>1790</v>
      </c>
      <c r="F1128" s="63" t="s">
        <v>6</v>
      </c>
      <c r="G1128" s="56" t="s">
        <v>2816</v>
      </c>
      <c r="H1128" s="56" t="s">
        <v>2817</v>
      </c>
    </row>
    <row r="1129" spans="2:8" x14ac:dyDescent="0.3">
      <c r="B1129" s="138">
        <v>46087</v>
      </c>
      <c r="C1129" s="74">
        <v>46082</v>
      </c>
      <c r="D1129" s="70" t="s">
        <v>2928</v>
      </c>
      <c r="E1129" s="75" t="s">
        <v>1790</v>
      </c>
      <c r="F1129" s="63" t="s">
        <v>6</v>
      </c>
      <c r="G1129" s="56" t="s">
        <v>2818</v>
      </c>
      <c r="H1129" s="56" t="s">
        <v>2819</v>
      </c>
    </row>
    <row r="1130" spans="2:8" x14ac:dyDescent="0.3">
      <c r="B1130" s="138">
        <v>46090</v>
      </c>
      <c r="C1130" s="74">
        <v>46082</v>
      </c>
      <c r="D1130" s="70" t="s">
        <v>2928</v>
      </c>
      <c r="E1130" s="75" t="s">
        <v>1790</v>
      </c>
      <c r="F1130" s="63" t="s">
        <v>6</v>
      </c>
      <c r="G1130" s="56" t="s">
        <v>2870</v>
      </c>
      <c r="H1130" s="56" t="s">
        <v>2870</v>
      </c>
    </row>
    <row r="1131" spans="2:8" x14ac:dyDescent="0.3">
      <c r="B1131" s="138">
        <v>46090</v>
      </c>
      <c r="C1131" s="74">
        <v>46082</v>
      </c>
      <c r="D1131" s="70" t="s">
        <v>2928</v>
      </c>
      <c r="E1131" s="75" t="s">
        <v>1790</v>
      </c>
      <c r="F1131" s="63" t="s">
        <v>6</v>
      </c>
      <c r="G1131" s="56" t="s">
        <v>2899</v>
      </c>
      <c r="H1131" s="56" t="s">
        <v>2900</v>
      </c>
    </row>
    <row r="1132" spans="2:8" x14ac:dyDescent="0.3">
      <c r="B1132" s="138">
        <v>46090</v>
      </c>
      <c r="C1132" s="74">
        <v>46082</v>
      </c>
      <c r="D1132" s="70" t="s">
        <v>2928</v>
      </c>
      <c r="E1132" s="75" t="s">
        <v>1790</v>
      </c>
      <c r="F1132" s="63" t="s">
        <v>6</v>
      </c>
      <c r="G1132" s="56" t="s">
        <v>2814</v>
      </c>
      <c r="H1132" s="56" t="s">
        <v>2815</v>
      </c>
    </row>
    <row r="1133" spans="2:8" x14ac:dyDescent="0.3">
      <c r="B1133" s="138">
        <v>46090</v>
      </c>
      <c r="C1133" s="74">
        <v>46082</v>
      </c>
      <c r="D1133" s="70" t="s">
        <v>2928</v>
      </c>
      <c r="E1133" s="75" t="s">
        <v>1790</v>
      </c>
      <c r="F1133" s="63" t="s">
        <v>6</v>
      </c>
      <c r="G1133" s="56" t="s">
        <v>2816</v>
      </c>
      <c r="H1133" s="56" t="s">
        <v>2817</v>
      </c>
    </row>
    <row r="1134" spans="2:8" x14ac:dyDescent="0.3">
      <c r="B1134" s="138">
        <v>46090</v>
      </c>
      <c r="C1134" s="74">
        <v>46082</v>
      </c>
      <c r="D1134" s="70" t="s">
        <v>2928</v>
      </c>
      <c r="E1134" s="75" t="s">
        <v>1790</v>
      </c>
      <c r="F1134" s="63" t="s">
        <v>6</v>
      </c>
      <c r="G1134" s="56" t="s">
        <v>2818</v>
      </c>
      <c r="H1134" s="56" t="s">
        <v>2819</v>
      </c>
    </row>
    <row r="1135" spans="2:8" x14ac:dyDescent="0.3">
      <c r="B1135" s="138">
        <v>46091</v>
      </c>
      <c r="C1135" s="74">
        <v>46082</v>
      </c>
      <c r="D1135" s="70" t="s">
        <v>2928</v>
      </c>
      <c r="E1135" s="75" t="s">
        <v>1790</v>
      </c>
      <c r="F1135" s="63" t="s">
        <v>6</v>
      </c>
      <c r="G1135" s="56" t="s">
        <v>2870</v>
      </c>
      <c r="H1135" s="56" t="s">
        <v>2870</v>
      </c>
    </row>
    <row r="1136" spans="2:8" x14ac:dyDescent="0.3">
      <c r="B1136" s="138">
        <v>46091</v>
      </c>
      <c r="C1136" s="74">
        <v>46082</v>
      </c>
      <c r="D1136" s="70" t="s">
        <v>2928</v>
      </c>
      <c r="E1136" s="75" t="s">
        <v>1790</v>
      </c>
      <c r="F1136" s="63" t="s">
        <v>6</v>
      </c>
      <c r="G1136" s="56" t="s">
        <v>2899</v>
      </c>
      <c r="H1136" s="56" t="s">
        <v>2900</v>
      </c>
    </row>
    <row r="1137" spans="2:10" x14ac:dyDescent="0.3">
      <c r="B1137" s="138">
        <v>46091</v>
      </c>
      <c r="C1137" s="74">
        <v>46082</v>
      </c>
      <c r="D1137" s="70" t="s">
        <v>2928</v>
      </c>
      <c r="E1137" s="75" t="s">
        <v>1790</v>
      </c>
      <c r="F1137" s="63" t="s">
        <v>6</v>
      </c>
      <c r="G1137" s="56" t="s">
        <v>2814</v>
      </c>
      <c r="H1137" s="56" t="s">
        <v>2815</v>
      </c>
    </row>
    <row r="1138" spans="2:10" x14ac:dyDescent="0.3">
      <c r="B1138" s="138">
        <v>46091</v>
      </c>
      <c r="C1138" s="74">
        <v>46082</v>
      </c>
      <c r="D1138" s="70" t="s">
        <v>2928</v>
      </c>
      <c r="E1138" s="75" t="s">
        <v>1790</v>
      </c>
      <c r="F1138" s="63" t="s">
        <v>6</v>
      </c>
      <c r="G1138" s="56" t="s">
        <v>2816</v>
      </c>
      <c r="H1138" s="56" t="s">
        <v>2817</v>
      </c>
    </row>
    <row r="1139" spans="2:10" x14ac:dyDescent="0.3">
      <c r="B1139" s="138">
        <v>46091</v>
      </c>
      <c r="C1139" s="74">
        <v>46082</v>
      </c>
      <c r="D1139" s="70" t="s">
        <v>2928</v>
      </c>
      <c r="E1139" s="75" t="s">
        <v>1790</v>
      </c>
      <c r="F1139" s="63" t="s">
        <v>6</v>
      </c>
      <c r="G1139" s="56" t="s">
        <v>2818</v>
      </c>
      <c r="H1139" s="56" t="s">
        <v>2819</v>
      </c>
    </row>
    <row r="1140" spans="2:10" x14ac:dyDescent="0.3">
      <c r="B1140" s="138">
        <v>46092</v>
      </c>
      <c r="C1140" s="74">
        <v>46082</v>
      </c>
      <c r="D1140" s="70" t="s">
        <v>2928</v>
      </c>
      <c r="E1140" s="75" t="s">
        <v>1790</v>
      </c>
      <c r="F1140" s="63" t="s">
        <v>6</v>
      </c>
      <c r="G1140" s="56" t="s">
        <v>2870</v>
      </c>
      <c r="H1140" s="56" t="s">
        <v>2870</v>
      </c>
      <c r="I1140" s="272" t="s">
        <v>3320</v>
      </c>
      <c r="J1140" s="344">
        <v>4</v>
      </c>
    </row>
    <row r="1141" spans="2:10" x14ac:dyDescent="0.3">
      <c r="B1141" s="138">
        <v>46092</v>
      </c>
      <c r="C1141" s="74">
        <v>46082</v>
      </c>
      <c r="D1141" s="70" t="s">
        <v>2928</v>
      </c>
      <c r="E1141" s="75" t="s">
        <v>1790</v>
      </c>
      <c r="F1141" s="63" t="s">
        <v>6</v>
      </c>
      <c r="G1141" s="56" t="s">
        <v>2899</v>
      </c>
      <c r="H1141" s="56" t="s">
        <v>2900</v>
      </c>
      <c r="I1141" s="272" t="s">
        <v>3320</v>
      </c>
      <c r="J1141" s="344">
        <v>1</v>
      </c>
    </row>
    <row r="1142" spans="2:10" x14ac:dyDescent="0.3">
      <c r="B1142" s="138">
        <v>46092</v>
      </c>
      <c r="C1142" s="74">
        <v>46082</v>
      </c>
      <c r="D1142" s="70" t="s">
        <v>2928</v>
      </c>
      <c r="E1142" s="75" t="s">
        <v>1790</v>
      </c>
      <c r="F1142" s="63" t="s">
        <v>6</v>
      </c>
      <c r="G1142" s="56" t="s">
        <v>2814</v>
      </c>
      <c r="H1142" s="56" t="s">
        <v>2815</v>
      </c>
      <c r="I1142" s="272" t="s">
        <v>3320</v>
      </c>
      <c r="J1142" s="345">
        <v>4</v>
      </c>
    </row>
    <row r="1143" spans="2:10" x14ac:dyDescent="0.3">
      <c r="B1143" s="138">
        <v>46092</v>
      </c>
      <c r="C1143" s="74">
        <v>46082</v>
      </c>
      <c r="D1143" s="70" t="s">
        <v>2928</v>
      </c>
      <c r="E1143" s="75" t="s">
        <v>1790</v>
      </c>
      <c r="F1143" s="63" t="s">
        <v>6</v>
      </c>
      <c r="G1143" s="56" t="s">
        <v>2816</v>
      </c>
      <c r="H1143" s="56" t="s">
        <v>2817</v>
      </c>
      <c r="I1143" s="272" t="s">
        <v>3320</v>
      </c>
      <c r="J1143" s="345">
        <v>2</v>
      </c>
    </row>
    <row r="1144" spans="2:10" x14ac:dyDescent="0.3">
      <c r="B1144" s="138">
        <v>46092</v>
      </c>
      <c r="C1144" s="74">
        <v>46082</v>
      </c>
      <c r="D1144" s="70" t="s">
        <v>2928</v>
      </c>
      <c r="E1144" s="75" t="s">
        <v>1790</v>
      </c>
      <c r="F1144" s="63" t="s">
        <v>6</v>
      </c>
      <c r="G1144" s="56" t="s">
        <v>2818</v>
      </c>
      <c r="H1144" s="56" t="s">
        <v>3352</v>
      </c>
      <c r="I1144" s="272" t="s">
        <v>3320</v>
      </c>
      <c r="J1144" s="344">
        <v>1</v>
      </c>
    </row>
    <row r="1145" spans="2:10" x14ac:dyDescent="0.3">
      <c r="B1145" s="138">
        <v>46093</v>
      </c>
      <c r="C1145" s="74">
        <v>46082</v>
      </c>
      <c r="D1145" s="70" t="s">
        <v>2928</v>
      </c>
      <c r="E1145" s="75" t="s">
        <v>1790</v>
      </c>
      <c r="F1145" s="63" t="s">
        <v>6</v>
      </c>
      <c r="G1145" s="56" t="s">
        <v>2870</v>
      </c>
      <c r="H1145" s="56" t="s">
        <v>2870</v>
      </c>
      <c r="I1145" s="272" t="s">
        <v>3320</v>
      </c>
      <c r="J1145" s="344">
        <v>4</v>
      </c>
    </row>
    <row r="1146" spans="2:10" x14ac:dyDescent="0.3">
      <c r="B1146" s="138">
        <v>46093</v>
      </c>
      <c r="C1146" s="74">
        <v>46082</v>
      </c>
      <c r="D1146" s="70" t="s">
        <v>2928</v>
      </c>
      <c r="E1146" s="75" t="s">
        <v>1790</v>
      </c>
      <c r="F1146" s="63" t="s">
        <v>6</v>
      </c>
      <c r="G1146" s="56" t="s">
        <v>2899</v>
      </c>
      <c r="H1146" s="56" t="s">
        <v>2900</v>
      </c>
      <c r="I1146" s="272" t="s">
        <v>3320</v>
      </c>
      <c r="J1146" s="344">
        <v>1</v>
      </c>
    </row>
    <row r="1147" spans="2:10" x14ac:dyDescent="0.3">
      <c r="B1147" s="138">
        <v>46093</v>
      </c>
      <c r="C1147" s="74">
        <v>46082</v>
      </c>
      <c r="D1147" s="70" t="s">
        <v>2928</v>
      </c>
      <c r="E1147" s="75" t="s">
        <v>1790</v>
      </c>
      <c r="F1147" s="63" t="s">
        <v>6</v>
      </c>
      <c r="G1147" s="56" t="s">
        <v>2814</v>
      </c>
      <c r="H1147" s="56" t="s">
        <v>2815</v>
      </c>
      <c r="I1147" s="272" t="s">
        <v>3320</v>
      </c>
      <c r="J1147" s="345">
        <v>4</v>
      </c>
    </row>
    <row r="1148" spans="2:10" x14ac:dyDescent="0.3">
      <c r="B1148" s="138">
        <v>46093</v>
      </c>
      <c r="C1148" s="74">
        <v>46082</v>
      </c>
      <c r="D1148" s="70" t="s">
        <v>2928</v>
      </c>
      <c r="E1148" s="75" t="s">
        <v>1790</v>
      </c>
      <c r="F1148" s="63" t="s">
        <v>6</v>
      </c>
      <c r="G1148" s="56" t="s">
        <v>2816</v>
      </c>
      <c r="H1148" s="56" t="s">
        <v>2817</v>
      </c>
      <c r="I1148" s="272" t="s">
        <v>3320</v>
      </c>
      <c r="J1148" s="345">
        <v>2</v>
      </c>
    </row>
    <row r="1149" spans="2:10" x14ac:dyDescent="0.3">
      <c r="B1149" s="138">
        <v>46093</v>
      </c>
      <c r="C1149" s="74">
        <v>46082</v>
      </c>
      <c r="D1149" s="70" t="s">
        <v>2928</v>
      </c>
      <c r="E1149" s="75" t="s">
        <v>1790</v>
      </c>
      <c r="F1149" s="63" t="s">
        <v>6</v>
      </c>
      <c r="G1149" s="56" t="s">
        <v>2818</v>
      </c>
      <c r="H1149" s="56" t="s">
        <v>3352</v>
      </c>
      <c r="I1149" s="272" t="s">
        <v>3320</v>
      </c>
      <c r="J1149" s="344">
        <v>1</v>
      </c>
    </row>
    <row r="1150" spans="2:10" x14ac:dyDescent="0.3">
      <c r="B1150" s="138">
        <v>46094</v>
      </c>
      <c r="C1150" s="74">
        <v>46082</v>
      </c>
      <c r="D1150" s="70" t="s">
        <v>2928</v>
      </c>
      <c r="E1150" s="75" t="s">
        <v>1790</v>
      </c>
      <c r="F1150" s="63" t="s">
        <v>6</v>
      </c>
      <c r="G1150" s="56" t="s">
        <v>2870</v>
      </c>
      <c r="H1150" s="56" t="s">
        <v>2870</v>
      </c>
      <c r="I1150" s="272" t="s">
        <v>3320</v>
      </c>
      <c r="J1150" s="344">
        <v>4</v>
      </c>
    </row>
    <row r="1151" spans="2:10" x14ac:dyDescent="0.3">
      <c r="B1151" s="138">
        <v>46094</v>
      </c>
      <c r="C1151" s="74">
        <v>46082</v>
      </c>
      <c r="D1151" s="70" t="s">
        <v>2928</v>
      </c>
      <c r="E1151" s="75" t="s">
        <v>1790</v>
      </c>
      <c r="F1151" s="63" t="s">
        <v>6</v>
      </c>
      <c r="G1151" s="56" t="s">
        <v>2899</v>
      </c>
      <c r="H1151" s="56" t="s">
        <v>2900</v>
      </c>
      <c r="I1151" s="272" t="s">
        <v>3320</v>
      </c>
      <c r="J1151" s="344">
        <v>1</v>
      </c>
    </row>
    <row r="1152" spans="2:10" x14ac:dyDescent="0.3">
      <c r="B1152" s="138">
        <v>46094</v>
      </c>
      <c r="C1152" s="74">
        <v>46082</v>
      </c>
      <c r="D1152" s="70" t="s">
        <v>2928</v>
      </c>
      <c r="E1152" s="75" t="s">
        <v>1790</v>
      </c>
      <c r="F1152" s="63" t="s">
        <v>6</v>
      </c>
      <c r="G1152" s="56" t="s">
        <v>2814</v>
      </c>
      <c r="H1152" s="56" t="s">
        <v>2815</v>
      </c>
      <c r="I1152" s="272" t="s">
        <v>3320</v>
      </c>
      <c r="J1152" s="345">
        <v>4</v>
      </c>
    </row>
    <row r="1153" spans="2:10" x14ac:dyDescent="0.3">
      <c r="B1153" s="138">
        <v>46094</v>
      </c>
      <c r="C1153" s="74">
        <v>46082</v>
      </c>
      <c r="D1153" s="70" t="s">
        <v>2928</v>
      </c>
      <c r="E1153" s="75" t="s">
        <v>1790</v>
      </c>
      <c r="F1153" s="63" t="s">
        <v>6</v>
      </c>
      <c r="G1153" s="56" t="s">
        <v>2816</v>
      </c>
      <c r="H1153" s="56" t="s">
        <v>2817</v>
      </c>
      <c r="I1153" s="272" t="s">
        <v>3320</v>
      </c>
      <c r="J1153" s="345">
        <v>2</v>
      </c>
    </row>
    <row r="1154" spans="2:10" x14ac:dyDescent="0.3">
      <c r="B1154" s="138">
        <v>46094</v>
      </c>
      <c r="C1154" s="74">
        <v>46082</v>
      </c>
      <c r="D1154" s="70" t="s">
        <v>2928</v>
      </c>
      <c r="E1154" s="75" t="s">
        <v>1790</v>
      </c>
      <c r="F1154" s="63" t="s">
        <v>6</v>
      </c>
      <c r="G1154" s="56" t="s">
        <v>2818</v>
      </c>
      <c r="H1154" s="56" t="s">
        <v>3352</v>
      </c>
      <c r="I1154" s="272" t="s">
        <v>3320</v>
      </c>
      <c r="J1154" s="344">
        <v>1</v>
      </c>
    </row>
    <row r="1155" spans="2:10" x14ac:dyDescent="0.3">
      <c r="B1155" s="138">
        <v>46097</v>
      </c>
      <c r="C1155" s="74">
        <v>46082</v>
      </c>
      <c r="D1155" s="70" t="s">
        <v>2928</v>
      </c>
      <c r="E1155" s="75" t="s">
        <v>1790</v>
      </c>
      <c r="F1155" s="63" t="s">
        <v>6</v>
      </c>
      <c r="G1155" s="56" t="s">
        <v>2870</v>
      </c>
      <c r="H1155" s="56" t="s">
        <v>2870</v>
      </c>
      <c r="I1155" s="272" t="s">
        <v>3320</v>
      </c>
      <c r="J1155" s="344">
        <v>4</v>
      </c>
    </row>
    <row r="1156" spans="2:10" x14ac:dyDescent="0.3">
      <c r="B1156" s="138">
        <v>46097</v>
      </c>
      <c r="C1156" s="74">
        <v>46082</v>
      </c>
      <c r="D1156" s="70" t="s">
        <v>2928</v>
      </c>
      <c r="E1156" s="75" t="s">
        <v>1790</v>
      </c>
      <c r="F1156" s="63" t="s">
        <v>6</v>
      </c>
      <c r="G1156" s="56" t="s">
        <v>2899</v>
      </c>
      <c r="H1156" s="56" t="s">
        <v>2900</v>
      </c>
      <c r="I1156" s="272" t="s">
        <v>3320</v>
      </c>
      <c r="J1156" s="344">
        <v>1</v>
      </c>
    </row>
    <row r="1157" spans="2:10" x14ac:dyDescent="0.3">
      <c r="B1157" s="138">
        <v>46097</v>
      </c>
      <c r="C1157" s="74">
        <v>46082</v>
      </c>
      <c r="D1157" s="70" t="s">
        <v>2928</v>
      </c>
      <c r="E1157" s="75" t="s">
        <v>1790</v>
      </c>
      <c r="F1157" s="63" t="s">
        <v>6</v>
      </c>
      <c r="G1157" s="56" t="s">
        <v>2814</v>
      </c>
      <c r="H1157" s="56" t="s">
        <v>2815</v>
      </c>
      <c r="I1157" s="272" t="s">
        <v>3320</v>
      </c>
      <c r="J1157" s="345">
        <v>4</v>
      </c>
    </row>
    <row r="1158" spans="2:10" x14ac:dyDescent="0.3">
      <c r="B1158" s="138">
        <v>46097</v>
      </c>
      <c r="C1158" s="74">
        <v>46082</v>
      </c>
      <c r="D1158" s="70" t="s">
        <v>2928</v>
      </c>
      <c r="E1158" s="75" t="s">
        <v>1790</v>
      </c>
      <c r="F1158" s="63" t="s">
        <v>6</v>
      </c>
      <c r="G1158" s="56" t="s">
        <v>2816</v>
      </c>
      <c r="H1158" s="56" t="s">
        <v>2817</v>
      </c>
      <c r="I1158" s="272" t="s">
        <v>3320</v>
      </c>
      <c r="J1158" s="345">
        <v>2</v>
      </c>
    </row>
    <row r="1159" spans="2:10" x14ac:dyDescent="0.3">
      <c r="B1159" s="138">
        <v>46097</v>
      </c>
      <c r="C1159" s="74">
        <v>46082</v>
      </c>
      <c r="D1159" s="70" t="s">
        <v>2928</v>
      </c>
      <c r="E1159" s="75" t="s">
        <v>1790</v>
      </c>
      <c r="F1159" s="63" t="s">
        <v>6</v>
      </c>
      <c r="G1159" s="56" t="s">
        <v>2818</v>
      </c>
      <c r="H1159" s="56" t="s">
        <v>3352</v>
      </c>
      <c r="I1159" s="272" t="s">
        <v>3320</v>
      </c>
      <c r="J1159" s="344">
        <v>1</v>
      </c>
    </row>
    <row r="1160" spans="2:10" x14ac:dyDescent="0.3">
      <c r="B1160" s="138">
        <v>46098</v>
      </c>
      <c r="C1160" s="74">
        <v>46082</v>
      </c>
      <c r="D1160" s="70" t="s">
        <v>2928</v>
      </c>
      <c r="E1160" s="75" t="s">
        <v>1790</v>
      </c>
      <c r="F1160" s="63" t="s">
        <v>6</v>
      </c>
      <c r="G1160" s="56" t="s">
        <v>2870</v>
      </c>
      <c r="H1160" s="56" t="s">
        <v>2870</v>
      </c>
      <c r="I1160" s="272" t="s">
        <v>3320</v>
      </c>
      <c r="J1160" s="344">
        <v>4</v>
      </c>
    </row>
    <row r="1161" spans="2:10" x14ac:dyDescent="0.3">
      <c r="B1161" s="138">
        <v>46098</v>
      </c>
      <c r="C1161" s="74">
        <v>46082</v>
      </c>
      <c r="D1161" s="70" t="s">
        <v>2928</v>
      </c>
      <c r="E1161" s="75" t="s">
        <v>1790</v>
      </c>
      <c r="F1161" s="63" t="s">
        <v>6</v>
      </c>
      <c r="G1161" s="56" t="s">
        <v>2899</v>
      </c>
      <c r="H1161" s="56" t="s">
        <v>2900</v>
      </c>
      <c r="I1161" s="272" t="s">
        <v>3320</v>
      </c>
      <c r="J1161" s="344">
        <v>1</v>
      </c>
    </row>
    <row r="1162" spans="2:10" x14ac:dyDescent="0.3">
      <c r="B1162" s="138">
        <v>46098</v>
      </c>
      <c r="C1162" s="74">
        <v>46082</v>
      </c>
      <c r="D1162" s="70" t="s">
        <v>2928</v>
      </c>
      <c r="E1162" s="75" t="s">
        <v>1790</v>
      </c>
      <c r="F1162" s="63" t="s">
        <v>6</v>
      </c>
      <c r="G1162" s="56" t="s">
        <v>2814</v>
      </c>
      <c r="H1162" s="56" t="s">
        <v>2815</v>
      </c>
      <c r="I1162" s="272" t="s">
        <v>3320</v>
      </c>
      <c r="J1162" s="345">
        <v>4</v>
      </c>
    </row>
    <row r="1163" spans="2:10" x14ac:dyDescent="0.3">
      <c r="B1163" s="138">
        <v>46098</v>
      </c>
      <c r="C1163" s="74">
        <v>46082</v>
      </c>
      <c r="D1163" s="70" t="s">
        <v>2928</v>
      </c>
      <c r="E1163" s="75" t="s">
        <v>1790</v>
      </c>
      <c r="F1163" s="63" t="s">
        <v>6</v>
      </c>
      <c r="G1163" s="56" t="s">
        <v>2816</v>
      </c>
      <c r="H1163" s="56" t="s">
        <v>2817</v>
      </c>
      <c r="I1163" s="272" t="s">
        <v>3320</v>
      </c>
      <c r="J1163" s="345">
        <v>2</v>
      </c>
    </row>
    <row r="1164" spans="2:10" x14ac:dyDescent="0.3">
      <c r="B1164" s="138">
        <v>46098</v>
      </c>
      <c r="C1164" s="74">
        <v>46082</v>
      </c>
      <c r="D1164" s="70" t="s">
        <v>2928</v>
      </c>
      <c r="E1164" s="75" t="s">
        <v>1790</v>
      </c>
      <c r="F1164" s="63" t="s">
        <v>6</v>
      </c>
      <c r="G1164" s="56" t="s">
        <v>2818</v>
      </c>
      <c r="H1164" s="56" t="s">
        <v>3352</v>
      </c>
      <c r="I1164" s="272" t="s">
        <v>3320</v>
      </c>
      <c r="J1164" s="344">
        <v>1</v>
      </c>
    </row>
    <row r="1165" spans="2:10" x14ac:dyDescent="0.3">
      <c r="B1165" s="138">
        <v>46099</v>
      </c>
      <c r="C1165" s="74">
        <v>46082</v>
      </c>
      <c r="D1165" s="70" t="s">
        <v>2928</v>
      </c>
      <c r="E1165" s="75" t="s">
        <v>1790</v>
      </c>
      <c r="F1165" s="63" t="s">
        <v>6</v>
      </c>
      <c r="G1165" s="56" t="s">
        <v>2870</v>
      </c>
      <c r="H1165" s="56" t="s">
        <v>2870</v>
      </c>
      <c r="I1165" s="272" t="s">
        <v>3320</v>
      </c>
      <c r="J1165" s="344">
        <v>4</v>
      </c>
    </row>
    <row r="1166" spans="2:10" x14ac:dyDescent="0.3">
      <c r="B1166" s="138">
        <v>46099</v>
      </c>
      <c r="C1166" s="74">
        <v>46082</v>
      </c>
      <c r="D1166" s="70" t="s">
        <v>2928</v>
      </c>
      <c r="E1166" s="75" t="s">
        <v>1790</v>
      </c>
      <c r="F1166" s="63" t="s">
        <v>6</v>
      </c>
      <c r="G1166" s="56" t="s">
        <v>2899</v>
      </c>
      <c r="H1166" s="56" t="s">
        <v>2900</v>
      </c>
      <c r="I1166" s="272" t="s">
        <v>3320</v>
      </c>
      <c r="J1166" s="344">
        <v>1</v>
      </c>
    </row>
    <row r="1167" spans="2:10" x14ac:dyDescent="0.3">
      <c r="B1167" s="138">
        <v>46099</v>
      </c>
      <c r="C1167" s="74">
        <v>46082</v>
      </c>
      <c r="D1167" s="70" t="s">
        <v>2928</v>
      </c>
      <c r="E1167" s="75" t="s">
        <v>1790</v>
      </c>
      <c r="F1167" s="63" t="s">
        <v>6</v>
      </c>
      <c r="G1167" s="56" t="s">
        <v>2814</v>
      </c>
      <c r="H1167" s="56" t="s">
        <v>2815</v>
      </c>
      <c r="I1167" s="272" t="s">
        <v>3320</v>
      </c>
      <c r="J1167" s="345">
        <v>4</v>
      </c>
    </row>
    <row r="1168" spans="2:10" x14ac:dyDescent="0.3">
      <c r="B1168" s="138">
        <v>46099</v>
      </c>
      <c r="C1168" s="74">
        <v>46082</v>
      </c>
      <c r="D1168" s="70" t="s">
        <v>2928</v>
      </c>
      <c r="E1168" s="75" t="s">
        <v>1790</v>
      </c>
      <c r="F1168" s="63" t="s">
        <v>6</v>
      </c>
      <c r="G1168" s="56" t="s">
        <v>2816</v>
      </c>
      <c r="H1168" s="56" t="s">
        <v>2817</v>
      </c>
      <c r="I1168" s="272" t="s">
        <v>3320</v>
      </c>
      <c r="J1168" s="345">
        <v>2</v>
      </c>
    </row>
    <row r="1169" spans="2:10" x14ac:dyDescent="0.3">
      <c r="B1169" s="138">
        <v>46099</v>
      </c>
      <c r="C1169" s="74">
        <v>46082</v>
      </c>
      <c r="D1169" s="70" t="s">
        <v>2928</v>
      </c>
      <c r="E1169" s="75" t="s">
        <v>1790</v>
      </c>
      <c r="F1169" s="63" t="s">
        <v>6</v>
      </c>
      <c r="G1169" s="56" t="s">
        <v>2818</v>
      </c>
      <c r="H1169" s="56" t="s">
        <v>3352</v>
      </c>
      <c r="I1169" s="272" t="s">
        <v>3320</v>
      </c>
      <c r="J1169" s="344">
        <v>1</v>
      </c>
    </row>
    <row r="1170" spans="2:10" x14ac:dyDescent="0.3">
      <c r="B1170" s="138">
        <v>46100</v>
      </c>
      <c r="C1170" s="74">
        <v>46082</v>
      </c>
      <c r="D1170" s="70" t="s">
        <v>2928</v>
      </c>
      <c r="E1170" s="75" t="s">
        <v>1790</v>
      </c>
      <c r="F1170" s="63" t="s">
        <v>6</v>
      </c>
      <c r="G1170" s="56" t="s">
        <v>3353</v>
      </c>
      <c r="H1170" s="56" t="s">
        <v>3353</v>
      </c>
      <c r="I1170" s="272" t="s">
        <v>3320</v>
      </c>
      <c r="J1170" s="344">
        <v>3</v>
      </c>
    </row>
    <row r="1171" spans="2:10" x14ac:dyDescent="0.3">
      <c r="B1171" s="138">
        <v>46100</v>
      </c>
      <c r="C1171" s="74">
        <v>46082</v>
      </c>
      <c r="D1171" s="70" t="s">
        <v>2928</v>
      </c>
      <c r="E1171" s="75" t="s">
        <v>1790</v>
      </c>
      <c r="F1171" s="63" t="s">
        <v>6</v>
      </c>
      <c r="G1171" s="56" t="s">
        <v>2870</v>
      </c>
      <c r="H1171" s="56" t="s">
        <v>2870</v>
      </c>
      <c r="I1171" s="272" t="s">
        <v>3320</v>
      </c>
      <c r="J1171" s="344">
        <v>4</v>
      </c>
    </row>
    <row r="1172" spans="2:10" x14ac:dyDescent="0.3">
      <c r="B1172" s="138">
        <v>46100</v>
      </c>
      <c r="C1172" s="74">
        <v>46082</v>
      </c>
      <c r="D1172" s="70" t="s">
        <v>2928</v>
      </c>
      <c r="E1172" s="75" t="s">
        <v>1790</v>
      </c>
      <c r="F1172" s="63" t="s">
        <v>6</v>
      </c>
      <c r="G1172" s="56" t="s">
        <v>2899</v>
      </c>
      <c r="H1172" s="56" t="s">
        <v>2900</v>
      </c>
      <c r="I1172" s="272" t="s">
        <v>3320</v>
      </c>
      <c r="J1172" s="344">
        <v>1</v>
      </c>
    </row>
    <row r="1173" spans="2:10" x14ac:dyDescent="0.3">
      <c r="B1173" s="138">
        <v>46100</v>
      </c>
      <c r="C1173" s="74">
        <v>46082</v>
      </c>
      <c r="D1173" s="70" t="s">
        <v>2928</v>
      </c>
      <c r="E1173" s="75" t="s">
        <v>1790</v>
      </c>
      <c r="F1173" s="63" t="s">
        <v>6</v>
      </c>
      <c r="G1173" s="56" t="s">
        <v>2814</v>
      </c>
      <c r="H1173" s="56" t="s">
        <v>2815</v>
      </c>
      <c r="I1173" s="272" t="s">
        <v>3320</v>
      </c>
      <c r="J1173" s="345">
        <v>4</v>
      </c>
    </row>
    <row r="1174" spans="2:10" x14ac:dyDescent="0.3">
      <c r="B1174" s="138">
        <v>46100</v>
      </c>
      <c r="C1174" s="74">
        <v>46082</v>
      </c>
      <c r="D1174" s="70" t="s">
        <v>2928</v>
      </c>
      <c r="E1174" s="75" t="s">
        <v>1790</v>
      </c>
      <c r="F1174" s="63" t="s">
        <v>6</v>
      </c>
      <c r="G1174" s="56" t="s">
        <v>2816</v>
      </c>
      <c r="H1174" s="56" t="s">
        <v>2817</v>
      </c>
      <c r="I1174" s="272" t="s">
        <v>3320</v>
      </c>
      <c r="J1174" s="345">
        <v>2</v>
      </c>
    </row>
    <row r="1175" spans="2:10" x14ac:dyDescent="0.3">
      <c r="B1175" s="138">
        <v>46100</v>
      </c>
      <c r="C1175" s="74">
        <v>46082</v>
      </c>
      <c r="D1175" s="70" t="s">
        <v>2928</v>
      </c>
      <c r="E1175" s="75" t="s">
        <v>1790</v>
      </c>
      <c r="F1175" s="63" t="s">
        <v>6</v>
      </c>
      <c r="G1175" s="56" t="s">
        <v>2818</v>
      </c>
      <c r="H1175" s="56" t="s">
        <v>3352</v>
      </c>
      <c r="I1175" s="272" t="s">
        <v>3320</v>
      </c>
      <c r="J1175" s="344">
        <v>1</v>
      </c>
    </row>
    <row r="1176" spans="2:10" x14ac:dyDescent="0.3">
      <c r="B1176" s="138">
        <v>46101</v>
      </c>
      <c r="C1176" s="74">
        <v>46082</v>
      </c>
      <c r="D1176" s="70" t="s">
        <v>2928</v>
      </c>
      <c r="E1176" s="75" t="s">
        <v>1790</v>
      </c>
      <c r="F1176" s="63" t="s">
        <v>6</v>
      </c>
      <c r="G1176" s="56" t="s">
        <v>2870</v>
      </c>
      <c r="H1176" s="56" t="s">
        <v>2870</v>
      </c>
      <c r="I1176" s="272" t="s">
        <v>3320</v>
      </c>
      <c r="J1176" s="344">
        <v>4</v>
      </c>
    </row>
    <row r="1177" spans="2:10" x14ac:dyDescent="0.3">
      <c r="B1177" s="138">
        <v>46101</v>
      </c>
      <c r="C1177" s="74">
        <v>46082</v>
      </c>
      <c r="D1177" s="70" t="s">
        <v>2928</v>
      </c>
      <c r="E1177" s="75" t="s">
        <v>1790</v>
      </c>
      <c r="F1177" s="63" t="s">
        <v>6</v>
      </c>
      <c r="G1177" s="56" t="s">
        <v>2899</v>
      </c>
      <c r="H1177" s="56" t="s">
        <v>2900</v>
      </c>
      <c r="I1177" s="272" t="s">
        <v>3320</v>
      </c>
      <c r="J1177" s="344">
        <v>1</v>
      </c>
    </row>
    <row r="1178" spans="2:10" x14ac:dyDescent="0.3">
      <c r="B1178" s="138">
        <v>46101</v>
      </c>
      <c r="C1178" s="74">
        <v>46082</v>
      </c>
      <c r="D1178" s="70" t="s">
        <v>2928</v>
      </c>
      <c r="E1178" s="75" t="s">
        <v>1790</v>
      </c>
      <c r="F1178" s="63" t="s">
        <v>6</v>
      </c>
      <c r="G1178" s="56" t="s">
        <v>2814</v>
      </c>
      <c r="H1178" s="56" t="s">
        <v>2815</v>
      </c>
      <c r="I1178" s="272" t="s">
        <v>3320</v>
      </c>
      <c r="J1178" s="345">
        <v>4</v>
      </c>
    </row>
    <row r="1179" spans="2:10" x14ac:dyDescent="0.3">
      <c r="B1179" s="138">
        <v>46101</v>
      </c>
      <c r="C1179" s="74">
        <v>46082</v>
      </c>
      <c r="D1179" s="70" t="s">
        <v>2928</v>
      </c>
      <c r="E1179" s="75" t="s">
        <v>1790</v>
      </c>
      <c r="F1179" s="63" t="s">
        <v>6</v>
      </c>
      <c r="G1179" s="56" t="s">
        <v>2816</v>
      </c>
      <c r="H1179" s="56" t="s">
        <v>2817</v>
      </c>
      <c r="I1179" s="272" t="s">
        <v>3320</v>
      </c>
      <c r="J1179" s="345">
        <v>2</v>
      </c>
    </row>
    <row r="1180" spans="2:10" x14ac:dyDescent="0.3">
      <c r="B1180" s="138">
        <v>46101</v>
      </c>
      <c r="C1180" s="74">
        <v>46082</v>
      </c>
      <c r="D1180" s="70" t="s">
        <v>2928</v>
      </c>
      <c r="E1180" s="75" t="s">
        <v>1790</v>
      </c>
      <c r="F1180" s="63" t="s">
        <v>6</v>
      </c>
      <c r="G1180" s="56" t="s">
        <v>2818</v>
      </c>
      <c r="H1180" s="56" t="s">
        <v>3352</v>
      </c>
      <c r="I1180" s="272" t="s">
        <v>3320</v>
      </c>
      <c r="J1180" s="344">
        <v>1</v>
      </c>
    </row>
    <row r="1181" spans="2:10" ht="30" x14ac:dyDescent="0.3">
      <c r="B1181" s="397">
        <v>46104</v>
      </c>
      <c r="C1181" s="398">
        <v>46082</v>
      </c>
      <c r="D1181" s="399" t="s">
        <v>2928</v>
      </c>
      <c r="E1181" s="400" t="s">
        <v>1790</v>
      </c>
      <c r="F1181" s="267" t="s">
        <v>6</v>
      </c>
      <c r="G1181" s="394" t="s">
        <v>2870</v>
      </c>
      <c r="H1181" s="394" t="s">
        <v>3508</v>
      </c>
      <c r="I1181" s="392" t="s">
        <v>3320</v>
      </c>
      <c r="J1181" s="395">
        <v>4</v>
      </c>
    </row>
    <row r="1182" spans="2:10" ht="30" x14ac:dyDescent="0.3">
      <c r="B1182" s="397">
        <v>46104</v>
      </c>
      <c r="C1182" s="398">
        <v>46082</v>
      </c>
      <c r="D1182" s="399" t="s">
        <v>2928</v>
      </c>
      <c r="E1182" s="400" t="s">
        <v>1790</v>
      </c>
      <c r="F1182" s="267" t="s">
        <v>6</v>
      </c>
      <c r="G1182" s="394" t="s">
        <v>3509</v>
      </c>
      <c r="H1182" s="394" t="s">
        <v>3510</v>
      </c>
      <c r="I1182" s="392" t="s">
        <v>3320</v>
      </c>
      <c r="J1182" s="395">
        <v>1</v>
      </c>
    </row>
    <row r="1183" spans="2:10" ht="30" x14ac:dyDescent="0.3">
      <c r="B1183" s="397">
        <v>46104</v>
      </c>
      <c r="C1183" s="398">
        <v>46082</v>
      </c>
      <c r="D1183" s="399" t="s">
        <v>2928</v>
      </c>
      <c r="E1183" s="400" t="s">
        <v>1790</v>
      </c>
      <c r="F1183" s="267" t="s">
        <v>6</v>
      </c>
      <c r="G1183" s="394" t="s">
        <v>2814</v>
      </c>
      <c r="H1183" s="394" t="s">
        <v>3511</v>
      </c>
      <c r="I1183" s="392" t="s">
        <v>3320</v>
      </c>
      <c r="J1183" s="396">
        <v>4</v>
      </c>
    </row>
    <row r="1184" spans="2:10" ht="30" x14ac:dyDescent="0.3">
      <c r="B1184" s="397">
        <v>46104</v>
      </c>
      <c r="C1184" s="398">
        <v>46082</v>
      </c>
      <c r="D1184" s="399" t="s">
        <v>2928</v>
      </c>
      <c r="E1184" s="400" t="s">
        <v>1790</v>
      </c>
      <c r="F1184" s="267" t="s">
        <v>6</v>
      </c>
      <c r="G1184" s="394" t="s">
        <v>3514</v>
      </c>
      <c r="H1184" s="394" t="s">
        <v>3512</v>
      </c>
      <c r="I1184" s="392" t="s">
        <v>3320</v>
      </c>
      <c r="J1184" s="396">
        <v>2</v>
      </c>
    </row>
    <row r="1185" spans="2:10" x14ac:dyDescent="0.3">
      <c r="B1185" s="397">
        <v>46104</v>
      </c>
      <c r="C1185" s="398">
        <v>46082</v>
      </c>
      <c r="D1185" s="399" t="s">
        <v>2928</v>
      </c>
      <c r="E1185" s="400" t="s">
        <v>1790</v>
      </c>
      <c r="F1185" s="267" t="s">
        <v>6</v>
      </c>
      <c r="G1185" s="394" t="s">
        <v>2818</v>
      </c>
      <c r="H1185" s="394" t="s">
        <v>3513</v>
      </c>
      <c r="I1185" s="392" t="s">
        <v>3320</v>
      </c>
      <c r="J1185" s="395">
        <v>1</v>
      </c>
    </row>
    <row r="1186" spans="2:10" ht="30" x14ac:dyDescent="0.3">
      <c r="B1186" s="397">
        <v>46105</v>
      </c>
      <c r="C1186" s="398">
        <v>46082</v>
      </c>
      <c r="D1186" s="399" t="s">
        <v>2928</v>
      </c>
      <c r="E1186" s="400" t="s">
        <v>1790</v>
      </c>
      <c r="F1186" s="267" t="s">
        <v>6</v>
      </c>
      <c r="G1186" s="394" t="s">
        <v>2870</v>
      </c>
      <c r="H1186" s="394" t="s">
        <v>3508</v>
      </c>
      <c r="I1186" s="392" t="s">
        <v>3320</v>
      </c>
      <c r="J1186" s="395">
        <v>4</v>
      </c>
    </row>
    <row r="1187" spans="2:10" ht="30" x14ac:dyDescent="0.3">
      <c r="B1187" s="397">
        <v>46105</v>
      </c>
      <c r="C1187" s="398">
        <v>46082</v>
      </c>
      <c r="D1187" s="399" t="s">
        <v>2928</v>
      </c>
      <c r="E1187" s="400" t="s">
        <v>1790</v>
      </c>
      <c r="F1187" s="267" t="s">
        <v>6</v>
      </c>
      <c r="G1187" s="394" t="s">
        <v>3509</v>
      </c>
      <c r="H1187" s="394" t="s">
        <v>3510</v>
      </c>
      <c r="I1187" s="392" t="s">
        <v>3320</v>
      </c>
      <c r="J1187" s="395">
        <v>1</v>
      </c>
    </row>
    <row r="1188" spans="2:10" ht="30" x14ac:dyDescent="0.3">
      <c r="B1188" s="397">
        <v>46105</v>
      </c>
      <c r="C1188" s="398">
        <v>46082</v>
      </c>
      <c r="D1188" s="399" t="s">
        <v>2928</v>
      </c>
      <c r="E1188" s="400" t="s">
        <v>1790</v>
      </c>
      <c r="F1188" s="267" t="s">
        <v>6</v>
      </c>
      <c r="G1188" s="394" t="s">
        <v>2814</v>
      </c>
      <c r="H1188" s="394" t="s">
        <v>3511</v>
      </c>
      <c r="I1188" s="392" t="s">
        <v>3320</v>
      </c>
      <c r="J1188" s="396">
        <v>4</v>
      </c>
    </row>
    <row r="1189" spans="2:10" ht="30" x14ac:dyDescent="0.3">
      <c r="B1189" s="397">
        <v>46105</v>
      </c>
      <c r="C1189" s="398">
        <v>46082</v>
      </c>
      <c r="D1189" s="399" t="s">
        <v>2928</v>
      </c>
      <c r="E1189" s="400" t="s">
        <v>1790</v>
      </c>
      <c r="F1189" s="267" t="s">
        <v>6</v>
      </c>
      <c r="G1189" s="394" t="s">
        <v>3514</v>
      </c>
      <c r="H1189" s="394" t="s">
        <v>3512</v>
      </c>
      <c r="I1189" s="392" t="s">
        <v>3320</v>
      </c>
      <c r="J1189" s="396">
        <v>2</v>
      </c>
    </row>
    <row r="1190" spans="2:10" x14ac:dyDescent="0.3">
      <c r="B1190" s="397">
        <v>46105</v>
      </c>
      <c r="C1190" s="398">
        <v>46082</v>
      </c>
      <c r="D1190" s="399" t="s">
        <v>2928</v>
      </c>
      <c r="E1190" s="400" t="s">
        <v>1790</v>
      </c>
      <c r="F1190" s="267" t="s">
        <v>6</v>
      </c>
      <c r="G1190" s="394" t="s">
        <v>2818</v>
      </c>
      <c r="H1190" s="394" t="s">
        <v>3513</v>
      </c>
      <c r="I1190" s="392" t="s">
        <v>3320</v>
      </c>
      <c r="J1190" s="395">
        <v>1</v>
      </c>
    </row>
    <row r="1191" spans="2:10" x14ac:dyDescent="0.3">
      <c r="B1191" s="397">
        <v>46106</v>
      </c>
      <c r="C1191" s="398">
        <v>46082</v>
      </c>
      <c r="D1191" s="392" t="s">
        <v>2811</v>
      </c>
      <c r="E1191" s="392" t="s">
        <v>1790</v>
      </c>
      <c r="F1191" s="393" t="s">
        <v>6</v>
      </c>
      <c r="G1191" s="394" t="s">
        <v>3506</v>
      </c>
      <c r="H1191" s="394" t="s">
        <v>3507</v>
      </c>
      <c r="I1191" s="392" t="s">
        <v>3320</v>
      </c>
      <c r="J1191" s="395">
        <v>1</v>
      </c>
    </row>
    <row r="1192" spans="2:10" ht="30" x14ac:dyDescent="0.3">
      <c r="B1192" s="397">
        <v>46106</v>
      </c>
      <c r="C1192" s="398">
        <v>46082</v>
      </c>
      <c r="D1192" s="392" t="s">
        <v>2928</v>
      </c>
      <c r="E1192" s="392" t="s">
        <v>1790</v>
      </c>
      <c r="F1192" s="393" t="s">
        <v>6</v>
      </c>
      <c r="G1192" s="394" t="s">
        <v>2870</v>
      </c>
      <c r="H1192" s="394" t="s">
        <v>3508</v>
      </c>
      <c r="I1192" s="392" t="s">
        <v>3320</v>
      </c>
      <c r="J1192" s="395">
        <v>4</v>
      </c>
    </row>
    <row r="1193" spans="2:10" ht="30" x14ac:dyDescent="0.3">
      <c r="B1193" s="397">
        <v>46106</v>
      </c>
      <c r="C1193" s="398">
        <v>46082</v>
      </c>
      <c r="D1193" s="392" t="s">
        <v>2928</v>
      </c>
      <c r="E1193" s="392" t="s">
        <v>1790</v>
      </c>
      <c r="F1193" s="393" t="s">
        <v>6</v>
      </c>
      <c r="G1193" s="394" t="s">
        <v>3509</v>
      </c>
      <c r="H1193" s="394" t="s">
        <v>3510</v>
      </c>
      <c r="I1193" s="392" t="s">
        <v>3320</v>
      </c>
      <c r="J1193" s="395">
        <v>1</v>
      </c>
    </row>
    <row r="1194" spans="2:10" ht="30" x14ac:dyDescent="0.3">
      <c r="B1194" s="397">
        <v>46106</v>
      </c>
      <c r="C1194" s="398">
        <v>46082</v>
      </c>
      <c r="D1194" s="392" t="s">
        <v>2928</v>
      </c>
      <c r="E1194" s="392" t="s">
        <v>1790</v>
      </c>
      <c r="F1194" s="393" t="s">
        <v>6</v>
      </c>
      <c r="G1194" s="394" t="s">
        <v>2814</v>
      </c>
      <c r="H1194" s="394" t="s">
        <v>3511</v>
      </c>
      <c r="I1194" s="392" t="s">
        <v>3320</v>
      </c>
      <c r="J1194" s="396">
        <v>4</v>
      </c>
    </row>
    <row r="1195" spans="2:10" ht="30" x14ac:dyDescent="0.3">
      <c r="B1195" s="397">
        <v>46106</v>
      </c>
      <c r="C1195" s="398">
        <v>46082</v>
      </c>
      <c r="D1195" s="392" t="s">
        <v>2928</v>
      </c>
      <c r="E1195" s="392" t="s">
        <v>1790</v>
      </c>
      <c r="F1195" s="393" t="s">
        <v>6</v>
      </c>
      <c r="G1195" s="394" t="s">
        <v>3514</v>
      </c>
      <c r="H1195" s="394" t="s">
        <v>3512</v>
      </c>
      <c r="I1195" s="392" t="s">
        <v>3320</v>
      </c>
      <c r="J1195" s="396">
        <v>2</v>
      </c>
    </row>
    <row r="1196" spans="2:10" x14ac:dyDescent="0.3">
      <c r="B1196" s="397">
        <v>46106</v>
      </c>
      <c r="C1196" s="398">
        <v>46082</v>
      </c>
      <c r="D1196" s="392" t="s">
        <v>2928</v>
      </c>
      <c r="E1196" s="392" t="s">
        <v>1790</v>
      </c>
      <c r="F1196" s="393" t="s">
        <v>6</v>
      </c>
      <c r="G1196" s="394" t="s">
        <v>2818</v>
      </c>
      <c r="H1196" s="394" t="s">
        <v>3513</v>
      </c>
      <c r="I1196" s="392" t="s">
        <v>3320</v>
      </c>
      <c r="J1196" s="395">
        <v>1</v>
      </c>
    </row>
    <row r="1197" spans="2:10" ht="30" x14ac:dyDescent="0.3">
      <c r="B1197" s="397">
        <v>46107</v>
      </c>
      <c r="C1197" s="398">
        <v>46082</v>
      </c>
      <c r="D1197" s="399" t="s">
        <v>2928</v>
      </c>
      <c r="E1197" s="400" t="s">
        <v>1790</v>
      </c>
      <c r="F1197" s="267" t="s">
        <v>6</v>
      </c>
      <c r="G1197" s="394" t="s">
        <v>2870</v>
      </c>
      <c r="H1197" s="394" t="s">
        <v>3508</v>
      </c>
      <c r="I1197" s="392" t="s">
        <v>3320</v>
      </c>
      <c r="J1197" s="395">
        <v>4</v>
      </c>
    </row>
    <row r="1198" spans="2:10" ht="30" x14ac:dyDescent="0.3">
      <c r="B1198" s="397">
        <v>46107</v>
      </c>
      <c r="C1198" s="398">
        <v>46082</v>
      </c>
      <c r="D1198" s="399" t="s">
        <v>2928</v>
      </c>
      <c r="E1198" s="400" t="s">
        <v>1790</v>
      </c>
      <c r="F1198" s="267" t="s">
        <v>6</v>
      </c>
      <c r="G1198" s="394" t="s">
        <v>3509</v>
      </c>
      <c r="H1198" s="394" t="s">
        <v>3510</v>
      </c>
      <c r="I1198" s="392" t="s">
        <v>3320</v>
      </c>
      <c r="J1198" s="395">
        <v>1</v>
      </c>
    </row>
    <row r="1199" spans="2:10" ht="30" x14ac:dyDescent="0.3">
      <c r="B1199" s="397">
        <v>46107</v>
      </c>
      <c r="C1199" s="398">
        <v>46082</v>
      </c>
      <c r="D1199" s="399" t="s">
        <v>2928</v>
      </c>
      <c r="E1199" s="400" t="s">
        <v>1790</v>
      </c>
      <c r="F1199" s="267" t="s">
        <v>6</v>
      </c>
      <c r="G1199" s="394" t="s">
        <v>2814</v>
      </c>
      <c r="H1199" s="394" t="s">
        <v>3511</v>
      </c>
      <c r="I1199" s="392" t="s">
        <v>3320</v>
      </c>
      <c r="J1199" s="396">
        <v>4</v>
      </c>
    </row>
    <row r="1200" spans="2:10" ht="30" x14ac:dyDescent="0.3">
      <c r="B1200" s="397">
        <v>46107</v>
      </c>
      <c r="C1200" s="398">
        <v>46082</v>
      </c>
      <c r="D1200" s="399" t="s">
        <v>2928</v>
      </c>
      <c r="E1200" s="400" t="s">
        <v>1790</v>
      </c>
      <c r="F1200" s="267" t="s">
        <v>6</v>
      </c>
      <c r="G1200" s="394" t="s">
        <v>3514</v>
      </c>
      <c r="H1200" s="394" t="s">
        <v>3512</v>
      </c>
      <c r="I1200" s="392" t="s">
        <v>3320</v>
      </c>
      <c r="J1200" s="396">
        <v>2</v>
      </c>
    </row>
    <row r="1201" spans="2:10" x14ac:dyDescent="0.3">
      <c r="B1201" s="397">
        <v>46107</v>
      </c>
      <c r="C1201" s="398">
        <v>46082</v>
      </c>
      <c r="D1201" s="399" t="s">
        <v>2928</v>
      </c>
      <c r="E1201" s="400" t="s">
        <v>1790</v>
      </c>
      <c r="F1201" s="267" t="s">
        <v>6</v>
      </c>
      <c r="G1201" s="394" t="s">
        <v>2818</v>
      </c>
      <c r="H1201" s="394" t="s">
        <v>3513</v>
      </c>
      <c r="I1201" s="392" t="s">
        <v>3320</v>
      </c>
      <c r="J1201" s="395">
        <v>1</v>
      </c>
    </row>
    <row r="1202" spans="2:10" ht="30" x14ac:dyDescent="0.3">
      <c r="B1202" s="397">
        <v>46108</v>
      </c>
      <c r="C1202" s="398">
        <v>46082</v>
      </c>
      <c r="D1202" s="399" t="s">
        <v>2928</v>
      </c>
      <c r="E1202" s="400" t="s">
        <v>1790</v>
      </c>
      <c r="F1202" s="267" t="s">
        <v>6</v>
      </c>
      <c r="G1202" s="394" t="s">
        <v>2870</v>
      </c>
      <c r="H1202" s="394" t="s">
        <v>3508</v>
      </c>
      <c r="I1202" s="392" t="s">
        <v>3320</v>
      </c>
      <c r="J1202" s="395">
        <v>4</v>
      </c>
    </row>
    <row r="1203" spans="2:10" ht="30" x14ac:dyDescent="0.3">
      <c r="B1203" s="397">
        <v>46108</v>
      </c>
      <c r="C1203" s="398">
        <v>46082</v>
      </c>
      <c r="D1203" s="399" t="s">
        <v>2928</v>
      </c>
      <c r="E1203" s="400" t="s">
        <v>1790</v>
      </c>
      <c r="F1203" s="267" t="s">
        <v>6</v>
      </c>
      <c r="G1203" s="394" t="s">
        <v>3509</v>
      </c>
      <c r="H1203" s="394" t="s">
        <v>3510</v>
      </c>
      <c r="I1203" s="392" t="s">
        <v>3320</v>
      </c>
      <c r="J1203" s="395">
        <v>1</v>
      </c>
    </row>
    <row r="1204" spans="2:10" ht="30" x14ac:dyDescent="0.3">
      <c r="B1204" s="397">
        <v>46108</v>
      </c>
      <c r="C1204" s="398">
        <v>46082</v>
      </c>
      <c r="D1204" s="399" t="s">
        <v>2928</v>
      </c>
      <c r="E1204" s="400" t="s">
        <v>1790</v>
      </c>
      <c r="F1204" s="267" t="s">
        <v>6</v>
      </c>
      <c r="G1204" s="394" t="s">
        <v>2814</v>
      </c>
      <c r="H1204" s="394" t="s">
        <v>3511</v>
      </c>
      <c r="I1204" s="392" t="s">
        <v>3320</v>
      </c>
      <c r="J1204" s="396">
        <v>4</v>
      </c>
    </row>
    <row r="1205" spans="2:10" ht="30" x14ac:dyDescent="0.3">
      <c r="B1205" s="397">
        <v>46108</v>
      </c>
      <c r="C1205" s="398">
        <v>46082</v>
      </c>
      <c r="D1205" s="399" t="s">
        <v>2928</v>
      </c>
      <c r="E1205" s="400" t="s">
        <v>1790</v>
      </c>
      <c r="F1205" s="267" t="s">
        <v>6</v>
      </c>
      <c r="G1205" s="394" t="s">
        <v>3514</v>
      </c>
      <c r="H1205" s="394" t="s">
        <v>3512</v>
      </c>
      <c r="I1205" s="392" t="s">
        <v>3320</v>
      </c>
      <c r="J1205" s="396">
        <v>2</v>
      </c>
    </row>
    <row r="1206" spans="2:10" x14ac:dyDescent="0.3">
      <c r="B1206" s="397">
        <v>46108</v>
      </c>
      <c r="C1206" s="398">
        <v>46082</v>
      </c>
      <c r="D1206" s="399" t="s">
        <v>2928</v>
      </c>
      <c r="E1206" s="400" t="s">
        <v>1790</v>
      </c>
      <c r="F1206" s="267" t="s">
        <v>6</v>
      </c>
      <c r="G1206" s="394" t="s">
        <v>2818</v>
      </c>
      <c r="H1206" s="394" t="s">
        <v>3513</v>
      </c>
      <c r="I1206" s="392" t="s">
        <v>3320</v>
      </c>
      <c r="J1206" s="395">
        <v>1</v>
      </c>
    </row>
    <row r="1207" spans="2:10" x14ac:dyDescent="0.3">
      <c r="B1207" s="397">
        <v>46108</v>
      </c>
      <c r="C1207" s="398">
        <v>46082</v>
      </c>
      <c r="D1207" s="399" t="s">
        <v>2928</v>
      </c>
      <c r="E1207" s="400" t="s">
        <v>1790</v>
      </c>
      <c r="F1207" s="267" t="s">
        <v>6</v>
      </c>
      <c r="G1207" s="394" t="s">
        <v>3515</v>
      </c>
      <c r="H1207" s="394" t="s">
        <v>3516</v>
      </c>
      <c r="I1207" s="392" t="s">
        <v>3320</v>
      </c>
      <c r="J1207" s="395">
        <v>1</v>
      </c>
    </row>
    <row r="1208" spans="2:10" x14ac:dyDescent="0.3">
      <c r="B1208" s="397">
        <v>46108</v>
      </c>
      <c r="C1208" s="398">
        <v>46082</v>
      </c>
      <c r="D1208" s="399" t="s">
        <v>2928</v>
      </c>
      <c r="E1208" s="400" t="s">
        <v>1790</v>
      </c>
      <c r="F1208" s="267" t="s">
        <v>325</v>
      </c>
      <c r="G1208" s="394" t="s">
        <v>3554</v>
      </c>
      <c r="H1208" s="394" t="s">
        <v>3555</v>
      </c>
      <c r="I1208" s="392" t="s">
        <v>3320</v>
      </c>
      <c r="J1208" s="395">
        <v>1</v>
      </c>
    </row>
    <row r="1209" spans="2:10" ht="30" x14ac:dyDescent="0.3">
      <c r="B1209" s="397">
        <v>46111</v>
      </c>
      <c r="C1209" s="398">
        <v>46082</v>
      </c>
      <c r="D1209" s="399" t="s">
        <v>2928</v>
      </c>
      <c r="E1209" s="400" t="s">
        <v>1790</v>
      </c>
      <c r="F1209" s="267" t="s">
        <v>6</v>
      </c>
      <c r="G1209" s="394" t="s">
        <v>2870</v>
      </c>
      <c r="H1209" s="394" t="s">
        <v>3508</v>
      </c>
      <c r="I1209" s="392" t="s">
        <v>3315</v>
      </c>
      <c r="J1209" s="395">
        <v>4</v>
      </c>
    </row>
    <row r="1210" spans="2:10" ht="30" x14ac:dyDescent="0.3">
      <c r="B1210" s="397">
        <v>46111</v>
      </c>
      <c r="C1210" s="398">
        <v>46082</v>
      </c>
      <c r="D1210" s="399" t="s">
        <v>2928</v>
      </c>
      <c r="E1210" s="400" t="s">
        <v>1790</v>
      </c>
      <c r="F1210" s="267" t="s">
        <v>6</v>
      </c>
      <c r="G1210" s="394" t="s">
        <v>3509</v>
      </c>
      <c r="H1210" s="394" t="s">
        <v>3510</v>
      </c>
      <c r="I1210" s="392" t="s">
        <v>3315</v>
      </c>
      <c r="J1210" s="395">
        <v>1</v>
      </c>
    </row>
    <row r="1211" spans="2:10" ht="30" x14ac:dyDescent="0.3">
      <c r="B1211" s="397">
        <v>46111</v>
      </c>
      <c r="C1211" s="398">
        <v>46082</v>
      </c>
      <c r="D1211" s="399" t="s">
        <v>2928</v>
      </c>
      <c r="E1211" s="400" t="s">
        <v>1790</v>
      </c>
      <c r="F1211" s="267" t="s">
        <v>6</v>
      </c>
      <c r="G1211" s="394" t="s">
        <v>2814</v>
      </c>
      <c r="H1211" s="394" t="s">
        <v>3511</v>
      </c>
      <c r="I1211" s="392" t="s">
        <v>3315</v>
      </c>
      <c r="J1211" s="396">
        <v>4</v>
      </c>
    </row>
    <row r="1212" spans="2:10" ht="30" x14ac:dyDescent="0.3">
      <c r="B1212" s="397">
        <v>46111</v>
      </c>
      <c r="C1212" s="398">
        <v>46082</v>
      </c>
      <c r="D1212" s="399" t="s">
        <v>2928</v>
      </c>
      <c r="E1212" s="400" t="s">
        <v>1790</v>
      </c>
      <c r="F1212" s="267" t="s">
        <v>6</v>
      </c>
      <c r="G1212" s="394" t="s">
        <v>3514</v>
      </c>
      <c r="H1212" s="394" t="s">
        <v>3512</v>
      </c>
      <c r="I1212" s="392" t="s">
        <v>3315</v>
      </c>
      <c r="J1212" s="396">
        <v>2</v>
      </c>
    </row>
    <row r="1213" spans="2:10" x14ac:dyDescent="0.3">
      <c r="B1213" s="397">
        <v>46111</v>
      </c>
      <c r="C1213" s="398">
        <v>46082</v>
      </c>
      <c r="D1213" s="399" t="s">
        <v>2928</v>
      </c>
      <c r="E1213" s="400" t="s">
        <v>1790</v>
      </c>
      <c r="F1213" s="267" t="s">
        <v>6</v>
      </c>
      <c r="G1213" s="394" t="s">
        <v>2818</v>
      </c>
      <c r="H1213" s="394" t="s">
        <v>3513</v>
      </c>
      <c r="I1213" s="392" t="s">
        <v>3315</v>
      </c>
      <c r="J1213" s="395">
        <v>1</v>
      </c>
    </row>
    <row r="1214" spans="2:10" x14ac:dyDescent="0.3">
      <c r="B1214" s="397">
        <v>46111</v>
      </c>
      <c r="C1214" s="398">
        <v>46082</v>
      </c>
      <c r="D1214" s="399" t="s">
        <v>2928</v>
      </c>
      <c r="E1214" s="400" t="s">
        <v>1790</v>
      </c>
      <c r="F1214" s="267" t="s">
        <v>6</v>
      </c>
      <c r="G1214" s="394" t="s">
        <v>3515</v>
      </c>
      <c r="H1214" s="394" t="s">
        <v>3516</v>
      </c>
      <c r="I1214" s="392" t="s">
        <v>3315</v>
      </c>
      <c r="J1214" s="395">
        <v>1</v>
      </c>
    </row>
  </sheetData>
  <autoFilter ref="B1:H1" xr:uid="{E004C88C-C5E5-4D75-AFAF-300C90BE345E}"/>
  <conditionalFormatting sqref="F1:F10006">
    <cfRule type="cellIs" dxfId="24" priority="1" operator="equal">
      <formula>"WARNING"</formula>
    </cfRule>
    <cfRule type="cellIs" dxfId="23" priority="2" operator="equal">
      <formula>"REQ"</formula>
    </cfRule>
    <cfRule type="cellIs" dxfId="22" priority="3" operator="equal">
      <formula>"INC"</formula>
    </cfRule>
  </conditionalFormatting>
  <pageMargins left="0.3" right="0.3" top="0.3" bottom="0.3" header="0" footer="0"/>
  <pageSetup scale="53" fitToHeight="0" orientation="landscape"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02D3-EEE3-4F30-A45F-2ACC97EEA25F}">
  <sheetPr codeName="Hoja11">
    <tabColor theme="7" tint="0.39997558519241921"/>
    <pageSetUpPr fitToPage="1"/>
  </sheetPr>
  <dimension ref="A1:M724"/>
  <sheetViews>
    <sheetView showGridLines="0" zoomScale="90" zoomScaleNormal="90" workbookViewId="0">
      <pane ySplit="1" topLeftCell="A704" activePane="bottomLeft" state="frozen"/>
      <selection pane="bottomLeft" activeCell="I1" sqref="I1:J1048576"/>
    </sheetView>
  </sheetViews>
  <sheetFormatPr baseColWidth="10" defaultColWidth="11" defaultRowHeight="17.25" x14ac:dyDescent="0.3"/>
  <cols>
    <col min="1" max="1" width="3.375" style="1" customWidth="1"/>
    <col min="2" max="2" width="13.375" style="11" customWidth="1"/>
    <col min="3" max="3" width="16.875" style="11" customWidth="1"/>
    <col min="4" max="4" width="29.125" style="2" customWidth="1"/>
    <col min="5" max="5" width="20.875" style="2" customWidth="1"/>
    <col min="6" max="6" width="14.625" style="11" bestFit="1" customWidth="1"/>
    <col min="7" max="7" width="49.125" style="2" customWidth="1"/>
    <col min="8" max="8" width="65.5" style="2" customWidth="1"/>
    <col min="9" max="9" width="21.5" style="422" customWidth="1"/>
    <col min="10" max="10" width="18.625" style="422" customWidth="1"/>
    <col min="11" max="13" width="11" style="1" customWidth="1"/>
    <col min="14" max="14" width="11" style="2" customWidth="1"/>
    <col min="15" max="16384" width="11" style="2"/>
  </cols>
  <sheetData>
    <row r="1" spans="1:13" s="4" customFormat="1" ht="35.1" customHeight="1" x14ac:dyDescent="0.25">
      <c r="A1" s="3"/>
      <c r="B1" s="8" t="s">
        <v>16</v>
      </c>
      <c r="C1" s="8" t="s">
        <v>17</v>
      </c>
      <c r="D1" s="8" t="s">
        <v>18</v>
      </c>
      <c r="E1" s="8" t="s">
        <v>19</v>
      </c>
      <c r="F1" s="8" t="s">
        <v>20</v>
      </c>
      <c r="G1" s="8" t="s">
        <v>21</v>
      </c>
      <c r="H1" s="8" t="s">
        <v>22</v>
      </c>
      <c r="I1" s="280" t="s">
        <v>3266</v>
      </c>
      <c r="J1" s="280" t="s">
        <v>3269</v>
      </c>
      <c r="K1" s="3"/>
      <c r="L1" s="3"/>
      <c r="M1" s="3"/>
    </row>
    <row r="2" spans="1:13" customFormat="1" ht="15.75" x14ac:dyDescent="0.25">
      <c r="B2" s="139">
        <v>45889</v>
      </c>
      <c r="C2" s="103">
        <v>45870</v>
      </c>
      <c r="D2" s="68" t="s">
        <v>2928</v>
      </c>
      <c r="E2" s="68" t="s">
        <v>3044</v>
      </c>
      <c r="F2" s="47" t="s">
        <v>6</v>
      </c>
      <c r="G2" s="67" t="s">
        <v>3045</v>
      </c>
      <c r="H2" s="68" t="s">
        <v>3046</v>
      </c>
      <c r="I2" s="230"/>
      <c r="J2" s="230"/>
    </row>
    <row r="3" spans="1:13" customFormat="1" ht="15.75" x14ac:dyDescent="0.25">
      <c r="B3" s="140">
        <v>45889</v>
      </c>
      <c r="C3" s="103">
        <v>45870</v>
      </c>
      <c r="D3" s="70" t="s">
        <v>2928</v>
      </c>
      <c r="E3" s="70" t="s">
        <v>3044</v>
      </c>
      <c r="F3" s="47" t="s">
        <v>6</v>
      </c>
      <c r="G3" s="69" t="s">
        <v>3047</v>
      </c>
      <c r="H3" s="70" t="s">
        <v>3048</v>
      </c>
      <c r="I3" s="230"/>
      <c r="J3" s="230"/>
    </row>
    <row r="4" spans="1:13" customFormat="1" ht="15.75" x14ac:dyDescent="0.25">
      <c r="B4" s="140">
        <v>45889</v>
      </c>
      <c r="C4" s="103">
        <v>45870</v>
      </c>
      <c r="D4" s="70" t="s">
        <v>2928</v>
      </c>
      <c r="E4" s="70" t="s">
        <v>3044</v>
      </c>
      <c r="F4" s="47" t="s">
        <v>6</v>
      </c>
      <c r="G4" s="69" t="s">
        <v>3049</v>
      </c>
      <c r="H4" s="70" t="s">
        <v>3050</v>
      </c>
      <c r="I4" s="230"/>
      <c r="J4" s="230"/>
    </row>
    <row r="5" spans="1:13" customFormat="1" ht="15.75" x14ac:dyDescent="0.25">
      <c r="B5" s="140">
        <v>45890</v>
      </c>
      <c r="C5" s="103">
        <v>45870</v>
      </c>
      <c r="D5" s="70" t="s">
        <v>2928</v>
      </c>
      <c r="E5" s="70" t="s">
        <v>3044</v>
      </c>
      <c r="F5" s="47" t="s">
        <v>6</v>
      </c>
      <c r="G5" s="69" t="s">
        <v>3051</v>
      </c>
      <c r="H5" s="70" t="s">
        <v>3052</v>
      </c>
      <c r="I5" s="230"/>
      <c r="J5" s="230"/>
    </row>
    <row r="6" spans="1:13" customFormat="1" ht="15.75" x14ac:dyDescent="0.25">
      <c r="B6" s="140">
        <v>45890</v>
      </c>
      <c r="C6" s="103">
        <v>45870</v>
      </c>
      <c r="D6" s="70" t="s">
        <v>2928</v>
      </c>
      <c r="E6" s="70" t="s">
        <v>3044</v>
      </c>
      <c r="F6" s="47" t="s">
        <v>6</v>
      </c>
      <c r="G6" s="69" t="s">
        <v>3045</v>
      </c>
      <c r="H6" s="70" t="s">
        <v>3046</v>
      </c>
      <c r="I6" s="230"/>
      <c r="J6" s="230"/>
    </row>
    <row r="7" spans="1:13" customFormat="1" ht="15.75" x14ac:dyDescent="0.25">
      <c r="B7" s="140">
        <v>45890</v>
      </c>
      <c r="C7" s="103">
        <v>45870</v>
      </c>
      <c r="D7" s="70" t="s">
        <v>2928</v>
      </c>
      <c r="E7" s="70" t="s">
        <v>3044</v>
      </c>
      <c r="F7" s="47" t="s">
        <v>6</v>
      </c>
      <c r="G7" s="69" t="s">
        <v>3047</v>
      </c>
      <c r="H7" s="70" t="s">
        <v>3048</v>
      </c>
      <c r="I7" s="230"/>
      <c r="J7" s="230"/>
    </row>
    <row r="8" spans="1:13" customFormat="1" ht="15.75" x14ac:dyDescent="0.25">
      <c r="B8" s="140">
        <v>45890</v>
      </c>
      <c r="C8" s="103">
        <v>45870</v>
      </c>
      <c r="D8" s="70" t="s">
        <v>2928</v>
      </c>
      <c r="E8" s="70" t="s">
        <v>3044</v>
      </c>
      <c r="F8" s="47" t="s">
        <v>6</v>
      </c>
      <c r="G8" s="69" t="s">
        <v>3051</v>
      </c>
      <c r="H8" s="70" t="s">
        <v>3052</v>
      </c>
      <c r="I8" s="230"/>
      <c r="J8" s="230"/>
    </row>
    <row r="9" spans="1:13" customFormat="1" ht="15.75" x14ac:dyDescent="0.25">
      <c r="B9" s="140">
        <v>45891</v>
      </c>
      <c r="C9" s="103">
        <v>45870</v>
      </c>
      <c r="D9" s="70" t="s">
        <v>2928</v>
      </c>
      <c r="E9" s="70" t="s">
        <v>3044</v>
      </c>
      <c r="F9" s="47" t="s">
        <v>6</v>
      </c>
      <c r="G9" s="69" t="s">
        <v>3045</v>
      </c>
      <c r="H9" s="70" t="s">
        <v>3046</v>
      </c>
      <c r="I9" s="230"/>
      <c r="J9" s="230"/>
    </row>
    <row r="10" spans="1:13" customFormat="1" ht="15.75" x14ac:dyDescent="0.25">
      <c r="B10" s="140">
        <v>45891</v>
      </c>
      <c r="C10" s="103">
        <v>45870</v>
      </c>
      <c r="D10" s="70" t="s">
        <v>2928</v>
      </c>
      <c r="E10" s="70" t="s">
        <v>3044</v>
      </c>
      <c r="F10" s="47" t="s">
        <v>6</v>
      </c>
      <c r="G10" s="69" t="s">
        <v>3047</v>
      </c>
      <c r="H10" s="70" t="s">
        <v>3048</v>
      </c>
      <c r="I10" s="230"/>
      <c r="J10" s="230"/>
    </row>
    <row r="11" spans="1:13" customFormat="1" ht="15.75" x14ac:dyDescent="0.25">
      <c r="B11" s="140">
        <v>45891</v>
      </c>
      <c r="C11" s="103">
        <v>45870</v>
      </c>
      <c r="D11" s="70" t="s">
        <v>2928</v>
      </c>
      <c r="E11" s="70" t="s">
        <v>3044</v>
      </c>
      <c r="F11" s="47" t="s">
        <v>6</v>
      </c>
      <c r="G11" s="69" t="s">
        <v>3051</v>
      </c>
      <c r="H11" s="70" t="s">
        <v>3052</v>
      </c>
      <c r="I11" s="230"/>
      <c r="J11" s="230"/>
    </row>
    <row r="12" spans="1:13" x14ac:dyDescent="0.3">
      <c r="B12" s="140">
        <v>45891</v>
      </c>
      <c r="C12" s="103">
        <v>45870</v>
      </c>
      <c r="D12" s="70" t="s">
        <v>2928</v>
      </c>
      <c r="E12" s="70" t="s">
        <v>3044</v>
      </c>
      <c r="F12" s="47" t="s">
        <v>6</v>
      </c>
      <c r="G12" s="69" t="s">
        <v>3045</v>
      </c>
      <c r="H12" s="70" t="s">
        <v>3046</v>
      </c>
    </row>
    <row r="13" spans="1:13" x14ac:dyDescent="0.3">
      <c r="B13" s="140">
        <v>45891</v>
      </c>
      <c r="C13" s="103">
        <v>45870</v>
      </c>
      <c r="D13" s="70" t="s">
        <v>2928</v>
      </c>
      <c r="E13" s="70" t="s">
        <v>3044</v>
      </c>
      <c r="F13" s="47" t="s">
        <v>6</v>
      </c>
      <c r="G13" s="69" t="s">
        <v>3049</v>
      </c>
      <c r="H13" s="70" t="s">
        <v>3050</v>
      </c>
    </row>
    <row r="14" spans="1:13" x14ac:dyDescent="0.3">
      <c r="B14" s="140">
        <v>45891</v>
      </c>
      <c r="C14" s="103">
        <v>45870</v>
      </c>
      <c r="D14" s="70" t="s">
        <v>2928</v>
      </c>
      <c r="E14" s="70" t="s">
        <v>3044</v>
      </c>
      <c r="F14" s="47" t="s">
        <v>6</v>
      </c>
      <c r="G14" s="69" t="s">
        <v>3051</v>
      </c>
      <c r="H14" s="70" t="s">
        <v>3052</v>
      </c>
    </row>
    <row r="15" spans="1:13" x14ac:dyDescent="0.3">
      <c r="B15" s="140">
        <v>45891</v>
      </c>
      <c r="C15" s="103">
        <v>45870</v>
      </c>
      <c r="D15" s="70" t="s">
        <v>2928</v>
      </c>
      <c r="E15" s="70" t="s">
        <v>3044</v>
      </c>
      <c r="F15" s="47" t="s">
        <v>6</v>
      </c>
      <c r="G15" s="69" t="s">
        <v>3045</v>
      </c>
      <c r="H15" s="70" t="s">
        <v>3046</v>
      </c>
    </row>
    <row r="16" spans="1:13" x14ac:dyDescent="0.3">
      <c r="B16" s="140">
        <v>45891</v>
      </c>
      <c r="C16" s="103">
        <v>45870</v>
      </c>
      <c r="D16" s="70" t="s">
        <v>2928</v>
      </c>
      <c r="E16" s="70" t="s">
        <v>3044</v>
      </c>
      <c r="F16" s="47" t="s">
        <v>6</v>
      </c>
      <c r="G16" s="69" t="s">
        <v>3047</v>
      </c>
      <c r="H16" s="70" t="s">
        <v>3048</v>
      </c>
    </row>
    <row r="17" spans="2:8" x14ac:dyDescent="0.3">
      <c r="B17" s="140">
        <v>45894</v>
      </c>
      <c r="C17" s="103">
        <v>45870</v>
      </c>
      <c r="D17" s="70" t="s">
        <v>2928</v>
      </c>
      <c r="E17" s="70" t="s">
        <v>3044</v>
      </c>
      <c r="F17" s="47" t="s">
        <v>6</v>
      </c>
      <c r="G17" s="53" t="s">
        <v>2856</v>
      </c>
      <c r="H17" s="29" t="s">
        <v>2857</v>
      </c>
    </row>
    <row r="18" spans="2:8" x14ac:dyDescent="0.3">
      <c r="B18" s="140">
        <v>45894</v>
      </c>
      <c r="C18" s="103">
        <v>45870</v>
      </c>
      <c r="D18" s="70" t="s">
        <v>2928</v>
      </c>
      <c r="E18" s="70" t="s">
        <v>3044</v>
      </c>
      <c r="F18" s="47" t="s">
        <v>6</v>
      </c>
      <c r="G18" s="69" t="s">
        <v>3051</v>
      </c>
      <c r="H18" s="70" t="s">
        <v>3052</v>
      </c>
    </row>
    <row r="19" spans="2:8" x14ac:dyDescent="0.3">
      <c r="B19" s="140">
        <v>45894</v>
      </c>
      <c r="C19" s="103">
        <v>45870</v>
      </c>
      <c r="D19" s="70" t="s">
        <v>2928</v>
      </c>
      <c r="E19" s="70" t="s">
        <v>3044</v>
      </c>
      <c r="F19" s="47" t="s">
        <v>6</v>
      </c>
      <c r="G19" s="69" t="s">
        <v>3045</v>
      </c>
      <c r="H19" s="70" t="s">
        <v>3046</v>
      </c>
    </row>
    <row r="20" spans="2:8" x14ac:dyDescent="0.3">
      <c r="B20" s="140">
        <v>45894</v>
      </c>
      <c r="C20" s="103">
        <v>45870</v>
      </c>
      <c r="D20" s="70" t="s">
        <v>2928</v>
      </c>
      <c r="E20" s="70" t="s">
        <v>3044</v>
      </c>
      <c r="F20" s="47" t="s">
        <v>6</v>
      </c>
      <c r="G20" s="69" t="s">
        <v>3047</v>
      </c>
      <c r="H20" s="70" t="s">
        <v>3048</v>
      </c>
    </row>
    <row r="21" spans="2:8" x14ac:dyDescent="0.3">
      <c r="B21" s="140">
        <v>45894</v>
      </c>
      <c r="C21" s="103">
        <v>45870</v>
      </c>
      <c r="D21" s="70" t="s">
        <v>2928</v>
      </c>
      <c r="E21" s="70" t="s">
        <v>3044</v>
      </c>
      <c r="F21" s="47" t="s">
        <v>6</v>
      </c>
      <c r="G21" s="69" t="s">
        <v>3049</v>
      </c>
      <c r="H21" s="70" t="s">
        <v>3050</v>
      </c>
    </row>
    <row r="22" spans="2:8" x14ac:dyDescent="0.3">
      <c r="B22" s="140">
        <v>45894</v>
      </c>
      <c r="C22" s="103">
        <v>45870</v>
      </c>
      <c r="D22" s="70" t="s">
        <v>2928</v>
      </c>
      <c r="E22" s="70" t="s">
        <v>3044</v>
      </c>
      <c r="F22" s="47" t="s">
        <v>6</v>
      </c>
      <c r="G22" s="69" t="s">
        <v>3053</v>
      </c>
      <c r="H22" s="70" t="s">
        <v>3054</v>
      </c>
    </row>
    <row r="23" spans="2:8" x14ac:dyDescent="0.3">
      <c r="B23" s="140">
        <v>45895</v>
      </c>
      <c r="C23" s="103">
        <v>45870</v>
      </c>
      <c r="D23" s="70" t="s">
        <v>2928</v>
      </c>
      <c r="E23" s="70" t="s">
        <v>3044</v>
      </c>
      <c r="F23" s="47" t="s">
        <v>6</v>
      </c>
      <c r="G23" s="53" t="s">
        <v>2856</v>
      </c>
      <c r="H23" s="29" t="s">
        <v>2857</v>
      </c>
    </row>
    <row r="24" spans="2:8" x14ac:dyDescent="0.3">
      <c r="B24" s="140">
        <v>45895</v>
      </c>
      <c r="C24" s="103">
        <v>45870</v>
      </c>
      <c r="D24" s="70" t="s">
        <v>2928</v>
      </c>
      <c r="E24" s="70" t="s">
        <v>3044</v>
      </c>
      <c r="F24" s="47" t="s">
        <v>6</v>
      </c>
      <c r="G24" s="69" t="s">
        <v>3051</v>
      </c>
      <c r="H24" s="70" t="s">
        <v>3052</v>
      </c>
    </row>
    <row r="25" spans="2:8" x14ac:dyDescent="0.3">
      <c r="B25" s="140">
        <v>45895</v>
      </c>
      <c r="C25" s="103">
        <v>45870</v>
      </c>
      <c r="D25" s="70" t="s">
        <v>2928</v>
      </c>
      <c r="E25" s="70" t="s">
        <v>3044</v>
      </c>
      <c r="F25" s="47" t="s">
        <v>6</v>
      </c>
      <c r="G25" s="69" t="s">
        <v>3045</v>
      </c>
      <c r="H25" s="70" t="s">
        <v>3046</v>
      </c>
    </row>
    <row r="26" spans="2:8" x14ac:dyDescent="0.3">
      <c r="B26" s="140">
        <v>45895</v>
      </c>
      <c r="C26" s="103">
        <v>45870</v>
      </c>
      <c r="D26" s="70" t="s">
        <v>2928</v>
      </c>
      <c r="E26" s="70" t="s">
        <v>3044</v>
      </c>
      <c r="F26" s="47" t="s">
        <v>6</v>
      </c>
      <c r="G26" s="69" t="s">
        <v>3047</v>
      </c>
      <c r="H26" s="70" t="s">
        <v>3048</v>
      </c>
    </row>
    <row r="27" spans="2:8" x14ac:dyDescent="0.3">
      <c r="B27" s="140">
        <v>45895</v>
      </c>
      <c r="C27" s="103">
        <v>45870</v>
      </c>
      <c r="D27" s="70" t="s">
        <v>2928</v>
      </c>
      <c r="E27" s="70" t="s">
        <v>3044</v>
      </c>
      <c r="F27" s="47" t="s">
        <v>6</v>
      </c>
      <c r="G27" s="69" t="s">
        <v>3053</v>
      </c>
      <c r="H27" s="70" t="s">
        <v>3054</v>
      </c>
    </row>
    <row r="28" spans="2:8" x14ac:dyDescent="0.3">
      <c r="B28" s="140">
        <v>45896</v>
      </c>
      <c r="C28" s="103">
        <v>45870</v>
      </c>
      <c r="D28" s="70" t="s">
        <v>2928</v>
      </c>
      <c r="E28" s="70" t="s">
        <v>3044</v>
      </c>
      <c r="F28" s="47" t="s">
        <v>6</v>
      </c>
      <c r="G28" s="53" t="s">
        <v>2856</v>
      </c>
      <c r="H28" s="29" t="s">
        <v>2857</v>
      </c>
    </row>
    <row r="29" spans="2:8" x14ac:dyDescent="0.3">
      <c r="B29" s="140">
        <v>45896</v>
      </c>
      <c r="C29" s="103">
        <v>45870</v>
      </c>
      <c r="D29" s="70" t="s">
        <v>2928</v>
      </c>
      <c r="E29" s="70" t="s">
        <v>3044</v>
      </c>
      <c r="F29" s="47" t="s">
        <v>6</v>
      </c>
      <c r="G29" s="69" t="s">
        <v>3051</v>
      </c>
      <c r="H29" s="70" t="s">
        <v>3052</v>
      </c>
    </row>
    <row r="30" spans="2:8" x14ac:dyDescent="0.3">
      <c r="B30" s="140">
        <v>45896</v>
      </c>
      <c r="C30" s="103">
        <v>45870</v>
      </c>
      <c r="D30" s="70" t="s">
        <v>2928</v>
      </c>
      <c r="E30" s="70" t="s">
        <v>3044</v>
      </c>
      <c r="F30" s="47" t="s">
        <v>6</v>
      </c>
      <c r="G30" s="69" t="s">
        <v>3045</v>
      </c>
      <c r="H30" s="70" t="s">
        <v>3046</v>
      </c>
    </row>
    <row r="31" spans="2:8" x14ac:dyDescent="0.3">
      <c r="B31" s="140">
        <v>45896</v>
      </c>
      <c r="C31" s="103">
        <v>45870</v>
      </c>
      <c r="D31" s="70" t="s">
        <v>2928</v>
      </c>
      <c r="E31" s="70" t="s">
        <v>3044</v>
      </c>
      <c r="F31" s="47" t="s">
        <v>6</v>
      </c>
      <c r="G31" s="69" t="s">
        <v>3047</v>
      </c>
      <c r="H31" s="70" t="s">
        <v>3048</v>
      </c>
    </row>
    <row r="32" spans="2:8" x14ac:dyDescent="0.3">
      <c r="B32" s="140">
        <v>45896</v>
      </c>
      <c r="C32" s="103">
        <v>45870</v>
      </c>
      <c r="D32" s="70" t="s">
        <v>2928</v>
      </c>
      <c r="E32" s="70" t="s">
        <v>3044</v>
      </c>
      <c r="F32" s="47" t="s">
        <v>6</v>
      </c>
      <c r="G32" s="69" t="s">
        <v>3053</v>
      </c>
      <c r="H32" s="70" t="s">
        <v>3054</v>
      </c>
    </row>
    <row r="33" spans="2:8" x14ac:dyDescent="0.3">
      <c r="B33" s="140">
        <v>45897</v>
      </c>
      <c r="C33" s="103">
        <v>45870</v>
      </c>
      <c r="D33" s="70" t="s">
        <v>2928</v>
      </c>
      <c r="E33" s="70" t="s">
        <v>3044</v>
      </c>
      <c r="F33" s="47" t="s">
        <v>6</v>
      </c>
      <c r="G33" s="53" t="s">
        <v>2856</v>
      </c>
      <c r="H33" s="29" t="s">
        <v>2857</v>
      </c>
    </row>
    <row r="34" spans="2:8" x14ac:dyDescent="0.3">
      <c r="B34" s="140">
        <v>45897</v>
      </c>
      <c r="C34" s="103">
        <v>45870</v>
      </c>
      <c r="D34" s="70" t="s">
        <v>2928</v>
      </c>
      <c r="E34" s="70" t="s">
        <v>3044</v>
      </c>
      <c r="F34" s="47" t="s">
        <v>6</v>
      </c>
      <c r="G34" s="69" t="s">
        <v>3051</v>
      </c>
      <c r="H34" s="70" t="s">
        <v>3052</v>
      </c>
    </row>
    <row r="35" spans="2:8" x14ac:dyDescent="0.3">
      <c r="B35" s="140">
        <v>45897</v>
      </c>
      <c r="C35" s="103">
        <v>45870</v>
      </c>
      <c r="D35" s="70" t="s">
        <v>2928</v>
      </c>
      <c r="E35" s="70" t="s">
        <v>3044</v>
      </c>
      <c r="F35" s="47" t="s">
        <v>6</v>
      </c>
      <c r="G35" s="69" t="s">
        <v>3045</v>
      </c>
      <c r="H35" s="70" t="s">
        <v>3046</v>
      </c>
    </row>
    <row r="36" spans="2:8" x14ac:dyDescent="0.3">
      <c r="B36" s="140">
        <v>45897</v>
      </c>
      <c r="C36" s="103">
        <v>45870</v>
      </c>
      <c r="D36" s="70" t="s">
        <v>2928</v>
      </c>
      <c r="E36" s="70" t="s">
        <v>3044</v>
      </c>
      <c r="F36" s="47" t="s">
        <v>6</v>
      </c>
      <c r="G36" s="69" t="s">
        <v>3047</v>
      </c>
      <c r="H36" s="70" t="s">
        <v>3048</v>
      </c>
    </row>
    <row r="37" spans="2:8" x14ac:dyDescent="0.3">
      <c r="B37" s="140">
        <v>45897</v>
      </c>
      <c r="C37" s="103">
        <v>45870</v>
      </c>
      <c r="D37" s="70" t="s">
        <v>2928</v>
      </c>
      <c r="E37" s="70" t="s">
        <v>3044</v>
      </c>
      <c r="F37" s="47" t="s">
        <v>6</v>
      </c>
      <c r="G37" s="69" t="s">
        <v>3053</v>
      </c>
      <c r="H37" s="70" t="s">
        <v>3054</v>
      </c>
    </row>
    <row r="38" spans="2:8" x14ac:dyDescent="0.3">
      <c r="B38" s="140">
        <v>45898</v>
      </c>
      <c r="C38" s="103">
        <v>45870</v>
      </c>
      <c r="D38" s="70" t="s">
        <v>2928</v>
      </c>
      <c r="E38" s="70" t="s">
        <v>3044</v>
      </c>
      <c r="F38" s="47" t="s">
        <v>6</v>
      </c>
      <c r="G38" s="53" t="s">
        <v>2856</v>
      </c>
      <c r="H38" s="29" t="s">
        <v>2857</v>
      </c>
    </row>
    <row r="39" spans="2:8" x14ac:dyDescent="0.3">
      <c r="B39" s="140">
        <v>45898</v>
      </c>
      <c r="C39" s="103">
        <v>45870</v>
      </c>
      <c r="D39" s="70" t="s">
        <v>2928</v>
      </c>
      <c r="E39" s="70" t="s">
        <v>3044</v>
      </c>
      <c r="F39" s="47" t="s">
        <v>6</v>
      </c>
      <c r="G39" s="69" t="s">
        <v>3051</v>
      </c>
      <c r="H39" s="70" t="s">
        <v>3052</v>
      </c>
    </row>
    <row r="40" spans="2:8" x14ac:dyDescent="0.3">
      <c r="B40" s="140">
        <v>45898</v>
      </c>
      <c r="C40" s="103">
        <v>45870</v>
      </c>
      <c r="D40" s="70" t="s">
        <v>2928</v>
      </c>
      <c r="E40" s="70" t="s">
        <v>3044</v>
      </c>
      <c r="F40" s="47" t="s">
        <v>6</v>
      </c>
      <c r="G40" s="69" t="s">
        <v>3045</v>
      </c>
      <c r="H40" s="70" t="s">
        <v>3046</v>
      </c>
    </row>
    <row r="41" spans="2:8" x14ac:dyDescent="0.3">
      <c r="B41" s="140">
        <v>45898</v>
      </c>
      <c r="C41" s="103">
        <v>45870</v>
      </c>
      <c r="D41" s="70" t="s">
        <v>2928</v>
      </c>
      <c r="E41" s="70" t="s">
        <v>3044</v>
      </c>
      <c r="F41" s="47" t="s">
        <v>6</v>
      </c>
      <c r="G41" s="69" t="s">
        <v>3047</v>
      </c>
      <c r="H41" s="70" t="s">
        <v>3048</v>
      </c>
    </row>
    <row r="42" spans="2:8" x14ac:dyDescent="0.3">
      <c r="B42" s="140">
        <v>45898</v>
      </c>
      <c r="C42" s="103">
        <v>45870</v>
      </c>
      <c r="D42" s="70" t="s">
        <v>2928</v>
      </c>
      <c r="E42" s="70" t="s">
        <v>3044</v>
      </c>
      <c r="F42" s="47" t="s">
        <v>6</v>
      </c>
      <c r="G42" s="69" t="s">
        <v>3049</v>
      </c>
      <c r="H42" s="70" t="s">
        <v>3050</v>
      </c>
    </row>
    <row r="43" spans="2:8" x14ac:dyDescent="0.3">
      <c r="B43" s="140">
        <v>45898</v>
      </c>
      <c r="C43" s="103">
        <v>45870</v>
      </c>
      <c r="D43" s="70" t="s">
        <v>2928</v>
      </c>
      <c r="E43" s="70" t="s">
        <v>3044</v>
      </c>
      <c r="F43" s="47" t="s">
        <v>6</v>
      </c>
      <c r="G43" s="69" t="s">
        <v>3053</v>
      </c>
      <c r="H43" s="70" t="s">
        <v>3054</v>
      </c>
    </row>
    <row r="44" spans="2:8" x14ac:dyDescent="0.3">
      <c r="B44" s="140">
        <v>45900</v>
      </c>
      <c r="C44" s="103">
        <v>45870</v>
      </c>
      <c r="D44" s="70" t="s">
        <v>2928</v>
      </c>
      <c r="E44" s="70" t="s">
        <v>3044</v>
      </c>
      <c r="F44" s="64" t="s">
        <v>4</v>
      </c>
      <c r="G44" s="69" t="s">
        <v>3055</v>
      </c>
      <c r="H44" s="70" t="s">
        <v>3056</v>
      </c>
    </row>
    <row r="45" spans="2:8" x14ac:dyDescent="0.3">
      <c r="B45" s="140">
        <v>45901</v>
      </c>
      <c r="C45" s="103">
        <v>45901</v>
      </c>
      <c r="D45" s="70" t="s">
        <v>2928</v>
      </c>
      <c r="E45" s="70" t="s">
        <v>3044</v>
      </c>
      <c r="F45" s="47" t="s">
        <v>6</v>
      </c>
      <c r="G45" s="69" t="s">
        <v>3049</v>
      </c>
      <c r="H45" s="70" t="s">
        <v>3050</v>
      </c>
    </row>
    <row r="46" spans="2:8" x14ac:dyDescent="0.3">
      <c r="B46" s="140">
        <v>45901</v>
      </c>
      <c r="C46" s="103">
        <v>45901</v>
      </c>
      <c r="D46" s="70" t="s">
        <v>2928</v>
      </c>
      <c r="E46" s="70" t="s">
        <v>3044</v>
      </c>
      <c r="F46" s="47" t="s">
        <v>6</v>
      </c>
      <c r="G46" s="69" t="s">
        <v>3051</v>
      </c>
      <c r="H46" s="70" t="s">
        <v>3052</v>
      </c>
    </row>
    <row r="47" spans="2:8" x14ac:dyDescent="0.3">
      <c r="B47" s="140">
        <v>45901</v>
      </c>
      <c r="C47" s="103">
        <v>45901</v>
      </c>
      <c r="D47" s="70" t="s">
        <v>2928</v>
      </c>
      <c r="E47" s="70" t="s">
        <v>3044</v>
      </c>
      <c r="F47" s="47" t="s">
        <v>6</v>
      </c>
      <c r="G47" s="69" t="s">
        <v>3045</v>
      </c>
      <c r="H47" s="70" t="s">
        <v>3046</v>
      </c>
    </row>
    <row r="48" spans="2:8" x14ac:dyDescent="0.3">
      <c r="B48" s="140">
        <v>45902</v>
      </c>
      <c r="C48" s="103">
        <v>45901</v>
      </c>
      <c r="D48" s="70" t="s">
        <v>2928</v>
      </c>
      <c r="E48" s="70" t="s">
        <v>3044</v>
      </c>
      <c r="F48" s="64" t="s">
        <v>4</v>
      </c>
      <c r="G48" s="69" t="s">
        <v>3057</v>
      </c>
      <c r="H48" s="70" t="s">
        <v>3058</v>
      </c>
    </row>
    <row r="49" spans="2:8" x14ac:dyDescent="0.3">
      <c r="B49" s="140">
        <v>45902</v>
      </c>
      <c r="C49" s="103">
        <v>45901</v>
      </c>
      <c r="D49" s="70" t="s">
        <v>2928</v>
      </c>
      <c r="E49" s="70" t="s">
        <v>3044</v>
      </c>
      <c r="F49" s="47" t="s">
        <v>6</v>
      </c>
      <c r="G49" s="69" t="s">
        <v>3047</v>
      </c>
      <c r="H49" s="70" t="s">
        <v>3048</v>
      </c>
    </row>
    <row r="50" spans="2:8" x14ac:dyDescent="0.3">
      <c r="B50" s="140">
        <v>45903</v>
      </c>
      <c r="C50" s="103">
        <v>45901</v>
      </c>
      <c r="D50" s="70" t="s">
        <v>2928</v>
      </c>
      <c r="E50" s="70" t="s">
        <v>3044</v>
      </c>
      <c r="F50" s="47" t="s">
        <v>6</v>
      </c>
      <c r="G50" s="69" t="s">
        <v>3049</v>
      </c>
      <c r="H50" s="70" t="s">
        <v>3050</v>
      </c>
    </row>
    <row r="51" spans="2:8" x14ac:dyDescent="0.3">
      <c r="B51" s="140">
        <v>45903</v>
      </c>
      <c r="C51" s="103">
        <v>45901</v>
      </c>
      <c r="D51" s="70" t="s">
        <v>2928</v>
      </c>
      <c r="E51" s="70" t="s">
        <v>3044</v>
      </c>
      <c r="F51" s="47" t="s">
        <v>6</v>
      </c>
      <c r="G51" s="69" t="s">
        <v>3045</v>
      </c>
      <c r="H51" s="70" t="s">
        <v>3046</v>
      </c>
    </row>
    <row r="52" spans="2:8" x14ac:dyDescent="0.3">
      <c r="B52" s="140">
        <v>45904</v>
      </c>
      <c r="C52" s="103">
        <v>45901</v>
      </c>
      <c r="D52" s="70" t="s">
        <v>2928</v>
      </c>
      <c r="E52" s="70" t="s">
        <v>3044</v>
      </c>
      <c r="F52" s="47" t="s">
        <v>6</v>
      </c>
      <c r="G52" s="69" t="s">
        <v>3051</v>
      </c>
      <c r="H52" s="70" t="s">
        <v>3052</v>
      </c>
    </row>
    <row r="53" spans="2:8" x14ac:dyDescent="0.3">
      <c r="B53" s="140">
        <v>45904</v>
      </c>
      <c r="C53" s="103">
        <v>45901</v>
      </c>
      <c r="D53" s="70" t="s">
        <v>2928</v>
      </c>
      <c r="E53" s="70" t="s">
        <v>3044</v>
      </c>
      <c r="F53" s="47" t="s">
        <v>6</v>
      </c>
      <c r="G53" s="69" t="s">
        <v>3047</v>
      </c>
      <c r="H53" s="70" t="s">
        <v>3048</v>
      </c>
    </row>
    <row r="54" spans="2:8" x14ac:dyDescent="0.3">
      <c r="B54" s="140">
        <v>45904</v>
      </c>
      <c r="C54" s="103">
        <v>45901</v>
      </c>
      <c r="D54" s="70" t="s">
        <v>2928</v>
      </c>
      <c r="E54" s="70" t="s">
        <v>3044</v>
      </c>
      <c r="F54" s="47" t="s">
        <v>6</v>
      </c>
      <c r="G54" s="69" t="s">
        <v>3049</v>
      </c>
      <c r="H54" s="70" t="s">
        <v>3050</v>
      </c>
    </row>
    <row r="55" spans="2:8" x14ac:dyDescent="0.3">
      <c r="B55" s="140">
        <v>45904</v>
      </c>
      <c r="C55" s="103">
        <v>45901</v>
      </c>
      <c r="D55" s="70" t="s">
        <v>2928</v>
      </c>
      <c r="E55" s="70" t="s">
        <v>3044</v>
      </c>
      <c r="F55" s="47" t="s">
        <v>6</v>
      </c>
      <c r="G55" s="69" t="s">
        <v>3045</v>
      </c>
      <c r="H55" s="70" t="s">
        <v>3046</v>
      </c>
    </row>
    <row r="56" spans="2:8" x14ac:dyDescent="0.3">
      <c r="B56" s="140">
        <v>45905</v>
      </c>
      <c r="C56" s="103">
        <v>45901</v>
      </c>
      <c r="D56" s="70" t="s">
        <v>2928</v>
      </c>
      <c r="E56" s="70" t="s">
        <v>3044</v>
      </c>
      <c r="F56" s="47" t="s">
        <v>6</v>
      </c>
      <c r="G56" s="69" t="s">
        <v>3045</v>
      </c>
      <c r="H56" s="70" t="s">
        <v>3046</v>
      </c>
    </row>
    <row r="57" spans="2:8" x14ac:dyDescent="0.3">
      <c r="B57" s="140">
        <v>45905</v>
      </c>
      <c r="C57" s="103">
        <v>45901</v>
      </c>
      <c r="D57" s="70" t="s">
        <v>2928</v>
      </c>
      <c r="E57" s="70" t="s">
        <v>3044</v>
      </c>
      <c r="F57" s="64" t="s">
        <v>4</v>
      </c>
      <c r="G57" s="69" t="s">
        <v>3059</v>
      </c>
      <c r="H57" s="70" t="s">
        <v>3060</v>
      </c>
    </row>
    <row r="58" spans="2:8" x14ac:dyDescent="0.3">
      <c r="B58" s="140">
        <v>45908</v>
      </c>
      <c r="C58" s="103">
        <v>45901</v>
      </c>
      <c r="D58" s="70" t="s">
        <v>2928</v>
      </c>
      <c r="E58" s="70" t="s">
        <v>3044</v>
      </c>
      <c r="F58" s="47" t="s">
        <v>6</v>
      </c>
      <c r="G58" s="69" t="s">
        <v>3047</v>
      </c>
      <c r="H58" s="70" t="s">
        <v>3048</v>
      </c>
    </row>
    <row r="59" spans="2:8" x14ac:dyDescent="0.3">
      <c r="B59" s="140">
        <v>45908</v>
      </c>
      <c r="C59" s="103">
        <v>45901</v>
      </c>
      <c r="D59" s="70" t="s">
        <v>2928</v>
      </c>
      <c r="E59" s="70" t="s">
        <v>3044</v>
      </c>
      <c r="F59" s="47" t="s">
        <v>6</v>
      </c>
      <c r="G59" s="69" t="s">
        <v>3061</v>
      </c>
      <c r="H59" s="70" t="s">
        <v>3062</v>
      </c>
    </row>
    <row r="60" spans="2:8" x14ac:dyDescent="0.3">
      <c r="B60" s="140">
        <v>45908</v>
      </c>
      <c r="C60" s="103">
        <v>45901</v>
      </c>
      <c r="D60" s="70" t="s">
        <v>2928</v>
      </c>
      <c r="E60" s="70" t="s">
        <v>3044</v>
      </c>
      <c r="F60" s="47" t="s">
        <v>6</v>
      </c>
      <c r="G60" s="69" t="s">
        <v>3049</v>
      </c>
      <c r="H60" s="70" t="s">
        <v>3050</v>
      </c>
    </row>
    <row r="61" spans="2:8" x14ac:dyDescent="0.3">
      <c r="B61" s="140">
        <v>45908</v>
      </c>
      <c r="C61" s="103">
        <v>45901</v>
      </c>
      <c r="D61" s="70" t="s">
        <v>2928</v>
      </c>
      <c r="E61" s="70" t="s">
        <v>3044</v>
      </c>
      <c r="F61" s="47" t="s">
        <v>6</v>
      </c>
      <c r="G61" s="69" t="s">
        <v>3049</v>
      </c>
      <c r="H61" s="70" t="s">
        <v>3050</v>
      </c>
    </row>
    <row r="62" spans="2:8" x14ac:dyDescent="0.3">
      <c r="B62" s="140">
        <v>45908</v>
      </c>
      <c r="C62" s="103">
        <v>45901</v>
      </c>
      <c r="D62" s="70" t="s">
        <v>2928</v>
      </c>
      <c r="E62" s="70" t="s">
        <v>3044</v>
      </c>
      <c r="F62" s="47" t="s">
        <v>6</v>
      </c>
      <c r="G62" s="69" t="s">
        <v>3051</v>
      </c>
      <c r="H62" s="70" t="s">
        <v>3052</v>
      </c>
    </row>
    <row r="63" spans="2:8" x14ac:dyDescent="0.3">
      <c r="B63" s="140">
        <v>45909</v>
      </c>
      <c r="C63" s="103">
        <v>45901</v>
      </c>
      <c r="D63" s="70" t="s">
        <v>2928</v>
      </c>
      <c r="E63" s="70" t="s">
        <v>3044</v>
      </c>
      <c r="F63" s="47" t="s">
        <v>6</v>
      </c>
      <c r="G63" s="69" t="s">
        <v>3045</v>
      </c>
      <c r="H63" s="70" t="s">
        <v>3046</v>
      </c>
    </row>
    <row r="64" spans="2:8" x14ac:dyDescent="0.3">
      <c r="B64" s="140">
        <v>45909</v>
      </c>
      <c r="C64" s="103">
        <v>45901</v>
      </c>
      <c r="D64" s="70" t="s">
        <v>2928</v>
      </c>
      <c r="E64" s="70" t="s">
        <v>3044</v>
      </c>
      <c r="F64" s="64" t="s">
        <v>4</v>
      </c>
      <c r="G64" s="69" t="s">
        <v>3063</v>
      </c>
      <c r="H64" s="70" t="s">
        <v>3064</v>
      </c>
    </row>
    <row r="65" spans="2:8" x14ac:dyDescent="0.3">
      <c r="B65" s="140">
        <v>45909</v>
      </c>
      <c r="C65" s="103">
        <v>45901</v>
      </c>
      <c r="D65" s="70" t="s">
        <v>2928</v>
      </c>
      <c r="E65" s="70" t="s">
        <v>3044</v>
      </c>
      <c r="F65" s="47" t="s">
        <v>6</v>
      </c>
      <c r="G65" s="69" t="s">
        <v>3047</v>
      </c>
      <c r="H65" s="70" t="s">
        <v>3048</v>
      </c>
    </row>
    <row r="66" spans="2:8" x14ac:dyDescent="0.3">
      <c r="B66" s="140">
        <v>45909</v>
      </c>
      <c r="C66" s="103">
        <v>45901</v>
      </c>
      <c r="D66" s="70" t="s">
        <v>2928</v>
      </c>
      <c r="E66" s="70" t="s">
        <v>3044</v>
      </c>
      <c r="F66" s="47" t="s">
        <v>6</v>
      </c>
      <c r="G66" s="69" t="s">
        <v>3049</v>
      </c>
      <c r="H66" s="70" t="s">
        <v>3050</v>
      </c>
    </row>
    <row r="67" spans="2:8" x14ac:dyDescent="0.3">
      <c r="B67" s="140">
        <v>45910</v>
      </c>
      <c r="C67" s="103">
        <v>45901</v>
      </c>
      <c r="D67" s="70" t="s">
        <v>2928</v>
      </c>
      <c r="E67" s="70" t="s">
        <v>3044</v>
      </c>
      <c r="F67" s="47" t="s">
        <v>6</v>
      </c>
      <c r="G67" s="69" t="s">
        <v>3045</v>
      </c>
      <c r="H67" s="70" t="s">
        <v>3046</v>
      </c>
    </row>
    <row r="68" spans="2:8" x14ac:dyDescent="0.3">
      <c r="B68" s="140">
        <v>45910</v>
      </c>
      <c r="C68" s="103">
        <v>45901</v>
      </c>
      <c r="D68" s="70" t="s">
        <v>2928</v>
      </c>
      <c r="E68" s="70" t="s">
        <v>3044</v>
      </c>
      <c r="F68" s="47" t="s">
        <v>6</v>
      </c>
      <c r="G68" s="69" t="s">
        <v>3047</v>
      </c>
      <c r="H68" s="70" t="s">
        <v>3048</v>
      </c>
    </row>
    <row r="69" spans="2:8" x14ac:dyDescent="0.3">
      <c r="B69" s="140">
        <v>45910</v>
      </c>
      <c r="C69" s="103">
        <v>45901</v>
      </c>
      <c r="D69" s="70" t="s">
        <v>2928</v>
      </c>
      <c r="E69" s="70" t="s">
        <v>3044</v>
      </c>
      <c r="F69" s="63" t="s">
        <v>6</v>
      </c>
      <c r="G69" s="69" t="s">
        <v>2870</v>
      </c>
      <c r="H69" s="70" t="s">
        <v>2870</v>
      </c>
    </row>
    <row r="70" spans="2:8" x14ac:dyDescent="0.3">
      <c r="B70" s="140">
        <v>45910</v>
      </c>
      <c r="C70" s="103">
        <v>45901</v>
      </c>
      <c r="D70" s="70" t="s">
        <v>2928</v>
      </c>
      <c r="E70" s="70" t="s">
        <v>3044</v>
      </c>
      <c r="F70" s="63" t="s">
        <v>6</v>
      </c>
      <c r="G70" s="56" t="s">
        <v>2899</v>
      </c>
      <c r="H70" s="56" t="s">
        <v>2900</v>
      </c>
    </row>
    <row r="71" spans="2:8" x14ac:dyDescent="0.3">
      <c r="B71" s="140">
        <v>45911</v>
      </c>
      <c r="C71" s="103">
        <v>45901</v>
      </c>
      <c r="D71" s="70" t="s">
        <v>2928</v>
      </c>
      <c r="E71" s="70" t="s">
        <v>3044</v>
      </c>
      <c r="F71" s="63" t="s">
        <v>6</v>
      </c>
      <c r="G71" s="67" t="s">
        <v>3045</v>
      </c>
      <c r="H71" s="68" t="s">
        <v>3046</v>
      </c>
    </row>
    <row r="72" spans="2:8" x14ac:dyDescent="0.3">
      <c r="B72" s="140">
        <v>45911</v>
      </c>
      <c r="C72" s="103">
        <v>45901</v>
      </c>
      <c r="D72" s="70" t="s">
        <v>2928</v>
      </c>
      <c r="E72" s="70" t="s">
        <v>3044</v>
      </c>
      <c r="F72" s="63" t="s">
        <v>6</v>
      </c>
      <c r="G72" s="69" t="s">
        <v>3047</v>
      </c>
      <c r="H72" s="70" t="s">
        <v>3048</v>
      </c>
    </row>
    <row r="73" spans="2:8" x14ac:dyDescent="0.3">
      <c r="B73" s="140">
        <v>45911</v>
      </c>
      <c r="C73" s="103">
        <v>45901</v>
      </c>
      <c r="D73" s="70" t="s">
        <v>2928</v>
      </c>
      <c r="E73" s="70" t="s">
        <v>3044</v>
      </c>
      <c r="F73" s="63" t="s">
        <v>6</v>
      </c>
      <c r="G73" s="69" t="s">
        <v>3049</v>
      </c>
      <c r="H73" s="70" t="s">
        <v>3050</v>
      </c>
    </row>
    <row r="74" spans="2:8" x14ac:dyDescent="0.3">
      <c r="B74" s="140">
        <v>45912</v>
      </c>
      <c r="C74" s="103">
        <v>45901</v>
      </c>
      <c r="D74" s="70" t="s">
        <v>2928</v>
      </c>
      <c r="E74" s="70" t="s">
        <v>3044</v>
      </c>
      <c r="F74" s="63" t="s">
        <v>6</v>
      </c>
      <c r="G74" s="67" t="s">
        <v>3045</v>
      </c>
      <c r="H74" s="68" t="s">
        <v>3046</v>
      </c>
    </row>
    <row r="75" spans="2:8" x14ac:dyDescent="0.3">
      <c r="B75" s="140">
        <v>45912</v>
      </c>
      <c r="C75" s="103">
        <v>45901</v>
      </c>
      <c r="D75" s="70" t="s">
        <v>2928</v>
      </c>
      <c r="E75" s="70" t="s">
        <v>3044</v>
      </c>
      <c r="F75" s="63" t="s">
        <v>6</v>
      </c>
      <c r="G75" s="69" t="s">
        <v>3047</v>
      </c>
      <c r="H75" s="70" t="s">
        <v>3048</v>
      </c>
    </row>
    <row r="76" spans="2:8" x14ac:dyDescent="0.3">
      <c r="B76" s="140">
        <v>45912</v>
      </c>
      <c r="C76" s="103">
        <v>45901</v>
      </c>
      <c r="D76" s="70" t="s">
        <v>2928</v>
      </c>
      <c r="E76" s="70" t="s">
        <v>3044</v>
      </c>
      <c r="F76" s="63" t="s">
        <v>6</v>
      </c>
      <c r="G76" s="69" t="s">
        <v>3049</v>
      </c>
      <c r="H76" s="70" t="s">
        <v>3050</v>
      </c>
    </row>
    <row r="77" spans="2:8" x14ac:dyDescent="0.3">
      <c r="B77" s="140">
        <v>45915</v>
      </c>
      <c r="C77" s="103">
        <v>45901</v>
      </c>
      <c r="D77" s="70" t="s">
        <v>2928</v>
      </c>
      <c r="E77" s="70" t="s">
        <v>3044</v>
      </c>
      <c r="F77" s="47" t="s">
        <v>6</v>
      </c>
      <c r="G77" s="53" t="s">
        <v>2856</v>
      </c>
      <c r="H77" s="29" t="s">
        <v>2857</v>
      </c>
    </row>
    <row r="78" spans="2:8" x14ac:dyDescent="0.3">
      <c r="B78" s="140">
        <v>45915</v>
      </c>
      <c r="C78" s="103">
        <v>45901</v>
      </c>
      <c r="D78" s="70" t="s">
        <v>2928</v>
      </c>
      <c r="E78" s="70" t="s">
        <v>3044</v>
      </c>
      <c r="F78" s="64" t="s">
        <v>4</v>
      </c>
      <c r="G78" s="53" t="s">
        <v>3065</v>
      </c>
      <c r="H78" s="29" t="s">
        <v>3066</v>
      </c>
    </row>
    <row r="79" spans="2:8" x14ac:dyDescent="0.3">
      <c r="B79" s="140">
        <v>45915</v>
      </c>
      <c r="C79" s="103">
        <v>45901</v>
      </c>
      <c r="D79" s="70" t="s">
        <v>2928</v>
      </c>
      <c r="E79" s="70" t="s">
        <v>3044</v>
      </c>
      <c r="F79" s="63" t="s">
        <v>6</v>
      </c>
      <c r="G79" s="67" t="s">
        <v>3045</v>
      </c>
      <c r="H79" s="68" t="s">
        <v>3046</v>
      </c>
    </row>
    <row r="80" spans="2:8" x14ac:dyDescent="0.3">
      <c r="B80" s="140">
        <v>45915</v>
      </c>
      <c r="C80" s="103">
        <v>45901</v>
      </c>
      <c r="D80" s="70" t="s">
        <v>2928</v>
      </c>
      <c r="E80" s="70" t="s">
        <v>3044</v>
      </c>
      <c r="F80" s="63" t="s">
        <v>6</v>
      </c>
      <c r="G80" s="69" t="s">
        <v>3047</v>
      </c>
      <c r="H80" s="70" t="s">
        <v>3048</v>
      </c>
    </row>
    <row r="81" spans="2:8" x14ac:dyDescent="0.3">
      <c r="B81" s="140">
        <v>45915</v>
      </c>
      <c r="C81" s="103">
        <v>45901</v>
      </c>
      <c r="D81" s="70" t="s">
        <v>2928</v>
      </c>
      <c r="E81" s="70" t="s">
        <v>3044</v>
      </c>
      <c r="F81" s="63" t="s">
        <v>6</v>
      </c>
      <c r="G81" s="69" t="s">
        <v>3049</v>
      </c>
      <c r="H81" s="70" t="s">
        <v>3050</v>
      </c>
    </row>
    <row r="82" spans="2:8" x14ac:dyDescent="0.3">
      <c r="B82" s="140">
        <v>45916</v>
      </c>
      <c r="C82" s="103">
        <v>45901</v>
      </c>
      <c r="D82" s="70" t="s">
        <v>2928</v>
      </c>
      <c r="E82" s="70" t="s">
        <v>3044</v>
      </c>
      <c r="F82" s="47" t="s">
        <v>6</v>
      </c>
      <c r="G82" s="53" t="s">
        <v>2856</v>
      </c>
      <c r="H82" s="29" t="s">
        <v>2857</v>
      </c>
    </row>
    <row r="83" spans="2:8" x14ac:dyDescent="0.3">
      <c r="B83" s="140">
        <v>45916</v>
      </c>
      <c r="C83" s="103">
        <v>45901</v>
      </c>
      <c r="D83" s="70" t="s">
        <v>2928</v>
      </c>
      <c r="E83" s="70" t="s">
        <v>3044</v>
      </c>
      <c r="F83" s="63" t="s">
        <v>6</v>
      </c>
      <c r="G83" s="67" t="s">
        <v>3045</v>
      </c>
      <c r="H83" s="68" t="s">
        <v>3046</v>
      </c>
    </row>
    <row r="84" spans="2:8" x14ac:dyDescent="0.3">
      <c r="B84" s="140">
        <v>45916</v>
      </c>
      <c r="C84" s="103">
        <v>45901</v>
      </c>
      <c r="D84" s="70" t="s">
        <v>2928</v>
      </c>
      <c r="E84" s="70" t="s">
        <v>3044</v>
      </c>
      <c r="F84" s="63" t="s">
        <v>6</v>
      </c>
      <c r="G84" s="69" t="s">
        <v>3047</v>
      </c>
      <c r="H84" s="70" t="s">
        <v>3048</v>
      </c>
    </row>
    <row r="85" spans="2:8" x14ac:dyDescent="0.3">
      <c r="B85" s="140">
        <v>45916</v>
      </c>
      <c r="C85" s="103">
        <v>45901</v>
      </c>
      <c r="D85" s="70" t="s">
        <v>2928</v>
      </c>
      <c r="E85" s="70" t="s">
        <v>3044</v>
      </c>
      <c r="F85" s="63" t="s">
        <v>6</v>
      </c>
      <c r="G85" s="69" t="s">
        <v>3049</v>
      </c>
      <c r="H85" s="70" t="s">
        <v>3050</v>
      </c>
    </row>
    <row r="86" spans="2:8" x14ac:dyDescent="0.3">
      <c r="B86" s="140">
        <v>45917</v>
      </c>
      <c r="C86" s="103">
        <v>45901</v>
      </c>
      <c r="D86" s="70" t="s">
        <v>2928</v>
      </c>
      <c r="E86" s="70" t="s">
        <v>3044</v>
      </c>
      <c r="F86" s="47" t="s">
        <v>6</v>
      </c>
      <c r="G86" s="53" t="s">
        <v>2856</v>
      </c>
      <c r="H86" s="29" t="s">
        <v>2857</v>
      </c>
    </row>
    <row r="87" spans="2:8" x14ac:dyDescent="0.3">
      <c r="B87" s="140">
        <v>45917</v>
      </c>
      <c r="C87" s="103">
        <v>45901</v>
      </c>
      <c r="D87" s="70" t="s">
        <v>2928</v>
      </c>
      <c r="E87" s="70" t="s">
        <v>3044</v>
      </c>
      <c r="F87" s="63" t="s">
        <v>6</v>
      </c>
      <c r="G87" s="67" t="s">
        <v>3045</v>
      </c>
      <c r="H87" s="68" t="s">
        <v>3046</v>
      </c>
    </row>
    <row r="88" spans="2:8" x14ac:dyDescent="0.3">
      <c r="B88" s="140">
        <v>45917</v>
      </c>
      <c r="C88" s="103">
        <v>45901</v>
      </c>
      <c r="D88" s="70" t="s">
        <v>2928</v>
      </c>
      <c r="E88" s="70" t="s">
        <v>3044</v>
      </c>
      <c r="F88" s="64" t="s">
        <v>4</v>
      </c>
      <c r="G88" s="67" t="s">
        <v>3067</v>
      </c>
      <c r="H88" s="68" t="s">
        <v>3068</v>
      </c>
    </row>
    <row r="89" spans="2:8" x14ac:dyDescent="0.3">
      <c r="B89" s="140">
        <v>45917</v>
      </c>
      <c r="C89" s="103">
        <v>45901</v>
      </c>
      <c r="D89" s="70" t="s">
        <v>2928</v>
      </c>
      <c r="E89" s="70" t="s">
        <v>3044</v>
      </c>
      <c r="F89" s="63" t="s">
        <v>6</v>
      </c>
      <c r="G89" s="69" t="s">
        <v>3047</v>
      </c>
      <c r="H89" s="70" t="s">
        <v>3048</v>
      </c>
    </row>
    <row r="90" spans="2:8" x14ac:dyDescent="0.3">
      <c r="B90" s="140">
        <v>45917</v>
      </c>
      <c r="C90" s="103">
        <v>45901</v>
      </c>
      <c r="D90" s="70" t="s">
        <v>2928</v>
      </c>
      <c r="E90" s="70" t="s">
        <v>3044</v>
      </c>
      <c r="F90" s="63" t="s">
        <v>6</v>
      </c>
      <c r="G90" s="69" t="s">
        <v>3049</v>
      </c>
      <c r="H90" s="70" t="s">
        <v>3050</v>
      </c>
    </row>
    <row r="91" spans="2:8" x14ac:dyDescent="0.3">
      <c r="B91" s="140">
        <v>45922</v>
      </c>
      <c r="C91" s="103">
        <v>45901</v>
      </c>
      <c r="D91" s="70" t="s">
        <v>2928</v>
      </c>
      <c r="E91" s="70" t="s">
        <v>3044</v>
      </c>
      <c r="F91" s="63" t="s">
        <v>6</v>
      </c>
      <c r="G91" s="67" t="s">
        <v>3045</v>
      </c>
      <c r="H91" s="68" t="s">
        <v>3046</v>
      </c>
    </row>
    <row r="92" spans="2:8" x14ac:dyDescent="0.3">
      <c r="B92" s="140">
        <v>45922</v>
      </c>
      <c r="C92" s="103">
        <v>45901</v>
      </c>
      <c r="D92" s="70" t="s">
        <v>2928</v>
      </c>
      <c r="E92" s="70" t="s">
        <v>3044</v>
      </c>
      <c r="F92" s="63" t="s">
        <v>6</v>
      </c>
      <c r="G92" s="69" t="s">
        <v>3047</v>
      </c>
      <c r="H92" s="70" t="s">
        <v>3048</v>
      </c>
    </row>
    <row r="93" spans="2:8" x14ac:dyDescent="0.3">
      <c r="B93" s="140">
        <v>45922</v>
      </c>
      <c r="C93" s="103">
        <v>45901</v>
      </c>
      <c r="D93" s="70" t="s">
        <v>2928</v>
      </c>
      <c r="E93" s="70" t="s">
        <v>3044</v>
      </c>
      <c r="F93" s="63" t="s">
        <v>6</v>
      </c>
      <c r="G93" s="69" t="s">
        <v>3049</v>
      </c>
      <c r="H93" s="70" t="s">
        <v>3050</v>
      </c>
    </row>
    <row r="94" spans="2:8" x14ac:dyDescent="0.3">
      <c r="B94" s="140">
        <v>45923</v>
      </c>
      <c r="C94" s="103">
        <v>45901</v>
      </c>
      <c r="D94" s="70" t="s">
        <v>2928</v>
      </c>
      <c r="E94" s="70" t="s">
        <v>3044</v>
      </c>
      <c r="F94" s="63" t="s">
        <v>6</v>
      </c>
      <c r="G94" s="69" t="s">
        <v>3049</v>
      </c>
      <c r="H94" s="70" t="s">
        <v>3050</v>
      </c>
    </row>
    <row r="95" spans="2:8" x14ac:dyDescent="0.3">
      <c r="B95" s="140">
        <v>45923</v>
      </c>
      <c r="C95" s="103">
        <v>45901</v>
      </c>
      <c r="D95" s="70" t="s">
        <v>2928</v>
      </c>
      <c r="E95" s="70" t="s">
        <v>3044</v>
      </c>
      <c r="F95" s="64" t="s">
        <v>4</v>
      </c>
      <c r="G95" s="69" t="s">
        <v>3069</v>
      </c>
      <c r="H95" s="70" t="s">
        <v>3070</v>
      </c>
    </row>
    <row r="96" spans="2:8" x14ac:dyDescent="0.3">
      <c r="B96" s="140">
        <v>45923</v>
      </c>
      <c r="C96" s="103">
        <v>45901</v>
      </c>
      <c r="D96" s="70" t="s">
        <v>2928</v>
      </c>
      <c r="E96" s="70" t="s">
        <v>3044</v>
      </c>
      <c r="F96" s="63" t="s">
        <v>6</v>
      </c>
      <c r="G96" s="67" t="s">
        <v>3045</v>
      </c>
      <c r="H96" s="68" t="s">
        <v>3046</v>
      </c>
    </row>
    <row r="97" spans="2:8" x14ac:dyDescent="0.3">
      <c r="B97" s="140">
        <v>45923</v>
      </c>
      <c r="C97" s="103">
        <v>45901</v>
      </c>
      <c r="D97" s="70" t="s">
        <v>2928</v>
      </c>
      <c r="E97" s="70" t="s">
        <v>3044</v>
      </c>
      <c r="F97" s="63" t="s">
        <v>6</v>
      </c>
      <c r="G97" s="69" t="s">
        <v>3047</v>
      </c>
      <c r="H97" s="70" t="s">
        <v>3048</v>
      </c>
    </row>
    <row r="98" spans="2:8" x14ac:dyDescent="0.3">
      <c r="B98" s="140">
        <v>45924</v>
      </c>
      <c r="C98" s="103">
        <v>45901</v>
      </c>
      <c r="D98" s="70" t="s">
        <v>2928</v>
      </c>
      <c r="E98" s="70" t="s">
        <v>3044</v>
      </c>
      <c r="F98" s="63" t="s">
        <v>6</v>
      </c>
      <c r="G98" s="67" t="s">
        <v>3045</v>
      </c>
      <c r="H98" s="68" t="s">
        <v>3046</v>
      </c>
    </row>
    <row r="99" spans="2:8" x14ac:dyDescent="0.3">
      <c r="B99" s="140">
        <v>45924</v>
      </c>
      <c r="C99" s="103">
        <v>45901</v>
      </c>
      <c r="D99" s="70" t="s">
        <v>2928</v>
      </c>
      <c r="E99" s="70" t="s">
        <v>3044</v>
      </c>
      <c r="F99" s="63" t="s">
        <v>6</v>
      </c>
      <c r="G99" s="69" t="s">
        <v>3047</v>
      </c>
      <c r="H99" s="70" t="s">
        <v>3048</v>
      </c>
    </row>
    <row r="100" spans="2:8" x14ac:dyDescent="0.3">
      <c r="B100" s="140">
        <v>45924</v>
      </c>
      <c r="C100" s="103">
        <v>45901</v>
      </c>
      <c r="D100" s="70" t="s">
        <v>2928</v>
      </c>
      <c r="E100" s="70" t="s">
        <v>3044</v>
      </c>
      <c r="F100" s="63" t="s">
        <v>6</v>
      </c>
      <c r="G100" s="69" t="s">
        <v>3049</v>
      </c>
      <c r="H100" s="70" t="s">
        <v>3050</v>
      </c>
    </row>
    <row r="101" spans="2:8" x14ac:dyDescent="0.3">
      <c r="B101" s="140">
        <v>45925</v>
      </c>
      <c r="C101" s="103">
        <v>45901</v>
      </c>
      <c r="D101" s="70" t="s">
        <v>2928</v>
      </c>
      <c r="E101" s="70" t="s">
        <v>3044</v>
      </c>
      <c r="F101" s="63" t="s">
        <v>6</v>
      </c>
      <c r="G101" s="67" t="s">
        <v>3045</v>
      </c>
      <c r="H101" s="68" t="s">
        <v>3046</v>
      </c>
    </row>
    <row r="102" spans="2:8" x14ac:dyDescent="0.3">
      <c r="B102" s="140">
        <v>45925</v>
      </c>
      <c r="C102" s="103">
        <v>45901</v>
      </c>
      <c r="D102" s="70" t="s">
        <v>2928</v>
      </c>
      <c r="E102" s="70" t="s">
        <v>3044</v>
      </c>
      <c r="F102" s="63" t="s">
        <v>6</v>
      </c>
      <c r="G102" s="69" t="s">
        <v>3047</v>
      </c>
      <c r="H102" s="70" t="s">
        <v>3048</v>
      </c>
    </row>
    <row r="103" spans="2:8" x14ac:dyDescent="0.3">
      <c r="B103" s="140">
        <v>45925</v>
      </c>
      <c r="C103" s="103">
        <v>45901</v>
      </c>
      <c r="D103" s="70" t="s">
        <v>2928</v>
      </c>
      <c r="E103" s="70" t="s">
        <v>3044</v>
      </c>
      <c r="F103" s="63" t="s">
        <v>6</v>
      </c>
      <c r="G103" s="69" t="s">
        <v>3049</v>
      </c>
      <c r="H103" s="70" t="s">
        <v>3050</v>
      </c>
    </row>
    <row r="104" spans="2:8" x14ac:dyDescent="0.3">
      <c r="B104" s="140">
        <v>45925</v>
      </c>
      <c r="C104" s="103">
        <v>45901</v>
      </c>
      <c r="D104" s="70" t="s">
        <v>2928</v>
      </c>
      <c r="E104" s="70" t="s">
        <v>3044</v>
      </c>
      <c r="F104" s="63" t="s">
        <v>6</v>
      </c>
      <c r="G104" s="69" t="s">
        <v>3051</v>
      </c>
      <c r="H104" s="70" t="s">
        <v>3052</v>
      </c>
    </row>
    <row r="105" spans="2:8" x14ac:dyDescent="0.3">
      <c r="B105" s="140">
        <v>45926</v>
      </c>
      <c r="C105" s="103">
        <v>45901</v>
      </c>
      <c r="D105" s="70" t="s">
        <v>2928</v>
      </c>
      <c r="E105" s="70" t="s">
        <v>3044</v>
      </c>
      <c r="F105" s="63" t="s">
        <v>6</v>
      </c>
      <c r="G105" s="67" t="s">
        <v>3045</v>
      </c>
      <c r="H105" s="68" t="s">
        <v>3046</v>
      </c>
    </row>
    <row r="106" spans="2:8" x14ac:dyDescent="0.3">
      <c r="B106" s="140">
        <v>45926</v>
      </c>
      <c r="C106" s="103">
        <v>45901</v>
      </c>
      <c r="D106" s="70" t="s">
        <v>2928</v>
      </c>
      <c r="E106" s="70" t="s">
        <v>3044</v>
      </c>
      <c r="F106" s="63" t="s">
        <v>6</v>
      </c>
      <c r="G106" s="69" t="s">
        <v>3047</v>
      </c>
      <c r="H106" s="70" t="s">
        <v>3048</v>
      </c>
    </row>
    <row r="107" spans="2:8" x14ac:dyDescent="0.3">
      <c r="B107" s="140">
        <v>45926</v>
      </c>
      <c r="C107" s="103">
        <v>45901</v>
      </c>
      <c r="D107" s="70" t="s">
        <v>2928</v>
      </c>
      <c r="E107" s="70" t="s">
        <v>3044</v>
      </c>
      <c r="F107" s="63" t="s">
        <v>6</v>
      </c>
      <c r="G107" s="69" t="s">
        <v>3049</v>
      </c>
      <c r="H107" s="70" t="s">
        <v>3050</v>
      </c>
    </row>
    <row r="108" spans="2:8" x14ac:dyDescent="0.3">
      <c r="B108" s="140">
        <v>45926</v>
      </c>
      <c r="C108" s="103">
        <v>45901</v>
      </c>
      <c r="D108" s="70" t="s">
        <v>2928</v>
      </c>
      <c r="E108" s="70" t="s">
        <v>3044</v>
      </c>
      <c r="F108" s="64" t="s">
        <v>4</v>
      </c>
      <c r="G108" s="69" t="s">
        <v>3051</v>
      </c>
      <c r="H108" s="70" t="s">
        <v>3071</v>
      </c>
    </row>
    <row r="109" spans="2:8" x14ac:dyDescent="0.3">
      <c r="B109" s="140">
        <v>45929</v>
      </c>
      <c r="C109" s="103">
        <v>45901</v>
      </c>
      <c r="D109" s="70" t="s">
        <v>2928</v>
      </c>
      <c r="E109" s="70" t="s">
        <v>3044</v>
      </c>
      <c r="F109" s="63" t="s">
        <v>6</v>
      </c>
      <c r="G109" s="69" t="s">
        <v>3051</v>
      </c>
      <c r="H109" s="70" t="s">
        <v>3052</v>
      </c>
    </row>
    <row r="110" spans="2:8" x14ac:dyDescent="0.3">
      <c r="B110" s="140">
        <v>45929</v>
      </c>
      <c r="C110" s="103">
        <v>45901</v>
      </c>
      <c r="D110" s="70" t="s">
        <v>2928</v>
      </c>
      <c r="E110" s="70" t="s">
        <v>3044</v>
      </c>
      <c r="F110" s="63" t="s">
        <v>6</v>
      </c>
      <c r="G110" s="67" t="s">
        <v>3045</v>
      </c>
      <c r="H110" s="68" t="s">
        <v>3046</v>
      </c>
    </row>
    <row r="111" spans="2:8" x14ac:dyDescent="0.3">
      <c r="B111" s="140">
        <v>45929</v>
      </c>
      <c r="C111" s="103">
        <v>45901</v>
      </c>
      <c r="D111" s="70" t="s">
        <v>2928</v>
      </c>
      <c r="E111" s="70" t="s">
        <v>3044</v>
      </c>
      <c r="F111" s="63" t="s">
        <v>6</v>
      </c>
      <c r="G111" s="69" t="s">
        <v>3047</v>
      </c>
      <c r="H111" s="70" t="s">
        <v>3048</v>
      </c>
    </row>
    <row r="112" spans="2:8" x14ac:dyDescent="0.3">
      <c r="B112" s="140">
        <v>45929</v>
      </c>
      <c r="C112" s="103">
        <v>45901</v>
      </c>
      <c r="D112" s="70" t="s">
        <v>2928</v>
      </c>
      <c r="E112" s="70" t="s">
        <v>3044</v>
      </c>
      <c r="F112" s="63" t="s">
        <v>6</v>
      </c>
      <c r="G112" s="69" t="s">
        <v>3049</v>
      </c>
      <c r="H112" s="70" t="s">
        <v>3050</v>
      </c>
    </row>
    <row r="113" spans="2:8" x14ac:dyDescent="0.3">
      <c r="B113" s="140">
        <v>45930</v>
      </c>
      <c r="C113" s="103">
        <v>45901</v>
      </c>
      <c r="D113" s="70" t="s">
        <v>2928</v>
      </c>
      <c r="E113" s="70" t="s">
        <v>3044</v>
      </c>
      <c r="F113" s="63" t="s">
        <v>6</v>
      </c>
      <c r="G113" s="69" t="s">
        <v>3051</v>
      </c>
      <c r="H113" s="70" t="s">
        <v>3052</v>
      </c>
    </row>
    <row r="114" spans="2:8" x14ac:dyDescent="0.3">
      <c r="B114" s="140">
        <v>45930</v>
      </c>
      <c r="C114" s="103">
        <v>45901</v>
      </c>
      <c r="D114" s="70" t="s">
        <v>2928</v>
      </c>
      <c r="E114" s="70" t="s">
        <v>3044</v>
      </c>
      <c r="F114" s="63" t="s">
        <v>6</v>
      </c>
      <c r="G114" s="67" t="s">
        <v>3045</v>
      </c>
      <c r="H114" s="68" t="s">
        <v>3046</v>
      </c>
    </row>
    <row r="115" spans="2:8" x14ac:dyDescent="0.3">
      <c r="B115" s="140">
        <v>45930</v>
      </c>
      <c r="C115" s="103">
        <v>45901</v>
      </c>
      <c r="D115" s="70" t="s">
        <v>2928</v>
      </c>
      <c r="E115" s="70" t="s">
        <v>3044</v>
      </c>
      <c r="F115" s="63" t="s">
        <v>6</v>
      </c>
      <c r="G115" s="69" t="s">
        <v>3047</v>
      </c>
      <c r="H115" s="70" t="s">
        <v>3048</v>
      </c>
    </row>
    <row r="116" spans="2:8" x14ac:dyDescent="0.3">
      <c r="B116" s="140">
        <v>45930</v>
      </c>
      <c r="C116" s="103">
        <v>45901</v>
      </c>
      <c r="D116" s="70" t="s">
        <v>2928</v>
      </c>
      <c r="E116" s="70" t="s">
        <v>3044</v>
      </c>
      <c r="F116" s="63" t="s">
        <v>6</v>
      </c>
      <c r="G116" s="69" t="s">
        <v>3049</v>
      </c>
      <c r="H116" s="70" t="s">
        <v>3050</v>
      </c>
    </row>
    <row r="117" spans="2:8" x14ac:dyDescent="0.3">
      <c r="B117" s="140">
        <v>45931</v>
      </c>
      <c r="C117" s="103">
        <v>45931</v>
      </c>
      <c r="D117" s="70" t="s">
        <v>2928</v>
      </c>
      <c r="E117" s="70" t="s">
        <v>3044</v>
      </c>
      <c r="F117" s="63" t="s">
        <v>6</v>
      </c>
      <c r="G117" s="69" t="s">
        <v>3051</v>
      </c>
      <c r="H117" s="70" t="s">
        <v>3052</v>
      </c>
    </row>
    <row r="118" spans="2:8" x14ac:dyDescent="0.3">
      <c r="B118" s="140">
        <v>45931</v>
      </c>
      <c r="C118" s="103">
        <v>45931</v>
      </c>
      <c r="D118" s="70" t="s">
        <v>2928</v>
      </c>
      <c r="E118" s="70" t="s">
        <v>3044</v>
      </c>
      <c r="F118" s="63" t="s">
        <v>6</v>
      </c>
      <c r="G118" s="67" t="s">
        <v>3045</v>
      </c>
      <c r="H118" s="68" t="s">
        <v>3046</v>
      </c>
    </row>
    <row r="119" spans="2:8" x14ac:dyDescent="0.3">
      <c r="B119" s="140">
        <v>45931</v>
      </c>
      <c r="C119" s="103">
        <v>45931</v>
      </c>
      <c r="D119" s="70" t="s">
        <v>2928</v>
      </c>
      <c r="E119" s="70" t="s">
        <v>3044</v>
      </c>
      <c r="F119" s="64" t="s">
        <v>4</v>
      </c>
      <c r="G119" s="69" t="s">
        <v>3072</v>
      </c>
      <c r="H119" s="70" t="s">
        <v>3073</v>
      </c>
    </row>
    <row r="120" spans="2:8" x14ac:dyDescent="0.3">
      <c r="B120" s="140">
        <v>45931</v>
      </c>
      <c r="C120" s="103">
        <v>45931</v>
      </c>
      <c r="D120" s="70" t="s">
        <v>2928</v>
      </c>
      <c r="E120" s="70" t="s">
        <v>3044</v>
      </c>
      <c r="F120" s="63" t="s">
        <v>6</v>
      </c>
      <c r="G120" s="69" t="s">
        <v>3047</v>
      </c>
      <c r="H120" s="70" t="s">
        <v>3048</v>
      </c>
    </row>
    <row r="121" spans="2:8" x14ac:dyDescent="0.3">
      <c r="B121" s="140">
        <v>45931</v>
      </c>
      <c r="C121" s="103">
        <v>45931</v>
      </c>
      <c r="D121" s="70" t="s">
        <v>2928</v>
      </c>
      <c r="E121" s="70" t="s">
        <v>3044</v>
      </c>
      <c r="F121" s="63" t="s">
        <v>6</v>
      </c>
      <c r="G121" s="69" t="s">
        <v>3049</v>
      </c>
      <c r="H121" s="70" t="s">
        <v>3050</v>
      </c>
    </row>
    <row r="122" spans="2:8" x14ac:dyDescent="0.3">
      <c r="B122" s="140">
        <v>45932</v>
      </c>
      <c r="C122" s="103">
        <v>45931</v>
      </c>
      <c r="D122" s="70" t="s">
        <v>2928</v>
      </c>
      <c r="E122" s="70" t="s">
        <v>3044</v>
      </c>
      <c r="F122" s="63" t="s">
        <v>6</v>
      </c>
      <c r="G122" s="69" t="s">
        <v>3051</v>
      </c>
      <c r="H122" s="70" t="s">
        <v>3052</v>
      </c>
    </row>
    <row r="123" spans="2:8" x14ac:dyDescent="0.3">
      <c r="B123" s="140">
        <v>45932</v>
      </c>
      <c r="C123" s="103">
        <v>45931</v>
      </c>
      <c r="D123" s="70" t="s">
        <v>2928</v>
      </c>
      <c r="E123" s="70" t="s">
        <v>3044</v>
      </c>
      <c r="F123" s="63" t="s">
        <v>6</v>
      </c>
      <c r="G123" s="67" t="s">
        <v>3045</v>
      </c>
      <c r="H123" s="68" t="s">
        <v>3046</v>
      </c>
    </row>
    <row r="124" spans="2:8" x14ac:dyDescent="0.3">
      <c r="B124" s="140">
        <v>45932</v>
      </c>
      <c r="C124" s="103">
        <v>45931</v>
      </c>
      <c r="D124" s="70" t="s">
        <v>2928</v>
      </c>
      <c r="E124" s="70" t="s">
        <v>3044</v>
      </c>
      <c r="F124" s="63" t="s">
        <v>6</v>
      </c>
      <c r="G124" s="69" t="s">
        <v>3047</v>
      </c>
      <c r="H124" s="70" t="s">
        <v>3048</v>
      </c>
    </row>
    <row r="125" spans="2:8" x14ac:dyDescent="0.3">
      <c r="B125" s="140">
        <v>45932</v>
      </c>
      <c r="C125" s="103">
        <v>45931</v>
      </c>
      <c r="D125" s="70" t="s">
        <v>2928</v>
      </c>
      <c r="E125" s="70" t="s">
        <v>3044</v>
      </c>
      <c r="F125" s="63" t="s">
        <v>6</v>
      </c>
      <c r="G125" s="69" t="s">
        <v>3049</v>
      </c>
      <c r="H125" s="70" t="s">
        <v>3050</v>
      </c>
    </row>
    <row r="126" spans="2:8" x14ac:dyDescent="0.3">
      <c r="B126" s="140">
        <v>45933</v>
      </c>
      <c r="C126" s="103">
        <v>45931</v>
      </c>
      <c r="D126" s="70" t="s">
        <v>2928</v>
      </c>
      <c r="E126" s="70" t="s">
        <v>3044</v>
      </c>
      <c r="F126" s="63" t="s">
        <v>6</v>
      </c>
      <c r="G126" s="67" t="s">
        <v>3045</v>
      </c>
      <c r="H126" s="68" t="s">
        <v>3046</v>
      </c>
    </row>
    <row r="127" spans="2:8" x14ac:dyDescent="0.3">
      <c r="B127" s="140">
        <v>45933</v>
      </c>
      <c r="C127" s="103">
        <v>45931</v>
      </c>
      <c r="D127" s="70" t="s">
        <v>2928</v>
      </c>
      <c r="E127" s="70" t="s">
        <v>3044</v>
      </c>
      <c r="F127" s="63" t="s">
        <v>6</v>
      </c>
      <c r="G127" s="69" t="s">
        <v>3047</v>
      </c>
      <c r="H127" s="70" t="s">
        <v>3048</v>
      </c>
    </row>
    <row r="128" spans="2:8" x14ac:dyDescent="0.3">
      <c r="B128" s="140">
        <v>45933</v>
      </c>
      <c r="C128" s="103">
        <v>45931</v>
      </c>
      <c r="D128" s="70" t="s">
        <v>2928</v>
      </c>
      <c r="E128" s="70" t="s">
        <v>3044</v>
      </c>
      <c r="F128" s="63" t="s">
        <v>6</v>
      </c>
      <c r="G128" s="69" t="s">
        <v>3049</v>
      </c>
      <c r="H128" s="70" t="s">
        <v>3050</v>
      </c>
    </row>
    <row r="129" spans="2:8" x14ac:dyDescent="0.3">
      <c r="B129" s="140">
        <v>45936</v>
      </c>
      <c r="C129" s="103">
        <v>45931</v>
      </c>
      <c r="D129" s="70" t="s">
        <v>2928</v>
      </c>
      <c r="E129" s="70" t="s">
        <v>3044</v>
      </c>
      <c r="F129" s="47" t="s">
        <v>6</v>
      </c>
      <c r="G129" s="53" t="s">
        <v>2856</v>
      </c>
      <c r="H129" s="29" t="s">
        <v>2857</v>
      </c>
    </row>
    <row r="130" spans="2:8" x14ac:dyDescent="0.3">
      <c r="B130" s="140">
        <v>45936</v>
      </c>
      <c r="C130" s="103">
        <v>45931</v>
      </c>
      <c r="D130" s="70" t="s">
        <v>2928</v>
      </c>
      <c r="E130" s="70" t="s">
        <v>3044</v>
      </c>
      <c r="F130" s="64" t="s">
        <v>4</v>
      </c>
      <c r="G130" s="69" t="s">
        <v>3074</v>
      </c>
      <c r="H130" s="70" t="s">
        <v>3075</v>
      </c>
    </row>
    <row r="131" spans="2:8" x14ac:dyDescent="0.3">
      <c r="B131" s="140">
        <v>45936</v>
      </c>
      <c r="C131" s="103">
        <v>45931</v>
      </c>
      <c r="D131" s="70" t="s">
        <v>2928</v>
      </c>
      <c r="E131" s="70" t="s">
        <v>3044</v>
      </c>
      <c r="F131" s="63" t="s">
        <v>6</v>
      </c>
      <c r="G131" s="67" t="s">
        <v>3045</v>
      </c>
      <c r="H131" s="68" t="s">
        <v>3046</v>
      </c>
    </row>
    <row r="132" spans="2:8" x14ac:dyDescent="0.3">
      <c r="B132" s="140">
        <v>45936</v>
      </c>
      <c r="C132" s="103">
        <v>45931</v>
      </c>
      <c r="D132" s="70" t="s">
        <v>2928</v>
      </c>
      <c r="E132" s="70" t="s">
        <v>3044</v>
      </c>
      <c r="F132" s="63" t="s">
        <v>6</v>
      </c>
      <c r="G132" s="69" t="s">
        <v>3047</v>
      </c>
      <c r="H132" s="70" t="s">
        <v>3048</v>
      </c>
    </row>
    <row r="133" spans="2:8" x14ac:dyDescent="0.3">
      <c r="B133" s="140">
        <v>45936</v>
      </c>
      <c r="C133" s="103">
        <v>45931</v>
      </c>
      <c r="D133" s="70" t="s">
        <v>2928</v>
      </c>
      <c r="E133" s="70" t="s">
        <v>3044</v>
      </c>
      <c r="F133" s="63" t="s">
        <v>6</v>
      </c>
      <c r="G133" s="69" t="s">
        <v>3049</v>
      </c>
      <c r="H133" s="70" t="s">
        <v>3050</v>
      </c>
    </row>
    <row r="134" spans="2:8" x14ac:dyDescent="0.3">
      <c r="B134" s="140">
        <v>45937</v>
      </c>
      <c r="C134" s="103">
        <v>45931</v>
      </c>
      <c r="D134" s="70" t="s">
        <v>2928</v>
      </c>
      <c r="E134" s="70" t="s">
        <v>3044</v>
      </c>
      <c r="F134" s="47" t="s">
        <v>6</v>
      </c>
      <c r="G134" s="53" t="s">
        <v>2856</v>
      </c>
      <c r="H134" s="29" t="s">
        <v>2857</v>
      </c>
    </row>
    <row r="135" spans="2:8" x14ac:dyDescent="0.3">
      <c r="B135" s="140">
        <v>45937</v>
      </c>
      <c r="C135" s="103">
        <v>45931</v>
      </c>
      <c r="D135" s="70" t="s">
        <v>2928</v>
      </c>
      <c r="E135" s="70" t="s">
        <v>3044</v>
      </c>
      <c r="F135" s="63" t="s">
        <v>6</v>
      </c>
      <c r="G135" s="67" t="s">
        <v>3045</v>
      </c>
      <c r="H135" s="68" t="s">
        <v>3046</v>
      </c>
    </row>
    <row r="136" spans="2:8" x14ac:dyDescent="0.3">
      <c r="B136" s="140">
        <v>45937</v>
      </c>
      <c r="C136" s="103">
        <v>45931</v>
      </c>
      <c r="D136" s="70" t="s">
        <v>2928</v>
      </c>
      <c r="E136" s="70" t="s">
        <v>3044</v>
      </c>
      <c r="F136" s="63" t="s">
        <v>6</v>
      </c>
      <c r="G136" s="69" t="s">
        <v>3047</v>
      </c>
      <c r="H136" s="70" t="s">
        <v>3048</v>
      </c>
    </row>
    <row r="137" spans="2:8" x14ac:dyDescent="0.3">
      <c r="B137" s="140">
        <v>45937</v>
      </c>
      <c r="C137" s="103">
        <v>45931</v>
      </c>
      <c r="D137" s="70" t="s">
        <v>2928</v>
      </c>
      <c r="E137" s="70" t="s">
        <v>3044</v>
      </c>
      <c r="F137" s="63" t="s">
        <v>6</v>
      </c>
      <c r="G137" s="69" t="s">
        <v>3049</v>
      </c>
      <c r="H137" s="70" t="s">
        <v>3050</v>
      </c>
    </row>
    <row r="138" spans="2:8" x14ac:dyDescent="0.3">
      <c r="B138" s="140">
        <v>45938</v>
      </c>
      <c r="C138" s="103">
        <v>45931</v>
      </c>
      <c r="D138" s="70" t="s">
        <v>2928</v>
      </c>
      <c r="E138" s="70" t="s">
        <v>3044</v>
      </c>
      <c r="F138" s="47" t="s">
        <v>6</v>
      </c>
      <c r="G138" s="53" t="s">
        <v>2856</v>
      </c>
      <c r="H138" s="29" t="s">
        <v>2857</v>
      </c>
    </row>
    <row r="139" spans="2:8" x14ac:dyDescent="0.3">
      <c r="B139" s="140">
        <v>45938</v>
      </c>
      <c r="C139" s="103">
        <v>45931</v>
      </c>
      <c r="D139" s="70" t="s">
        <v>2928</v>
      </c>
      <c r="E139" s="70" t="s">
        <v>3044</v>
      </c>
      <c r="F139" s="63" t="s">
        <v>6</v>
      </c>
      <c r="G139" s="67" t="s">
        <v>3045</v>
      </c>
      <c r="H139" s="68" t="s">
        <v>3046</v>
      </c>
    </row>
    <row r="140" spans="2:8" x14ac:dyDescent="0.3">
      <c r="B140" s="140">
        <v>45938</v>
      </c>
      <c r="C140" s="103">
        <v>45931</v>
      </c>
      <c r="D140" s="70" t="s">
        <v>2928</v>
      </c>
      <c r="E140" s="70" t="s">
        <v>3044</v>
      </c>
      <c r="F140" s="63" t="s">
        <v>6</v>
      </c>
      <c r="G140" s="69" t="s">
        <v>3047</v>
      </c>
      <c r="H140" s="70" t="s">
        <v>3048</v>
      </c>
    </row>
    <row r="141" spans="2:8" x14ac:dyDescent="0.3">
      <c r="B141" s="140">
        <v>45938</v>
      </c>
      <c r="C141" s="103">
        <v>45931</v>
      </c>
      <c r="D141" s="70" t="s">
        <v>2928</v>
      </c>
      <c r="E141" s="70" t="s">
        <v>3044</v>
      </c>
      <c r="F141" s="63" t="s">
        <v>6</v>
      </c>
      <c r="G141" s="69" t="s">
        <v>3049</v>
      </c>
      <c r="H141" s="70" t="s">
        <v>3050</v>
      </c>
    </row>
    <row r="142" spans="2:8" x14ac:dyDescent="0.3">
      <c r="B142" s="140">
        <v>45939</v>
      </c>
      <c r="C142" s="103">
        <v>45931</v>
      </c>
      <c r="D142" s="70" t="s">
        <v>2928</v>
      </c>
      <c r="E142" s="70" t="s">
        <v>3044</v>
      </c>
      <c r="F142" s="47" t="s">
        <v>6</v>
      </c>
      <c r="G142" s="53" t="s">
        <v>2856</v>
      </c>
      <c r="H142" s="29" t="s">
        <v>2857</v>
      </c>
    </row>
    <row r="143" spans="2:8" x14ac:dyDescent="0.3">
      <c r="B143" s="140">
        <v>45939</v>
      </c>
      <c r="C143" s="103">
        <v>45931</v>
      </c>
      <c r="D143" s="70" t="s">
        <v>2928</v>
      </c>
      <c r="E143" s="70" t="s">
        <v>3044</v>
      </c>
      <c r="F143" s="63" t="s">
        <v>6</v>
      </c>
      <c r="G143" s="67" t="s">
        <v>3045</v>
      </c>
      <c r="H143" s="68" t="s">
        <v>3046</v>
      </c>
    </row>
    <row r="144" spans="2:8" x14ac:dyDescent="0.3">
      <c r="B144" s="140">
        <v>45939</v>
      </c>
      <c r="C144" s="103">
        <v>45931</v>
      </c>
      <c r="D144" s="70" t="s">
        <v>2928</v>
      </c>
      <c r="E144" s="70" t="s">
        <v>3044</v>
      </c>
      <c r="F144" s="63" t="s">
        <v>6</v>
      </c>
      <c r="G144" s="69" t="s">
        <v>3047</v>
      </c>
      <c r="H144" s="70" t="s">
        <v>3048</v>
      </c>
    </row>
    <row r="145" spans="2:8" x14ac:dyDescent="0.3">
      <c r="B145" s="140">
        <v>45939</v>
      </c>
      <c r="C145" s="103">
        <v>45931</v>
      </c>
      <c r="D145" s="70" t="s">
        <v>2928</v>
      </c>
      <c r="E145" s="70" t="s">
        <v>3044</v>
      </c>
      <c r="F145" s="63" t="s">
        <v>6</v>
      </c>
      <c r="G145" s="69" t="s">
        <v>3049</v>
      </c>
      <c r="H145" s="70" t="s">
        <v>3050</v>
      </c>
    </row>
    <row r="146" spans="2:8" x14ac:dyDescent="0.3">
      <c r="B146" s="140">
        <v>45939</v>
      </c>
      <c r="C146" s="103">
        <v>45931</v>
      </c>
      <c r="D146" s="70" t="s">
        <v>2928</v>
      </c>
      <c r="E146" s="70" t="s">
        <v>3044</v>
      </c>
      <c r="F146" s="64" t="s">
        <v>4</v>
      </c>
      <c r="G146" s="69" t="s">
        <v>3076</v>
      </c>
      <c r="H146" s="70" t="s">
        <v>3077</v>
      </c>
    </row>
    <row r="147" spans="2:8" x14ac:dyDescent="0.3">
      <c r="B147" s="140">
        <v>45940</v>
      </c>
      <c r="C147" s="103">
        <v>45931</v>
      </c>
      <c r="D147" s="70" t="s">
        <v>2928</v>
      </c>
      <c r="E147" s="70" t="s">
        <v>3044</v>
      </c>
      <c r="F147" s="47" t="s">
        <v>6</v>
      </c>
      <c r="G147" s="53" t="s">
        <v>2856</v>
      </c>
      <c r="H147" s="29" t="s">
        <v>2857</v>
      </c>
    </row>
    <row r="148" spans="2:8" x14ac:dyDescent="0.3">
      <c r="B148" s="140">
        <v>45940</v>
      </c>
      <c r="C148" s="103">
        <v>45931</v>
      </c>
      <c r="D148" s="70" t="s">
        <v>2928</v>
      </c>
      <c r="E148" s="70" t="s">
        <v>3044</v>
      </c>
      <c r="F148" s="63" t="s">
        <v>6</v>
      </c>
      <c r="G148" s="67" t="s">
        <v>3045</v>
      </c>
      <c r="H148" s="68" t="s">
        <v>3046</v>
      </c>
    </row>
    <row r="149" spans="2:8" x14ac:dyDescent="0.3">
      <c r="B149" s="140">
        <v>45940</v>
      </c>
      <c r="C149" s="103">
        <v>45931</v>
      </c>
      <c r="D149" s="70" t="s">
        <v>2928</v>
      </c>
      <c r="E149" s="70" t="s">
        <v>3044</v>
      </c>
      <c r="F149" s="63" t="s">
        <v>6</v>
      </c>
      <c r="G149" s="69" t="s">
        <v>3047</v>
      </c>
      <c r="H149" s="70" t="s">
        <v>3048</v>
      </c>
    </row>
    <row r="150" spans="2:8" x14ac:dyDescent="0.3">
      <c r="B150" s="140">
        <v>45940</v>
      </c>
      <c r="C150" s="103">
        <v>45931</v>
      </c>
      <c r="D150" s="70" t="s">
        <v>2928</v>
      </c>
      <c r="E150" s="70" t="s">
        <v>3044</v>
      </c>
      <c r="F150" s="63" t="s">
        <v>6</v>
      </c>
      <c r="G150" s="69" t="s">
        <v>3049</v>
      </c>
      <c r="H150" s="70" t="s">
        <v>3050</v>
      </c>
    </row>
    <row r="151" spans="2:8" x14ac:dyDescent="0.3">
      <c r="B151" s="140">
        <v>45940</v>
      </c>
      <c r="C151" s="103">
        <v>45931</v>
      </c>
      <c r="D151" s="70" t="s">
        <v>2928</v>
      </c>
      <c r="E151" s="70" t="s">
        <v>3044</v>
      </c>
      <c r="F151" s="63" t="s">
        <v>6</v>
      </c>
      <c r="G151" s="69" t="s">
        <v>3078</v>
      </c>
      <c r="H151" s="70" t="s">
        <v>3079</v>
      </c>
    </row>
    <row r="152" spans="2:8" x14ac:dyDescent="0.3">
      <c r="B152" s="140">
        <v>45943</v>
      </c>
      <c r="C152" s="103">
        <v>45931</v>
      </c>
      <c r="D152" s="70" t="s">
        <v>2928</v>
      </c>
      <c r="E152" s="70" t="s">
        <v>3044</v>
      </c>
      <c r="F152" s="63" t="s">
        <v>6</v>
      </c>
      <c r="G152" s="67" t="s">
        <v>3045</v>
      </c>
      <c r="H152" s="68" t="s">
        <v>3046</v>
      </c>
    </row>
    <row r="153" spans="2:8" x14ac:dyDescent="0.3">
      <c r="B153" s="140">
        <v>45943</v>
      </c>
      <c r="C153" s="103">
        <v>45931</v>
      </c>
      <c r="D153" s="70" t="s">
        <v>2928</v>
      </c>
      <c r="E153" s="70" t="s">
        <v>3044</v>
      </c>
      <c r="F153" s="63" t="s">
        <v>6</v>
      </c>
      <c r="G153" s="69" t="s">
        <v>3047</v>
      </c>
      <c r="H153" s="70" t="s">
        <v>3048</v>
      </c>
    </row>
    <row r="154" spans="2:8" x14ac:dyDescent="0.3">
      <c r="B154" s="140">
        <v>45943</v>
      </c>
      <c r="C154" s="103">
        <v>45931</v>
      </c>
      <c r="D154" s="70" t="s">
        <v>2928</v>
      </c>
      <c r="E154" s="70" t="s">
        <v>3044</v>
      </c>
      <c r="F154" s="63" t="s">
        <v>6</v>
      </c>
      <c r="G154" s="69" t="s">
        <v>3049</v>
      </c>
      <c r="H154" s="70" t="s">
        <v>3050</v>
      </c>
    </row>
    <row r="155" spans="2:8" x14ac:dyDescent="0.3">
      <c r="B155" s="140">
        <v>45943</v>
      </c>
      <c r="C155" s="103">
        <v>45931</v>
      </c>
      <c r="D155" s="70" t="s">
        <v>2928</v>
      </c>
      <c r="E155" s="70" t="s">
        <v>3044</v>
      </c>
      <c r="F155" s="63" t="s">
        <v>6</v>
      </c>
      <c r="G155" s="69" t="s">
        <v>3080</v>
      </c>
      <c r="H155" s="70" t="s">
        <v>3081</v>
      </c>
    </row>
    <row r="156" spans="2:8" x14ac:dyDescent="0.3">
      <c r="B156" s="140">
        <v>45944</v>
      </c>
      <c r="C156" s="103">
        <v>45931</v>
      </c>
      <c r="D156" s="70" t="s">
        <v>2928</v>
      </c>
      <c r="E156" s="70" t="s">
        <v>3044</v>
      </c>
      <c r="F156" s="63" t="s">
        <v>6</v>
      </c>
      <c r="G156" s="67" t="s">
        <v>3045</v>
      </c>
      <c r="H156" s="68" t="s">
        <v>3046</v>
      </c>
    </row>
    <row r="157" spans="2:8" x14ac:dyDescent="0.3">
      <c r="B157" s="140">
        <v>45944</v>
      </c>
      <c r="C157" s="103">
        <v>45931</v>
      </c>
      <c r="D157" s="70" t="s">
        <v>2928</v>
      </c>
      <c r="E157" s="70" t="s">
        <v>3044</v>
      </c>
      <c r="F157" s="63" t="s">
        <v>6</v>
      </c>
      <c r="G157" s="67" t="s">
        <v>3082</v>
      </c>
      <c r="H157" s="68" t="s">
        <v>3083</v>
      </c>
    </row>
    <row r="158" spans="2:8" x14ac:dyDescent="0.3">
      <c r="B158" s="140">
        <v>45944</v>
      </c>
      <c r="C158" s="103">
        <v>45931</v>
      </c>
      <c r="D158" s="70" t="s">
        <v>2928</v>
      </c>
      <c r="E158" s="70" t="s">
        <v>3044</v>
      </c>
      <c r="F158" s="63" t="s">
        <v>6</v>
      </c>
      <c r="G158" s="69" t="s">
        <v>3047</v>
      </c>
      <c r="H158" s="70" t="s">
        <v>3048</v>
      </c>
    </row>
    <row r="159" spans="2:8" x14ac:dyDescent="0.3">
      <c r="B159" s="140">
        <v>45944</v>
      </c>
      <c r="C159" s="103">
        <v>45931</v>
      </c>
      <c r="D159" s="70" t="s">
        <v>2928</v>
      </c>
      <c r="E159" s="70" t="s">
        <v>3044</v>
      </c>
      <c r="F159" s="63" t="s">
        <v>6</v>
      </c>
      <c r="G159" s="69" t="s">
        <v>3049</v>
      </c>
      <c r="H159" s="70" t="s">
        <v>3050</v>
      </c>
    </row>
    <row r="160" spans="2:8" x14ac:dyDescent="0.3">
      <c r="B160" s="140">
        <v>45945</v>
      </c>
      <c r="C160" s="103">
        <v>45931</v>
      </c>
      <c r="D160" s="70" t="s">
        <v>2928</v>
      </c>
      <c r="E160" s="70" t="s">
        <v>3044</v>
      </c>
      <c r="F160" s="63" t="s">
        <v>6</v>
      </c>
      <c r="G160" s="69" t="s">
        <v>3051</v>
      </c>
      <c r="H160" s="70" t="s">
        <v>3052</v>
      </c>
    </row>
    <row r="161" spans="2:8" x14ac:dyDescent="0.3">
      <c r="B161" s="140">
        <v>45945</v>
      </c>
      <c r="C161" s="103">
        <v>45931</v>
      </c>
      <c r="D161" s="70" t="s">
        <v>2928</v>
      </c>
      <c r="E161" s="70" t="s">
        <v>3044</v>
      </c>
      <c r="F161" s="63" t="s">
        <v>6</v>
      </c>
      <c r="G161" s="67" t="s">
        <v>3045</v>
      </c>
      <c r="H161" s="68" t="s">
        <v>3046</v>
      </c>
    </row>
    <row r="162" spans="2:8" x14ac:dyDescent="0.3">
      <c r="B162" s="140">
        <v>45945</v>
      </c>
      <c r="C162" s="103">
        <v>45931</v>
      </c>
      <c r="D162" s="70" t="s">
        <v>2928</v>
      </c>
      <c r="E162" s="70" t="s">
        <v>3044</v>
      </c>
      <c r="F162" s="63" t="s">
        <v>6</v>
      </c>
      <c r="G162" s="69" t="s">
        <v>3047</v>
      </c>
      <c r="H162" s="70" t="s">
        <v>3048</v>
      </c>
    </row>
    <row r="163" spans="2:8" x14ac:dyDescent="0.3">
      <c r="B163" s="140">
        <v>45945</v>
      </c>
      <c r="C163" s="103">
        <v>45931</v>
      </c>
      <c r="D163" s="70" t="s">
        <v>2928</v>
      </c>
      <c r="E163" s="70" t="s">
        <v>3044</v>
      </c>
      <c r="F163" s="63" t="s">
        <v>6</v>
      </c>
      <c r="G163" s="69" t="s">
        <v>3049</v>
      </c>
      <c r="H163" s="70" t="s">
        <v>3050</v>
      </c>
    </row>
    <row r="164" spans="2:8" x14ac:dyDescent="0.3">
      <c r="B164" s="140">
        <v>45946</v>
      </c>
      <c r="C164" s="103">
        <v>45931</v>
      </c>
      <c r="D164" s="70" t="s">
        <v>2928</v>
      </c>
      <c r="E164" s="70" t="s">
        <v>3044</v>
      </c>
      <c r="F164" s="63" t="s">
        <v>6</v>
      </c>
      <c r="G164" s="69" t="s">
        <v>3051</v>
      </c>
      <c r="H164" s="70" t="s">
        <v>3052</v>
      </c>
    </row>
    <row r="165" spans="2:8" x14ac:dyDescent="0.3">
      <c r="B165" s="140">
        <v>45946</v>
      </c>
      <c r="C165" s="103">
        <v>45931</v>
      </c>
      <c r="D165" s="70" t="s">
        <v>2928</v>
      </c>
      <c r="E165" s="70" t="s">
        <v>3044</v>
      </c>
      <c r="F165" s="63" t="s">
        <v>6</v>
      </c>
      <c r="G165" s="67" t="s">
        <v>3045</v>
      </c>
      <c r="H165" s="68" t="s">
        <v>3046</v>
      </c>
    </row>
    <row r="166" spans="2:8" x14ac:dyDescent="0.3">
      <c r="B166" s="140">
        <v>45946</v>
      </c>
      <c r="C166" s="103">
        <v>45931</v>
      </c>
      <c r="D166" s="70" t="s">
        <v>2928</v>
      </c>
      <c r="E166" s="70" t="s">
        <v>3044</v>
      </c>
      <c r="F166" s="63" t="s">
        <v>6</v>
      </c>
      <c r="G166" s="69" t="s">
        <v>3047</v>
      </c>
      <c r="H166" s="70" t="s">
        <v>3048</v>
      </c>
    </row>
    <row r="167" spans="2:8" x14ac:dyDescent="0.3">
      <c r="B167" s="140">
        <v>45946</v>
      </c>
      <c r="C167" s="103">
        <v>45931</v>
      </c>
      <c r="D167" s="70" t="s">
        <v>2928</v>
      </c>
      <c r="E167" s="70" t="s">
        <v>3044</v>
      </c>
      <c r="F167" s="63" t="s">
        <v>6</v>
      </c>
      <c r="G167" s="69" t="s">
        <v>3049</v>
      </c>
      <c r="H167" s="70" t="s">
        <v>3050</v>
      </c>
    </row>
    <row r="168" spans="2:8" x14ac:dyDescent="0.3">
      <c r="B168" s="140">
        <v>45947</v>
      </c>
      <c r="C168" s="103">
        <v>45931</v>
      </c>
      <c r="D168" s="70" t="s">
        <v>2928</v>
      </c>
      <c r="E168" s="70" t="s">
        <v>3044</v>
      </c>
      <c r="F168" s="63" t="s">
        <v>6</v>
      </c>
      <c r="G168" s="69" t="s">
        <v>3051</v>
      </c>
      <c r="H168" s="70" t="s">
        <v>3052</v>
      </c>
    </row>
    <row r="169" spans="2:8" x14ac:dyDescent="0.3">
      <c r="B169" s="140">
        <v>45947</v>
      </c>
      <c r="C169" s="103">
        <v>45931</v>
      </c>
      <c r="D169" s="70" t="s">
        <v>2928</v>
      </c>
      <c r="E169" s="70" t="s">
        <v>3044</v>
      </c>
      <c r="F169" s="63" t="s">
        <v>6</v>
      </c>
      <c r="G169" s="67" t="s">
        <v>3045</v>
      </c>
      <c r="H169" s="68" t="s">
        <v>3046</v>
      </c>
    </row>
    <row r="170" spans="2:8" x14ac:dyDescent="0.3">
      <c r="B170" s="140">
        <v>45947</v>
      </c>
      <c r="C170" s="103">
        <v>45931</v>
      </c>
      <c r="D170" s="70" t="s">
        <v>2928</v>
      </c>
      <c r="E170" s="70" t="s">
        <v>3044</v>
      </c>
      <c r="F170" s="63" t="s">
        <v>6</v>
      </c>
      <c r="G170" s="69" t="s">
        <v>3047</v>
      </c>
      <c r="H170" s="70" t="s">
        <v>3048</v>
      </c>
    </row>
    <row r="171" spans="2:8" x14ac:dyDescent="0.3">
      <c r="B171" s="140">
        <v>45947</v>
      </c>
      <c r="C171" s="103">
        <v>45931</v>
      </c>
      <c r="D171" s="70" t="s">
        <v>2928</v>
      </c>
      <c r="E171" s="70" t="s">
        <v>3044</v>
      </c>
      <c r="F171" s="63" t="s">
        <v>6</v>
      </c>
      <c r="G171" s="69" t="s">
        <v>3049</v>
      </c>
      <c r="H171" s="70" t="s">
        <v>3050</v>
      </c>
    </row>
    <row r="172" spans="2:8" x14ac:dyDescent="0.3">
      <c r="B172" s="140">
        <v>45947</v>
      </c>
      <c r="C172" s="103">
        <v>45931</v>
      </c>
      <c r="D172" s="70" t="s">
        <v>2928</v>
      </c>
      <c r="E172" s="70" t="s">
        <v>3044</v>
      </c>
      <c r="F172" s="64" t="s">
        <v>4</v>
      </c>
      <c r="G172" s="69" t="s">
        <v>3084</v>
      </c>
      <c r="H172" s="70" t="s">
        <v>3085</v>
      </c>
    </row>
    <row r="173" spans="2:8" x14ac:dyDescent="0.3">
      <c r="B173" s="140">
        <v>45950</v>
      </c>
      <c r="C173" s="103">
        <v>45931</v>
      </c>
      <c r="D173" s="70" t="s">
        <v>2928</v>
      </c>
      <c r="E173" s="70" t="s">
        <v>3044</v>
      </c>
      <c r="F173" s="63" t="s">
        <v>6</v>
      </c>
      <c r="G173" s="69" t="s">
        <v>3051</v>
      </c>
      <c r="H173" s="70" t="s">
        <v>3052</v>
      </c>
    </row>
    <row r="174" spans="2:8" x14ac:dyDescent="0.3">
      <c r="B174" s="140">
        <v>45950</v>
      </c>
      <c r="C174" s="103">
        <v>45931</v>
      </c>
      <c r="D174" s="70" t="s">
        <v>2928</v>
      </c>
      <c r="E174" s="70" t="s">
        <v>3044</v>
      </c>
      <c r="F174" s="63" t="s">
        <v>6</v>
      </c>
      <c r="G174" s="67" t="s">
        <v>3045</v>
      </c>
      <c r="H174" s="68" t="s">
        <v>3046</v>
      </c>
    </row>
    <row r="175" spans="2:8" x14ac:dyDescent="0.3">
      <c r="B175" s="140">
        <v>45950</v>
      </c>
      <c r="C175" s="103">
        <v>45931</v>
      </c>
      <c r="D175" s="70" t="s">
        <v>2928</v>
      </c>
      <c r="E175" s="70" t="s">
        <v>3044</v>
      </c>
      <c r="F175" s="63" t="s">
        <v>6</v>
      </c>
      <c r="G175" s="69" t="s">
        <v>3047</v>
      </c>
      <c r="H175" s="70" t="s">
        <v>3048</v>
      </c>
    </row>
    <row r="176" spans="2:8" x14ac:dyDescent="0.3">
      <c r="B176" s="140">
        <v>45950</v>
      </c>
      <c r="C176" s="103">
        <v>45931</v>
      </c>
      <c r="D176" s="70" t="s">
        <v>2928</v>
      </c>
      <c r="E176" s="70" t="s">
        <v>3044</v>
      </c>
      <c r="F176" s="63" t="s">
        <v>6</v>
      </c>
      <c r="G176" s="69" t="s">
        <v>3049</v>
      </c>
      <c r="H176" s="70" t="s">
        <v>3050</v>
      </c>
    </row>
    <row r="177" spans="2:8" x14ac:dyDescent="0.3">
      <c r="B177" s="140">
        <v>45951</v>
      </c>
      <c r="C177" s="103">
        <v>45931</v>
      </c>
      <c r="D177" s="70" t="s">
        <v>2928</v>
      </c>
      <c r="E177" s="70" t="s">
        <v>3044</v>
      </c>
      <c r="F177" s="63" t="s">
        <v>6</v>
      </c>
      <c r="G177" s="69" t="s">
        <v>3051</v>
      </c>
      <c r="H177" s="70" t="s">
        <v>3052</v>
      </c>
    </row>
    <row r="178" spans="2:8" x14ac:dyDescent="0.3">
      <c r="B178" s="140">
        <v>45951</v>
      </c>
      <c r="C178" s="103">
        <v>45931</v>
      </c>
      <c r="D178" s="70" t="s">
        <v>2928</v>
      </c>
      <c r="E178" s="70" t="s">
        <v>3044</v>
      </c>
      <c r="F178" s="63" t="s">
        <v>6</v>
      </c>
      <c r="G178" s="67" t="s">
        <v>3082</v>
      </c>
      <c r="H178" s="68" t="s">
        <v>3083</v>
      </c>
    </row>
    <row r="179" spans="2:8" x14ac:dyDescent="0.3">
      <c r="B179" s="140">
        <v>45951</v>
      </c>
      <c r="C179" s="103">
        <v>45931</v>
      </c>
      <c r="D179" s="70" t="s">
        <v>2928</v>
      </c>
      <c r="E179" s="70" t="s">
        <v>3044</v>
      </c>
      <c r="F179" s="63" t="s">
        <v>6</v>
      </c>
      <c r="G179" s="67" t="s">
        <v>3086</v>
      </c>
      <c r="H179" s="68" t="s">
        <v>3087</v>
      </c>
    </row>
    <row r="180" spans="2:8" x14ac:dyDescent="0.3">
      <c r="B180" s="140">
        <v>45951</v>
      </c>
      <c r="C180" s="103">
        <v>45931</v>
      </c>
      <c r="D180" s="70" t="s">
        <v>2928</v>
      </c>
      <c r="E180" s="70" t="s">
        <v>3044</v>
      </c>
      <c r="F180" s="63" t="s">
        <v>6</v>
      </c>
      <c r="G180" s="67" t="s">
        <v>3045</v>
      </c>
      <c r="H180" s="68" t="s">
        <v>3046</v>
      </c>
    </row>
    <row r="181" spans="2:8" x14ac:dyDescent="0.3">
      <c r="B181" s="140">
        <v>45951</v>
      </c>
      <c r="C181" s="103">
        <v>45931</v>
      </c>
      <c r="D181" s="70" t="s">
        <v>2928</v>
      </c>
      <c r="E181" s="70" t="s">
        <v>3044</v>
      </c>
      <c r="F181" s="63" t="s">
        <v>6</v>
      </c>
      <c r="G181" s="69" t="s">
        <v>3047</v>
      </c>
      <c r="H181" s="70" t="s">
        <v>3048</v>
      </c>
    </row>
    <row r="182" spans="2:8" x14ac:dyDescent="0.3">
      <c r="B182" s="140">
        <v>45951</v>
      </c>
      <c r="C182" s="103">
        <v>45931</v>
      </c>
      <c r="D182" s="70" t="s">
        <v>2928</v>
      </c>
      <c r="E182" s="70" t="s">
        <v>3044</v>
      </c>
      <c r="F182" s="63" t="s">
        <v>6</v>
      </c>
      <c r="G182" s="69" t="s">
        <v>3049</v>
      </c>
      <c r="H182" s="70" t="s">
        <v>3050</v>
      </c>
    </row>
    <row r="183" spans="2:8" x14ac:dyDescent="0.3">
      <c r="B183" s="140">
        <v>45952</v>
      </c>
      <c r="C183" s="103">
        <v>45931</v>
      </c>
      <c r="D183" s="70" t="s">
        <v>2928</v>
      </c>
      <c r="E183" s="70" t="s">
        <v>3044</v>
      </c>
      <c r="F183" s="63" t="s">
        <v>6</v>
      </c>
      <c r="G183" s="69" t="s">
        <v>3051</v>
      </c>
      <c r="H183" s="70" t="s">
        <v>3052</v>
      </c>
    </row>
    <row r="184" spans="2:8" x14ac:dyDescent="0.3">
      <c r="B184" s="140">
        <v>45952</v>
      </c>
      <c r="C184" s="103">
        <v>45931</v>
      </c>
      <c r="D184" s="70" t="s">
        <v>2928</v>
      </c>
      <c r="E184" s="70" t="s">
        <v>3044</v>
      </c>
      <c r="F184" s="63" t="s">
        <v>6</v>
      </c>
      <c r="G184" s="67" t="s">
        <v>3045</v>
      </c>
      <c r="H184" s="68" t="s">
        <v>3046</v>
      </c>
    </row>
    <row r="185" spans="2:8" x14ac:dyDescent="0.3">
      <c r="B185" s="140">
        <v>45952</v>
      </c>
      <c r="C185" s="103">
        <v>45931</v>
      </c>
      <c r="D185" s="70" t="s">
        <v>2928</v>
      </c>
      <c r="E185" s="70" t="s">
        <v>3044</v>
      </c>
      <c r="F185" s="63" t="s">
        <v>6</v>
      </c>
      <c r="G185" s="69" t="s">
        <v>3047</v>
      </c>
      <c r="H185" s="70" t="s">
        <v>3048</v>
      </c>
    </row>
    <row r="186" spans="2:8" x14ac:dyDescent="0.3">
      <c r="B186" s="140">
        <v>45952</v>
      </c>
      <c r="C186" s="103">
        <v>45931</v>
      </c>
      <c r="D186" s="70" t="s">
        <v>2928</v>
      </c>
      <c r="E186" s="70" t="s">
        <v>3044</v>
      </c>
      <c r="F186" s="63" t="s">
        <v>6</v>
      </c>
      <c r="G186" s="69" t="s">
        <v>3049</v>
      </c>
      <c r="H186" s="70" t="s">
        <v>3050</v>
      </c>
    </row>
    <row r="187" spans="2:8" x14ac:dyDescent="0.3">
      <c r="B187" s="140">
        <v>45952</v>
      </c>
      <c r="C187" s="103">
        <v>45931</v>
      </c>
      <c r="D187" s="70" t="s">
        <v>2928</v>
      </c>
      <c r="E187" s="70" t="s">
        <v>3044</v>
      </c>
      <c r="F187" s="63" t="s">
        <v>6</v>
      </c>
      <c r="G187" s="69" t="s">
        <v>3051</v>
      </c>
      <c r="H187" s="70" t="s">
        <v>3052</v>
      </c>
    </row>
    <row r="188" spans="2:8" x14ac:dyDescent="0.3">
      <c r="B188" s="140">
        <v>45952</v>
      </c>
      <c r="C188" s="103">
        <v>45931</v>
      </c>
      <c r="D188" s="70" t="s">
        <v>2928</v>
      </c>
      <c r="E188" s="70" t="s">
        <v>3044</v>
      </c>
      <c r="F188" s="63" t="s">
        <v>6</v>
      </c>
      <c r="G188" s="67" t="s">
        <v>3045</v>
      </c>
      <c r="H188" s="68" t="s">
        <v>3046</v>
      </c>
    </row>
    <row r="189" spans="2:8" x14ac:dyDescent="0.3">
      <c r="B189" s="140">
        <v>45952</v>
      </c>
      <c r="C189" s="103">
        <v>45931</v>
      </c>
      <c r="D189" s="70" t="s">
        <v>2928</v>
      </c>
      <c r="E189" s="70" t="s">
        <v>3044</v>
      </c>
      <c r="F189" s="63" t="s">
        <v>6</v>
      </c>
      <c r="G189" s="69" t="s">
        <v>3047</v>
      </c>
      <c r="H189" s="70" t="s">
        <v>3048</v>
      </c>
    </row>
    <row r="190" spans="2:8" x14ac:dyDescent="0.3">
      <c r="B190" s="140">
        <v>45952</v>
      </c>
      <c r="C190" s="103">
        <v>45931</v>
      </c>
      <c r="D190" s="70" t="s">
        <v>2928</v>
      </c>
      <c r="E190" s="70" t="s">
        <v>3044</v>
      </c>
      <c r="F190" s="63" t="s">
        <v>6</v>
      </c>
      <c r="G190" s="69" t="s">
        <v>3049</v>
      </c>
      <c r="H190" s="70" t="s">
        <v>3050</v>
      </c>
    </row>
    <row r="191" spans="2:8" x14ac:dyDescent="0.3">
      <c r="B191" s="140">
        <v>45953</v>
      </c>
      <c r="C191" s="103">
        <v>45931</v>
      </c>
      <c r="D191" s="70" t="s">
        <v>2928</v>
      </c>
      <c r="E191" s="70" t="s">
        <v>3044</v>
      </c>
      <c r="F191" s="63" t="s">
        <v>6</v>
      </c>
      <c r="G191" s="69" t="s">
        <v>3051</v>
      </c>
      <c r="H191" s="70" t="s">
        <v>3052</v>
      </c>
    </row>
    <row r="192" spans="2:8" x14ac:dyDescent="0.3">
      <c r="B192" s="140">
        <v>45953</v>
      </c>
      <c r="C192" s="103">
        <v>45931</v>
      </c>
      <c r="D192" s="70" t="s">
        <v>2928</v>
      </c>
      <c r="E192" s="70" t="s">
        <v>3044</v>
      </c>
      <c r="F192" s="63" t="s">
        <v>6</v>
      </c>
      <c r="G192" s="67" t="s">
        <v>3045</v>
      </c>
      <c r="H192" s="68" t="s">
        <v>3046</v>
      </c>
    </row>
    <row r="193" spans="2:8" x14ac:dyDescent="0.3">
      <c r="B193" s="140">
        <v>45953</v>
      </c>
      <c r="C193" s="103">
        <v>45931</v>
      </c>
      <c r="D193" s="70" t="s">
        <v>2928</v>
      </c>
      <c r="E193" s="70" t="s">
        <v>3044</v>
      </c>
      <c r="F193" s="63" t="s">
        <v>6</v>
      </c>
      <c r="G193" s="69" t="s">
        <v>3047</v>
      </c>
      <c r="H193" s="70" t="s">
        <v>3048</v>
      </c>
    </row>
    <row r="194" spans="2:8" x14ac:dyDescent="0.3">
      <c r="B194" s="140">
        <v>45953</v>
      </c>
      <c r="C194" s="103">
        <v>45931</v>
      </c>
      <c r="D194" s="70" t="s">
        <v>2928</v>
      </c>
      <c r="E194" s="70" t="s">
        <v>3044</v>
      </c>
      <c r="F194" s="63" t="s">
        <v>6</v>
      </c>
      <c r="G194" s="69" t="s">
        <v>3049</v>
      </c>
      <c r="H194" s="70" t="s">
        <v>3050</v>
      </c>
    </row>
    <row r="195" spans="2:8" x14ac:dyDescent="0.3">
      <c r="B195" s="140">
        <v>45953</v>
      </c>
      <c r="C195" s="103">
        <v>45931</v>
      </c>
      <c r="D195" s="70" t="s">
        <v>2928</v>
      </c>
      <c r="E195" s="70" t="s">
        <v>3044</v>
      </c>
      <c r="F195" s="64" t="s">
        <v>4</v>
      </c>
      <c r="G195" s="69" t="s">
        <v>3084</v>
      </c>
      <c r="H195" s="70" t="s">
        <v>3088</v>
      </c>
    </row>
    <row r="196" spans="2:8" x14ac:dyDescent="0.3">
      <c r="B196" s="140">
        <v>45954</v>
      </c>
      <c r="C196" s="103">
        <v>45931</v>
      </c>
      <c r="D196" s="70" t="s">
        <v>2928</v>
      </c>
      <c r="E196" s="70" t="s">
        <v>3044</v>
      </c>
      <c r="F196" s="63" t="s">
        <v>6</v>
      </c>
      <c r="G196" s="69" t="s">
        <v>3051</v>
      </c>
      <c r="H196" s="70" t="s">
        <v>3052</v>
      </c>
    </row>
    <row r="197" spans="2:8" x14ac:dyDescent="0.3">
      <c r="B197" s="140">
        <v>45954</v>
      </c>
      <c r="C197" s="103">
        <v>45931</v>
      </c>
      <c r="D197" s="70" t="s">
        <v>2928</v>
      </c>
      <c r="E197" s="70" t="s">
        <v>3044</v>
      </c>
      <c r="F197" s="63" t="s">
        <v>6</v>
      </c>
      <c r="G197" s="67" t="s">
        <v>3045</v>
      </c>
      <c r="H197" s="68" t="s">
        <v>3046</v>
      </c>
    </row>
    <row r="198" spans="2:8" x14ac:dyDescent="0.3">
      <c r="B198" s="140">
        <v>45954</v>
      </c>
      <c r="C198" s="103">
        <v>45931</v>
      </c>
      <c r="D198" s="70" t="s">
        <v>2928</v>
      </c>
      <c r="E198" s="70" t="s">
        <v>3044</v>
      </c>
      <c r="F198" s="63" t="s">
        <v>6</v>
      </c>
      <c r="G198" s="69" t="s">
        <v>3047</v>
      </c>
      <c r="H198" s="70" t="s">
        <v>3048</v>
      </c>
    </row>
    <row r="199" spans="2:8" x14ac:dyDescent="0.3">
      <c r="B199" s="140">
        <v>45954</v>
      </c>
      <c r="C199" s="103">
        <v>45931</v>
      </c>
      <c r="D199" s="70" t="s">
        <v>2928</v>
      </c>
      <c r="E199" s="70" t="s">
        <v>3044</v>
      </c>
      <c r="F199" s="63" t="s">
        <v>6</v>
      </c>
      <c r="G199" s="69" t="s">
        <v>3049</v>
      </c>
      <c r="H199" s="70" t="s">
        <v>3050</v>
      </c>
    </row>
    <row r="200" spans="2:8" x14ac:dyDescent="0.3">
      <c r="B200" s="140">
        <v>45957</v>
      </c>
      <c r="C200" s="103">
        <v>45931</v>
      </c>
      <c r="D200" s="70" t="s">
        <v>2928</v>
      </c>
      <c r="E200" s="70" t="s">
        <v>3044</v>
      </c>
      <c r="F200" s="47" t="s">
        <v>6</v>
      </c>
      <c r="G200" s="69" t="s">
        <v>2949</v>
      </c>
      <c r="H200" s="70" t="s">
        <v>2950</v>
      </c>
    </row>
    <row r="201" spans="2:8" x14ac:dyDescent="0.3">
      <c r="B201" s="140">
        <v>45957</v>
      </c>
      <c r="C201" s="103">
        <v>45931</v>
      </c>
      <c r="D201" s="70" t="s">
        <v>2928</v>
      </c>
      <c r="E201" s="70" t="s">
        <v>3044</v>
      </c>
      <c r="F201" s="63" t="s">
        <v>6</v>
      </c>
      <c r="G201" s="69" t="s">
        <v>3051</v>
      </c>
      <c r="H201" s="70" t="s">
        <v>3052</v>
      </c>
    </row>
    <row r="202" spans="2:8" x14ac:dyDescent="0.3">
      <c r="B202" s="140">
        <v>45957</v>
      </c>
      <c r="C202" s="103">
        <v>45931</v>
      </c>
      <c r="D202" s="70" t="s">
        <v>2928</v>
      </c>
      <c r="E202" s="70" t="s">
        <v>3044</v>
      </c>
      <c r="F202" s="63" t="s">
        <v>6</v>
      </c>
      <c r="G202" s="67" t="s">
        <v>3045</v>
      </c>
      <c r="H202" s="68" t="s">
        <v>3046</v>
      </c>
    </row>
    <row r="203" spans="2:8" x14ac:dyDescent="0.3">
      <c r="B203" s="140">
        <v>45957</v>
      </c>
      <c r="C203" s="103">
        <v>45931</v>
      </c>
      <c r="D203" s="70" t="s">
        <v>2928</v>
      </c>
      <c r="E203" s="70" t="s">
        <v>3044</v>
      </c>
      <c r="F203" s="63" t="s">
        <v>6</v>
      </c>
      <c r="G203" s="69" t="s">
        <v>3047</v>
      </c>
      <c r="H203" s="70" t="s">
        <v>3048</v>
      </c>
    </row>
    <row r="204" spans="2:8" x14ac:dyDescent="0.3">
      <c r="B204" s="140">
        <v>45957</v>
      </c>
      <c r="C204" s="103">
        <v>45931</v>
      </c>
      <c r="D204" s="70" t="s">
        <v>2928</v>
      </c>
      <c r="E204" s="70" t="s">
        <v>3044</v>
      </c>
      <c r="F204" s="63" t="s">
        <v>6</v>
      </c>
      <c r="G204" s="69" t="s">
        <v>3049</v>
      </c>
      <c r="H204" s="70" t="s">
        <v>3050</v>
      </c>
    </row>
    <row r="205" spans="2:8" x14ac:dyDescent="0.3">
      <c r="B205" s="140">
        <v>45958</v>
      </c>
      <c r="C205" s="103">
        <v>45931</v>
      </c>
      <c r="D205" s="70" t="s">
        <v>2928</v>
      </c>
      <c r="E205" s="70" t="s">
        <v>3044</v>
      </c>
      <c r="F205" s="47" t="s">
        <v>6</v>
      </c>
      <c r="G205" s="69" t="s">
        <v>2949</v>
      </c>
      <c r="H205" s="70" t="s">
        <v>2950</v>
      </c>
    </row>
    <row r="206" spans="2:8" x14ac:dyDescent="0.3">
      <c r="B206" s="140">
        <v>45958</v>
      </c>
      <c r="C206" s="103">
        <v>45931</v>
      </c>
      <c r="D206" s="70" t="s">
        <v>2928</v>
      </c>
      <c r="E206" s="70" t="s">
        <v>3044</v>
      </c>
      <c r="F206" s="63" t="s">
        <v>6</v>
      </c>
      <c r="G206" s="69" t="s">
        <v>3051</v>
      </c>
      <c r="H206" s="70" t="s">
        <v>3052</v>
      </c>
    </row>
    <row r="207" spans="2:8" x14ac:dyDescent="0.3">
      <c r="B207" s="140">
        <v>45958</v>
      </c>
      <c r="C207" s="103">
        <v>45931</v>
      </c>
      <c r="D207" s="70" t="s">
        <v>2928</v>
      </c>
      <c r="E207" s="70" t="s">
        <v>3044</v>
      </c>
      <c r="F207" s="64" t="s">
        <v>4</v>
      </c>
      <c r="G207" s="69" t="s">
        <v>3089</v>
      </c>
      <c r="H207" s="96" t="s">
        <v>3090</v>
      </c>
    </row>
    <row r="208" spans="2:8" x14ac:dyDescent="0.3">
      <c r="B208" s="140">
        <v>45958</v>
      </c>
      <c r="C208" s="103">
        <v>45931</v>
      </c>
      <c r="D208" s="70" t="s">
        <v>2928</v>
      </c>
      <c r="E208" s="70" t="s">
        <v>3044</v>
      </c>
      <c r="F208" s="63" t="s">
        <v>6</v>
      </c>
      <c r="G208" s="67" t="s">
        <v>3082</v>
      </c>
      <c r="H208" s="68" t="s">
        <v>3083</v>
      </c>
    </row>
    <row r="209" spans="2:8" x14ac:dyDescent="0.3">
      <c r="B209" s="140">
        <v>45958</v>
      </c>
      <c r="C209" s="103">
        <v>45931</v>
      </c>
      <c r="D209" s="70" t="s">
        <v>2928</v>
      </c>
      <c r="E209" s="70" t="s">
        <v>3044</v>
      </c>
      <c r="F209" s="63" t="s">
        <v>6</v>
      </c>
      <c r="G209" s="67" t="s">
        <v>3045</v>
      </c>
      <c r="H209" s="68" t="s">
        <v>3046</v>
      </c>
    </row>
    <row r="210" spans="2:8" x14ac:dyDescent="0.3">
      <c r="B210" s="140">
        <v>45958</v>
      </c>
      <c r="C210" s="103">
        <v>45931</v>
      </c>
      <c r="D210" s="70" t="s">
        <v>2928</v>
      </c>
      <c r="E210" s="70" t="s">
        <v>3044</v>
      </c>
      <c r="F210" s="63" t="s">
        <v>6</v>
      </c>
      <c r="G210" s="69" t="s">
        <v>3047</v>
      </c>
      <c r="H210" s="70" t="s">
        <v>3048</v>
      </c>
    </row>
    <row r="211" spans="2:8" x14ac:dyDescent="0.3">
      <c r="B211" s="140">
        <v>45958</v>
      </c>
      <c r="C211" s="103">
        <v>45931</v>
      </c>
      <c r="D211" s="70" t="s">
        <v>2928</v>
      </c>
      <c r="E211" s="70" t="s">
        <v>3044</v>
      </c>
      <c r="F211" s="63" t="s">
        <v>6</v>
      </c>
      <c r="G211" s="69" t="s">
        <v>3049</v>
      </c>
      <c r="H211" s="70" t="s">
        <v>3050</v>
      </c>
    </row>
    <row r="212" spans="2:8" x14ac:dyDescent="0.3">
      <c r="B212" s="140">
        <v>45959</v>
      </c>
      <c r="C212" s="103">
        <v>45931</v>
      </c>
      <c r="D212" s="70" t="s">
        <v>2928</v>
      </c>
      <c r="E212" s="70" t="s">
        <v>3044</v>
      </c>
      <c r="F212" s="47" t="s">
        <v>6</v>
      </c>
      <c r="G212" s="69" t="s">
        <v>2949</v>
      </c>
      <c r="H212" s="70" t="s">
        <v>2950</v>
      </c>
    </row>
    <row r="213" spans="2:8" x14ac:dyDescent="0.3">
      <c r="B213" s="140">
        <v>45959</v>
      </c>
      <c r="C213" s="103">
        <v>45931</v>
      </c>
      <c r="D213" s="70" t="s">
        <v>2928</v>
      </c>
      <c r="E213" s="70" t="s">
        <v>3044</v>
      </c>
      <c r="F213" s="63" t="s">
        <v>6</v>
      </c>
      <c r="G213" s="69" t="s">
        <v>3051</v>
      </c>
      <c r="H213" s="70" t="s">
        <v>3052</v>
      </c>
    </row>
    <row r="214" spans="2:8" x14ac:dyDescent="0.3">
      <c r="B214" s="140">
        <v>45959</v>
      </c>
      <c r="C214" s="103">
        <v>45931</v>
      </c>
      <c r="D214" s="70" t="s">
        <v>2928</v>
      </c>
      <c r="E214" s="70" t="s">
        <v>3044</v>
      </c>
      <c r="F214" s="63" t="s">
        <v>6</v>
      </c>
      <c r="G214" s="67" t="s">
        <v>3045</v>
      </c>
      <c r="H214" s="68" t="s">
        <v>3046</v>
      </c>
    </row>
    <row r="215" spans="2:8" x14ac:dyDescent="0.3">
      <c r="B215" s="140">
        <v>45959</v>
      </c>
      <c r="C215" s="103">
        <v>45931</v>
      </c>
      <c r="D215" s="70" t="s">
        <v>2928</v>
      </c>
      <c r="E215" s="70" t="s">
        <v>3044</v>
      </c>
      <c r="F215" s="63" t="s">
        <v>6</v>
      </c>
      <c r="G215" s="69" t="s">
        <v>3047</v>
      </c>
      <c r="H215" s="70" t="s">
        <v>3048</v>
      </c>
    </row>
    <row r="216" spans="2:8" x14ac:dyDescent="0.3">
      <c r="B216" s="140">
        <v>45959</v>
      </c>
      <c r="C216" s="103">
        <v>45931</v>
      </c>
      <c r="D216" s="70" t="s">
        <v>2928</v>
      </c>
      <c r="E216" s="70" t="s">
        <v>3044</v>
      </c>
      <c r="F216" s="63" t="s">
        <v>6</v>
      </c>
      <c r="G216" s="69" t="s">
        <v>3049</v>
      </c>
      <c r="H216" s="70" t="s">
        <v>3050</v>
      </c>
    </row>
    <row r="217" spans="2:8" x14ac:dyDescent="0.3">
      <c r="B217" s="140">
        <v>45960</v>
      </c>
      <c r="C217" s="103">
        <v>45931</v>
      </c>
      <c r="D217" s="70" t="s">
        <v>2928</v>
      </c>
      <c r="E217" s="70" t="s">
        <v>3044</v>
      </c>
      <c r="F217" s="47" t="s">
        <v>6</v>
      </c>
      <c r="G217" s="69" t="s">
        <v>2949</v>
      </c>
      <c r="H217" s="70" t="s">
        <v>2950</v>
      </c>
    </row>
    <row r="218" spans="2:8" x14ac:dyDescent="0.3">
      <c r="B218" s="140">
        <v>45960</v>
      </c>
      <c r="C218" s="103">
        <v>45931</v>
      </c>
      <c r="D218" s="70" t="s">
        <v>2928</v>
      </c>
      <c r="E218" s="70" t="s">
        <v>3044</v>
      </c>
      <c r="F218" s="63" t="s">
        <v>6</v>
      </c>
      <c r="G218" s="69" t="s">
        <v>3051</v>
      </c>
      <c r="H218" s="99" t="s">
        <v>3052</v>
      </c>
    </row>
    <row r="219" spans="2:8" x14ac:dyDescent="0.3">
      <c r="B219" s="140">
        <v>45960</v>
      </c>
      <c r="C219" s="103">
        <v>45931</v>
      </c>
      <c r="D219" s="70" t="s">
        <v>2928</v>
      </c>
      <c r="E219" s="70" t="s">
        <v>3044</v>
      </c>
      <c r="F219" s="64" t="s">
        <v>4</v>
      </c>
      <c r="G219" s="98" t="s">
        <v>3091</v>
      </c>
      <c r="H219" s="100" t="s">
        <v>3092</v>
      </c>
    </row>
    <row r="220" spans="2:8" x14ac:dyDescent="0.3">
      <c r="B220" s="140">
        <v>45960</v>
      </c>
      <c r="C220" s="103">
        <v>45931</v>
      </c>
      <c r="D220" s="70" t="s">
        <v>2928</v>
      </c>
      <c r="E220" s="70" t="s">
        <v>3044</v>
      </c>
      <c r="F220" s="64" t="s">
        <v>4</v>
      </c>
      <c r="G220" s="98" t="s">
        <v>3093</v>
      </c>
      <c r="H220" s="97" t="s">
        <v>3094</v>
      </c>
    </row>
    <row r="221" spans="2:8" x14ac:dyDescent="0.3">
      <c r="B221" s="140">
        <v>45960</v>
      </c>
      <c r="C221" s="103">
        <v>45931</v>
      </c>
      <c r="D221" s="70" t="s">
        <v>2928</v>
      </c>
      <c r="E221" s="70" t="s">
        <v>3044</v>
      </c>
      <c r="F221" s="64" t="s">
        <v>4</v>
      </c>
      <c r="G221" s="98" t="s">
        <v>3095</v>
      </c>
      <c r="H221" s="97" t="s">
        <v>3096</v>
      </c>
    </row>
    <row r="222" spans="2:8" x14ac:dyDescent="0.3">
      <c r="B222" s="140">
        <v>45960</v>
      </c>
      <c r="C222" s="103">
        <v>45931</v>
      </c>
      <c r="D222" s="70" t="s">
        <v>2928</v>
      </c>
      <c r="E222" s="70" t="s">
        <v>3044</v>
      </c>
      <c r="F222" s="63" t="s">
        <v>6</v>
      </c>
      <c r="G222" s="67" t="s">
        <v>3045</v>
      </c>
      <c r="H222" s="68" t="s">
        <v>3046</v>
      </c>
    </row>
    <row r="223" spans="2:8" x14ac:dyDescent="0.3">
      <c r="B223" s="140">
        <v>45960</v>
      </c>
      <c r="C223" s="103">
        <v>45931</v>
      </c>
      <c r="D223" s="70" t="s">
        <v>2928</v>
      </c>
      <c r="E223" s="70" t="s">
        <v>3044</v>
      </c>
      <c r="F223" s="63" t="s">
        <v>6</v>
      </c>
      <c r="G223" s="69" t="s">
        <v>3047</v>
      </c>
      <c r="H223" s="70" t="s">
        <v>3048</v>
      </c>
    </row>
    <row r="224" spans="2:8" x14ac:dyDescent="0.3">
      <c r="B224" s="140">
        <v>45960</v>
      </c>
      <c r="C224" s="103">
        <v>45931</v>
      </c>
      <c r="D224" s="70" t="s">
        <v>2928</v>
      </c>
      <c r="E224" s="70" t="s">
        <v>3044</v>
      </c>
      <c r="F224" s="63" t="s">
        <v>6</v>
      </c>
      <c r="G224" s="69" t="s">
        <v>3049</v>
      </c>
      <c r="H224" s="70" t="s">
        <v>3050</v>
      </c>
    </row>
    <row r="225" spans="2:8" x14ac:dyDescent="0.3">
      <c r="B225" s="140">
        <v>45961</v>
      </c>
      <c r="C225" s="103">
        <v>45931</v>
      </c>
      <c r="D225" s="70" t="s">
        <v>2928</v>
      </c>
      <c r="E225" s="70" t="s">
        <v>3044</v>
      </c>
      <c r="F225" s="47" t="s">
        <v>6</v>
      </c>
      <c r="G225" s="69" t="s">
        <v>2949</v>
      </c>
      <c r="H225" s="70" t="s">
        <v>2950</v>
      </c>
    </row>
    <row r="226" spans="2:8" x14ac:dyDescent="0.3">
      <c r="B226" s="140">
        <v>45961</v>
      </c>
      <c r="C226" s="103">
        <v>45931</v>
      </c>
      <c r="D226" s="70" t="s">
        <v>2928</v>
      </c>
      <c r="E226" s="70" t="s">
        <v>3044</v>
      </c>
      <c r="F226" s="63" t="s">
        <v>6</v>
      </c>
      <c r="G226" s="69" t="s">
        <v>3051</v>
      </c>
      <c r="H226" s="70" t="s">
        <v>3052</v>
      </c>
    </row>
    <row r="227" spans="2:8" x14ac:dyDescent="0.3">
      <c r="B227" s="140">
        <v>45961</v>
      </c>
      <c r="C227" s="103">
        <v>45931</v>
      </c>
      <c r="D227" s="70" t="s">
        <v>2928</v>
      </c>
      <c r="E227" s="70" t="s">
        <v>3044</v>
      </c>
      <c r="F227" s="63" t="s">
        <v>6</v>
      </c>
      <c r="G227" s="67" t="s">
        <v>3045</v>
      </c>
      <c r="H227" s="68" t="s">
        <v>3046</v>
      </c>
    </row>
    <row r="228" spans="2:8" x14ac:dyDescent="0.3">
      <c r="B228" s="140">
        <v>45961</v>
      </c>
      <c r="C228" s="103">
        <v>45931</v>
      </c>
      <c r="D228" s="70" t="s">
        <v>2928</v>
      </c>
      <c r="E228" s="70" t="s">
        <v>3044</v>
      </c>
      <c r="F228" s="63" t="s">
        <v>6</v>
      </c>
      <c r="G228" s="69" t="s">
        <v>3047</v>
      </c>
      <c r="H228" s="70" t="s">
        <v>3048</v>
      </c>
    </row>
    <row r="229" spans="2:8" x14ac:dyDescent="0.3">
      <c r="B229" s="140">
        <v>45961</v>
      </c>
      <c r="C229" s="103">
        <v>45931</v>
      </c>
      <c r="D229" s="70" t="s">
        <v>2928</v>
      </c>
      <c r="E229" s="70" t="s">
        <v>3044</v>
      </c>
      <c r="F229" s="63" t="s">
        <v>6</v>
      </c>
      <c r="G229" s="69" t="s">
        <v>3049</v>
      </c>
      <c r="H229" s="70" t="s">
        <v>3050</v>
      </c>
    </row>
    <row r="230" spans="2:8" x14ac:dyDescent="0.3">
      <c r="B230" s="140">
        <v>45964</v>
      </c>
      <c r="C230" s="103">
        <v>45962</v>
      </c>
      <c r="D230" s="70" t="s">
        <v>2928</v>
      </c>
      <c r="E230" s="70" t="s">
        <v>3044</v>
      </c>
      <c r="F230" s="63" t="s">
        <v>6</v>
      </c>
      <c r="G230" s="69" t="s">
        <v>3051</v>
      </c>
      <c r="H230" s="70" t="s">
        <v>3052</v>
      </c>
    </row>
    <row r="231" spans="2:8" x14ac:dyDescent="0.3">
      <c r="B231" s="140">
        <v>45964</v>
      </c>
      <c r="C231" s="103">
        <v>45962</v>
      </c>
      <c r="D231" s="70" t="s">
        <v>2928</v>
      </c>
      <c r="E231" s="70" t="s">
        <v>3044</v>
      </c>
      <c r="F231" s="63" t="s">
        <v>6</v>
      </c>
      <c r="G231" s="67" t="s">
        <v>3045</v>
      </c>
      <c r="H231" s="68" t="s">
        <v>3046</v>
      </c>
    </row>
    <row r="232" spans="2:8" x14ac:dyDescent="0.3">
      <c r="B232" s="140">
        <v>45964</v>
      </c>
      <c r="C232" s="103">
        <v>45962</v>
      </c>
      <c r="D232" s="70" t="s">
        <v>2928</v>
      </c>
      <c r="E232" s="70" t="s">
        <v>3044</v>
      </c>
      <c r="F232" s="63" t="s">
        <v>6</v>
      </c>
      <c r="G232" s="69" t="s">
        <v>3047</v>
      </c>
      <c r="H232" s="70" t="s">
        <v>3048</v>
      </c>
    </row>
    <row r="233" spans="2:8" x14ac:dyDescent="0.3">
      <c r="B233" s="140">
        <v>45964</v>
      </c>
      <c r="C233" s="103">
        <v>45962</v>
      </c>
      <c r="D233" s="70" t="s">
        <v>2928</v>
      </c>
      <c r="E233" s="70" t="s">
        <v>3044</v>
      </c>
      <c r="F233" s="63" t="s">
        <v>6</v>
      </c>
      <c r="G233" s="69" t="s">
        <v>3049</v>
      </c>
      <c r="H233" s="70" t="s">
        <v>3050</v>
      </c>
    </row>
    <row r="234" spans="2:8" x14ac:dyDescent="0.3">
      <c r="B234" s="140">
        <v>45965</v>
      </c>
      <c r="C234" s="103">
        <v>45962</v>
      </c>
      <c r="D234" s="70" t="s">
        <v>2928</v>
      </c>
      <c r="E234" s="70" t="s">
        <v>3044</v>
      </c>
      <c r="F234" s="63" t="s">
        <v>6</v>
      </c>
      <c r="G234" s="69" t="s">
        <v>3051</v>
      </c>
      <c r="H234" s="70" t="s">
        <v>3052</v>
      </c>
    </row>
    <row r="235" spans="2:8" x14ac:dyDescent="0.3">
      <c r="B235" s="140">
        <v>45965</v>
      </c>
      <c r="C235" s="103">
        <v>45962</v>
      </c>
      <c r="D235" s="70" t="s">
        <v>2928</v>
      </c>
      <c r="E235" s="70" t="s">
        <v>3044</v>
      </c>
      <c r="F235" s="63" t="s">
        <v>6</v>
      </c>
      <c r="G235" s="67" t="s">
        <v>3082</v>
      </c>
      <c r="H235" s="68" t="s">
        <v>3083</v>
      </c>
    </row>
    <row r="236" spans="2:8" x14ac:dyDescent="0.3">
      <c r="B236" s="140">
        <v>45965</v>
      </c>
      <c r="C236" s="103">
        <v>45962</v>
      </c>
      <c r="D236" s="70" t="s">
        <v>2928</v>
      </c>
      <c r="E236" s="70" t="s">
        <v>3044</v>
      </c>
      <c r="F236" s="63" t="s">
        <v>6</v>
      </c>
      <c r="G236" s="67" t="s">
        <v>3045</v>
      </c>
      <c r="H236" s="68" t="s">
        <v>3046</v>
      </c>
    </row>
    <row r="237" spans="2:8" x14ac:dyDescent="0.3">
      <c r="B237" s="140">
        <v>45965</v>
      </c>
      <c r="C237" s="103">
        <v>45962</v>
      </c>
      <c r="D237" s="70" t="s">
        <v>2928</v>
      </c>
      <c r="E237" s="70" t="s">
        <v>3044</v>
      </c>
      <c r="F237" s="63" t="s">
        <v>6</v>
      </c>
      <c r="G237" s="69" t="s">
        <v>3047</v>
      </c>
      <c r="H237" s="70" t="s">
        <v>3048</v>
      </c>
    </row>
    <row r="238" spans="2:8" x14ac:dyDescent="0.3">
      <c r="B238" s="140">
        <v>45965</v>
      </c>
      <c r="C238" s="103">
        <v>45962</v>
      </c>
      <c r="D238" s="70" t="s">
        <v>2928</v>
      </c>
      <c r="E238" s="70" t="s">
        <v>3044</v>
      </c>
      <c r="F238" s="63" t="s">
        <v>6</v>
      </c>
      <c r="G238" s="69" t="s">
        <v>3049</v>
      </c>
      <c r="H238" s="70" t="s">
        <v>3050</v>
      </c>
    </row>
    <row r="239" spans="2:8" x14ac:dyDescent="0.3">
      <c r="B239" s="140">
        <v>45965</v>
      </c>
      <c r="C239" s="103">
        <v>45962</v>
      </c>
      <c r="D239" s="70" t="s">
        <v>2928</v>
      </c>
      <c r="E239" s="70" t="s">
        <v>3044</v>
      </c>
      <c r="F239" s="64" t="s">
        <v>4</v>
      </c>
      <c r="G239" s="98" t="s">
        <v>3097</v>
      </c>
      <c r="H239" s="97" t="s">
        <v>3098</v>
      </c>
    </row>
    <row r="240" spans="2:8" x14ac:dyDescent="0.3">
      <c r="B240" s="140">
        <v>45966</v>
      </c>
      <c r="C240" s="103">
        <v>45962</v>
      </c>
      <c r="D240" s="70" t="s">
        <v>2928</v>
      </c>
      <c r="E240" s="70" t="s">
        <v>3044</v>
      </c>
      <c r="F240" s="63" t="s">
        <v>6</v>
      </c>
      <c r="G240" s="69" t="s">
        <v>3051</v>
      </c>
      <c r="H240" s="70" t="s">
        <v>3052</v>
      </c>
    </row>
    <row r="241" spans="2:8" x14ac:dyDescent="0.3">
      <c r="B241" s="140">
        <v>45966</v>
      </c>
      <c r="C241" s="103">
        <v>45962</v>
      </c>
      <c r="D241" s="70" t="s">
        <v>2928</v>
      </c>
      <c r="E241" s="70" t="s">
        <v>3044</v>
      </c>
      <c r="F241" s="63" t="s">
        <v>6</v>
      </c>
      <c r="G241" s="67" t="s">
        <v>3045</v>
      </c>
      <c r="H241" s="68" t="s">
        <v>3046</v>
      </c>
    </row>
    <row r="242" spans="2:8" x14ac:dyDescent="0.3">
      <c r="B242" s="140">
        <v>45966</v>
      </c>
      <c r="C242" s="103">
        <v>45962</v>
      </c>
      <c r="D242" s="70" t="s">
        <v>2928</v>
      </c>
      <c r="E242" s="70" t="s">
        <v>3044</v>
      </c>
      <c r="F242" s="63" t="s">
        <v>6</v>
      </c>
      <c r="G242" s="69" t="s">
        <v>3047</v>
      </c>
      <c r="H242" s="70" t="s">
        <v>3048</v>
      </c>
    </row>
    <row r="243" spans="2:8" x14ac:dyDescent="0.3">
      <c r="B243" s="140">
        <v>45966</v>
      </c>
      <c r="C243" s="103">
        <v>45962</v>
      </c>
      <c r="D243" s="70" t="s">
        <v>2928</v>
      </c>
      <c r="E243" s="70" t="s">
        <v>3044</v>
      </c>
      <c r="F243" s="63" t="s">
        <v>6</v>
      </c>
      <c r="G243" s="69" t="s">
        <v>3049</v>
      </c>
      <c r="H243" s="70" t="s">
        <v>3050</v>
      </c>
    </row>
    <row r="244" spans="2:8" x14ac:dyDescent="0.3">
      <c r="B244" s="140">
        <v>45967</v>
      </c>
      <c r="C244" s="103">
        <v>45962</v>
      </c>
      <c r="D244" s="70" t="s">
        <v>2928</v>
      </c>
      <c r="E244" s="70" t="s">
        <v>3044</v>
      </c>
      <c r="F244" s="63" t="s">
        <v>6</v>
      </c>
      <c r="G244" s="69" t="s">
        <v>3051</v>
      </c>
      <c r="H244" s="70" t="s">
        <v>3052</v>
      </c>
    </row>
    <row r="245" spans="2:8" x14ac:dyDescent="0.3">
      <c r="B245" s="140">
        <v>45967</v>
      </c>
      <c r="C245" s="103">
        <v>45962</v>
      </c>
      <c r="D245" s="70" t="s">
        <v>2928</v>
      </c>
      <c r="E245" s="70" t="s">
        <v>3044</v>
      </c>
      <c r="F245" s="63" t="s">
        <v>6</v>
      </c>
      <c r="G245" s="67" t="s">
        <v>3045</v>
      </c>
      <c r="H245" s="68" t="s">
        <v>3046</v>
      </c>
    </row>
    <row r="246" spans="2:8" x14ac:dyDescent="0.3">
      <c r="B246" s="140">
        <v>45967</v>
      </c>
      <c r="C246" s="103">
        <v>45962</v>
      </c>
      <c r="D246" s="70" t="s">
        <v>2928</v>
      </c>
      <c r="E246" s="70" t="s">
        <v>3044</v>
      </c>
      <c r="F246" s="63" t="s">
        <v>6</v>
      </c>
      <c r="G246" s="69" t="s">
        <v>3047</v>
      </c>
      <c r="H246" s="70" t="s">
        <v>3048</v>
      </c>
    </row>
    <row r="247" spans="2:8" x14ac:dyDescent="0.3">
      <c r="B247" s="140">
        <v>45967</v>
      </c>
      <c r="C247" s="103">
        <v>45962</v>
      </c>
      <c r="D247" s="70" t="s">
        <v>2928</v>
      </c>
      <c r="E247" s="70" t="s">
        <v>3044</v>
      </c>
      <c r="F247" s="63" t="s">
        <v>6</v>
      </c>
      <c r="G247" s="69" t="s">
        <v>3049</v>
      </c>
      <c r="H247" s="70" t="s">
        <v>3050</v>
      </c>
    </row>
    <row r="248" spans="2:8" x14ac:dyDescent="0.3">
      <c r="B248" s="140">
        <v>45967</v>
      </c>
      <c r="C248" s="103">
        <v>45962</v>
      </c>
      <c r="D248" s="70" t="s">
        <v>2928</v>
      </c>
      <c r="E248" s="70" t="s">
        <v>3044</v>
      </c>
      <c r="F248" s="64" t="s">
        <v>4</v>
      </c>
      <c r="G248" s="98" t="s">
        <v>3099</v>
      </c>
      <c r="H248" s="101" t="s">
        <v>3100</v>
      </c>
    </row>
    <row r="249" spans="2:8" x14ac:dyDescent="0.3">
      <c r="B249" s="140">
        <v>45968</v>
      </c>
      <c r="C249" s="103">
        <v>45962</v>
      </c>
      <c r="D249" s="70" t="s">
        <v>2928</v>
      </c>
      <c r="E249" s="70" t="s">
        <v>3044</v>
      </c>
      <c r="F249" s="63" t="s">
        <v>6</v>
      </c>
      <c r="G249" s="69" t="s">
        <v>3051</v>
      </c>
      <c r="H249" s="70" t="s">
        <v>3052</v>
      </c>
    </row>
    <row r="250" spans="2:8" x14ac:dyDescent="0.3">
      <c r="B250" s="140">
        <v>45968</v>
      </c>
      <c r="C250" s="103">
        <v>45962</v>
      </c>
      <c r="D250" s="70" t="s">
        <v>2928</v>
      </c>
      <c r="E250" s="70" t="s">
        <v>3044</v>
      </c>
      <c r="F250" s="63" t="s">
        <v>6</v>
      </c>
      <c r="G250" s="67" t="s">
        <v>3045</v>
      </c>
      <c r="H250" s="68" t="s">
        <v>3046</v>
      </c>
    </row>
    <row r="251" spans="2:8" x14ac:dyDescent="0.3">
      <c r="B251" s="140">
        <v>45968</v>
      </c>
      <c r="C251" s="103">
        <v>45962</v>
      </c>
      <c r="D251" s="70" t="s">
        <v>2928</v>
      </c>
      <c r="E251" s="70" t="s">
        <v>3044</v>
      </c>
      <c r="F251" s="63" t="s">
        <v>6</v>
      </c>
      <c r="G251" s="69" t="s">
        <v>3047</v>
      </c>
      <c r="H251" s="70" t="s">
        <v>3048</v>
      </c>
    </row>
    <row r="252" spans="2:8" x14ac:dyDescent="0.3">
      <c r="B252" s="140">
        <v>45968</v>
      </c>
      <c r="C252" s="103">
        <v>45962</v>
      </c>
      <c r="D252" s="70" t="s">
        <v>2928</v>
      </c>
      <c r="E252" s="70" t="s">
        <v>3044</v>
      </c>
      <c r="F252" s="63" t="s">
        <v>6</v>
      </c>
      <c r="G252" s="69" t="s">
        <v>3049</v>
      </c>
      <c r="H252" s="70" t="s">
        <v>3050</v>
      </c>
    </row>
    <row r="253" spans="2:8" x14ac:dyDescent="0.3">
      <c r="B253" s="140">
        <v>45971</v>
      </c>
      <c r="C253" s="103">
        <v>45962</v>
      </c>
      <c r="D253" s="70" t="s">
        <v>2928</v>
      </c>
      <c r="E253" s="70" t="s">
        <v>3044</v>
      </c>
      <c r="F253" s="63" t="s">
        <v>6</v>
      </c>
      <c r="G253" s="69" t="s">
        <v>3051</v>
      </c>
      <c r="H253" s="70" t="s">
        <v>3052</v>
      </c>
    </row>
    <row r="254" spans="2:8" x14ac:dyDescent="0.3">
      <c r="B254" s="140">
        <v>45971</v>
      </c>
      <c r="C254" s="103">
        <v>45962</v>
      </c>
      <c r="D254" s="70" t="s">
        <v>2928</v>
      </c>
      <c r="E254" s="70" t="s">
        <v>3044</v>
      </c>
      <c r="F254" s="63" t="s">
        <v>6</v>
      </c>
      <c r="G254" s="67" t="s">
        <v>3045</v>
      </c>
      <c r="H254" s="68" t="s">
        <v>3046</v>
      </c>
    </row>
    <row r="255" spans="2:8" x14ac:dyDescent="0.3">
      <c r="B255" s="140">
        <v>45971</v>
      </c>
      <c r="C255" s="103">
        <v>45962</v>
      </c>
      <c r="D255" s="70" t="s">
        <v>2928</v>
      </c>
      <c r="E255" s="70" t="s">
        <v>3044</v>
      </c>
      <c r="F255" s="63" t="s">
        <v>6</v>
      </c>
      <c r="G255" s="69" t="s">
        <v>3047</v>
      </c>
      <c r="H255" s="70" t="s">
        <v>3048</v>
      </c>
    </row>
    <row r="256" spans="2:8" x14ac:dyDescent="0.3">
      <c r="B256" s="140">
        <v>45971</v>
      </c>
      <c r="C256" s="103">
        <v>45962</v>
      </c>
      <c r="D256" s="70" t="s">
        <v>2928</v>
      </c>
      <c r="E256" s="70" t="s">
        <v>3044</v>
      </c>
      <c r="F256" s="63" t="s">
        <v>6</v>
      </c>
      <c r="G256" s="69" t="s">
        <v>3049</v>
      </c>
      <c r="H256" s="70" t="s">
        <v>3050</v>
      </c>
    </row>
    <row r="257" spans="2:8" x14ac:dyDescent="0.3">
      <c r="B257" s="140">
        <v>45972</v>
      </c>
      <c r="C257" s="103">
        <v>45962</v>
      </c>
      <c r="D257" s="70" t="s">
        <v>2928</v>
      </c>
      <c r="E257" s="70" t="s">
        <v>3044</v>
      </c>
      <c r="F257" s="63" t="s">
        <v>6</v>
      </c>
      <c r="G257" s="69" t="s">
        <v>3051</v>
      </c>
      <c r="H257" s="70" t="s">
        <v>3052</v>
      </c>
    </row>
    <row r="258" spans="2:8" x14ac:dyDescent="0.3">
      <c r="B258" s="140">
        <v>45972</v>
      </c>
      <c r="C258" s="103">
        <v>45962</v>
      </c>
      <c r="D258" s="70" t="s">
        <v>2928</v>
      </c>
      <c r="E258" s="70" t="s">
        <v>3044</v>
      </c>
      <c r="F258" s="63" t="s">
        <v>6</v>
      </c>
      <c r="G258" s="67" t="s">
        <v>3082</v>
      </c>
      <c r="H258" s="68" t="s">
        <v>3083</v>
      </c>
    </row>
    <row r="259" spans="2:8" x14ac:dyDescent="0.3">
      <c r="B259" s="140">
        <v>45972</v>
      </c>
      <c r="C259" s="103">
        <v>45962</v>
      </c>
      <c r="D259" s="70" t="s">
        <v>2928</v>
      </c>
      <c r="E259" s="70" t="s">
        <v>3044</v>
      </c>
      <c r="F259" s="63" t="s">
        <v>6</v>
      </c>
      <c r="G259" s="67" t="s">
        <v>3045</v>
      </c>
      <c r="H259" s="68" t="s">
        <v>3046</v>
      </c>
    </row>
    <row r="260" spans="2:8" x14ac:dyDescent="0.3">
      <c r="B260" s="140">
        <v>45972</v>
      </c>
      <c r="C260" s="103">
        <v>45962</v>
      </c>
      <c r="D260" s="70" t="s">
        <v>2928</v>
      </c>
      <c r="E260" s="70" t="s">
        <v>3044</v>
      </c>
      <c r="F260" s="64" t="s">
        <v>4</v>
      </c>
      <c r="G260" s="98" t="s">
        <v>3101</v>
      </c>
      <c r="H260" s="101" t="s">
        <v>3102</v>
      </c>
    </row>
    <row r="261" spans="2:8" x14ac:dyDescent="0.3">
      <c r="B261" s="140">
        <v>45972</v>
      </c>
      <c r="C261" s="103">
        <v>45962</v>
      </c>
      <c r="D261" s="70" t="s">
        <v>2928</v>
      </c>
      <c r="E261" s="70" t="s">
        <v>3044</v>
      </c>
      <c r="F261" s="64" t="s">
        <v>4</v>
      </c>
      <c r="G261" s="98" t="s">
        <v>3103</v>
      </c>
      <c r="H261" s="101" t="s">
        <v>3104</v>
      </c>
    </row>
    <row r="262" spans="2:8" x14ac:dyDescent="0.3">
      <c r="B262" s="140">
        <v>45972</v>
      </c>
      <c r="C262" s="103">
        <v>45962</v>
      </c>
      <c r="D262" s="70" t="s">
        <v>2928</v>
      </c>
      <c r="E262" s="70" t="s">
        <v>3044</v>
      </c>
      <c r="F262" s="63" t="s">
        <v>6</v>
      </c>
      <c r="G262" s="69" t="s">
        <v>3047</v>
      </c>
      <c r="H262" s="70" t="s">
        <v>3048</v>
      </c>
    </row>
    <row r="263" spans="2:8" x14ac:dyDescent="0.3">
      <c r="B263" s="140">
        <v>45972</v>
      </c>
      <c r="C263" s="103">
        <v>45962</v>
      </c>
      <c r="D263" s="70" t="s">
        <v>2928</v>
      </c>
      <c r="E263" s="70" t="s">
        <v>3044</v>
      </c>
      <c r="F263" s="63" t="s">
        <v>6</v>
      </c>
      <c r="G263" s="69" t="s">
        <v>3049</v>
      </c>
      <c r="H263" s="70" t="s">
        <v>3050</v>
      </c>
    </row>
    <row r="264" spans="2:8" x14ac:dyDescent="0.3">
      <c r="B264" s="140">
        <v>45973</v>
      </c>
      <c r="C264" s="103">
        <v>45962</v>
      </c>
      <c r="D264" s="70" t="s">
        <v>2928</v>
      </c>
      <c r="E264" s="70" t="s">
        <v>3044</v>
      </c>
      <c r="F264" s="63" t="s">
        <v>6</v>
      </c>
      <c r="G264" s="69" t="s">
        <v>3051</v>
      </c>
      <c r="H264" s="70" t="s">
        <v>3052</v>
      </c>
    </row>
    <row r="265" spans="2:8" x14ac:dyDescent="0.3">
      <c r="B265" s="140">
        <v>45973</v>
      </c>
      <c r="C265" s="103">
        <v>45962</v>
      </c>
      <c r="D265" s="70" t="s">
        <v>2928</v>
      </c>
      <c r="E265" s="70" t="s">
        <v>3044</v>
      </c>
      <c r="F265" s="63" t="s">
        <v>6</v>
      </c>
      <c r="G265" s="67" t="s">
        <v>3045</v>
      </c>
      <c r="H265" s="68" t="s">
        <v>3046</v>
      </c>
    </row>
    <row r="266" spans="2:8" x14ac:dyDescent="0.3">
      <c r="B266" s="140">
        <v>45973</v>
      </c>
      <c r="C266" s="103">
        <v>45962</v>
      </c>
      <c r="D266" s="70" t="s">
        <v>2928</v>
      </c>
      <c r="E266" s="70" t="s">
        <v>3044</v>
      </c>
      <c r="F266" s="63" t="s">
        <v>6</v>
      </c>
      <c r="G266" s="69" t="s">
        <v>3047</v>
      </c>
      <c r="H266" s="70" t="s">
        <v>3048</v>
      </c>
    </row>
    <row r="267" spans="2:8" x14ac:dyDescent="0.3">
      <c r="B267" s="140">
        <v>45973</v>
      </c>
      <c r="C267" s="103">
        <v>45962</v>
      </c>
      <c r="D267" s="70" t="s">
        <v>2928</v>
      </c>
      <c r="E267" s="70" t="s">
        <v>3044</v>
      </c>
      <c r="F267" s="63" t="s">
        <v>6</v>
      </c>
      <c r="G267" s="69" t="s">
        <v>3049</v>
      </c>
      <c r="H267" s="70" t="s">
        <v>3050</v>
      </c>
    </row>
    <row r="268" spans="2:8" x14ac:dyDescent="0.3">
      <c r="B268" s="140">
        <v>45973</v>
      </c>
      <c r="C268" s="103">
        <v>45962</v>
      </c>
      <c r="D268" s="70" t="s">
        <v>2928</v>
      </c>
      <c r="E268" s="70" t="s">
        <v>3044</v>
      </c>
      <c r="F268" s="63" t="s">
        <v>6</v>
      </c>
      <c r="G268" s="69" t="s">
        <v>3105</v>
      </c>
      <c r="H268" s="70" t="s">
        <v>3106</v>
      </c>
    </row>
    <row r="269" spans="2:8" x14ac:dyDescent="0.3">
      <c r="B269" s="140">
        <v>45974</v>
      </c>
      <c r="C269" s="103">
        <v>45962</v>
      </c>
      <c r="D269" s="70" t="s">
        <v>2928</v>
      </c>
      <c r="E269" s="70" t="s">
        <v>3044</v>
      </c>
      <c r="F269" s="63" t="s">
        <v>6</v>
      </c>
      <c r="G269" s="69" t="s">
        <v>3051</v>
      </c>
      <c r="H269" s="70" t="s">
        <v>3052</v>
      </c>
    </row>
    <row r="270" spans="2:8" x14ac:dyDescent="0.3">
      <c r="B270" s="140">
        <v>45974</v>
      </c>
      <c r="C270" s="103">
        <v>45962</v>
      </c>
      <c r="D270" s="70" t="s">
        <v>2928</v>
      </c>
      <c r="E270" s="70" t="s">
        <v>3044</v>
      </c>
      <c r="F270" s="63" t="s">
        <v>6</v>
      </c>
      <c r="G270" s="67" t="s">
        <v>3045</v>
      </c>
      <c r="H270" s="68" t="s">
        <v>3046</v>
      </c>
    </row>
    <row r="271" spans="2:8" x14ac:dyDescent="0.3">
      <c r="B271" s="140">
        <v>45974</v>
      </c>
      <c r="C271" s="103">
        <v>45962</v>
      </c>
      <c r="D271" s="70" t="s">
        <v>2928</v>
      </c>
      <c r="E271" s="70" t="s">
        <v>3044</v>
      </c>
      <c r="F271" s="63" t="s">
        <v>6</v>
      </c>
      <c r="G271" s="69" t="s">
        <v>3047</v>
      </c>
      <c r="H271" s="70" t="s">
        <v>3048</v>
      </c>
    </row>
    <row r="272" spans="2:8" x14ac:dyDescent="0.3">
      <c r="B272" s="140">
        <v>45974</v>
      </c>
      <c r="C272" s="103">
        <v>45962</v>
      </c>
      <c r="D272" s="70" t="s">
        <v>2928</v>
      </c>
      <c r="E272" s="70" t="s">
        <v>3044</v>
      </c>
      <c r="F272" s="63" t="s">
        <v>6</v>
      </c>
      <c r="G272" s="69" t="s">
        <v>3049</v>
      </c>
      <c r="H272" s="70" t="s">
        <v>3050</v>
      </c>
    </row>
    <row r="273" spans="2:8" x14ac:dyDescent="0.3">
      <c r="B273" s="140">
        <v>45974</v>
      </c>
      <c r="C273" s="103">
        <v>45962</v>
      </c>
      <c r="D273" s="70" t="s">
        <v>2928</v>
      </c>
      <c r="E273" s="70" t="s">
        <v>3044</v>
      </c>
      <c r="F273" s="64" t="s">
        <v>4</v>
      </c>
      <c r="G273" s="98" t="s">
        <v>3107</v>
      </c>
      <c r="H273" s="101" t="s">
        <v>3104</v>
      </c>
    </row>
    <row r="274" spans="2:8" x14ac:dyDescent="0.3">
      <c r="B274" s="140">
        <v>45975</v>
      </c>
      <c r="C274" s="103">
        <v>45962</v>
      </c>
      <c r="D274" s="70" t="s">
        <v>2928</v>
      </c>
      <c r="E274" s="70" t="s">
        <v>3044</v>
      </c>
      <c r="F274" s="63" t="s">
        <v>6</v>
      </c>
      <c r="G274" s="69" t="s">
        <v>3051</v>
      </c>
      <c r="H274" s="70" t="s">
        <v>3052</v>
      </c>
    </row>
    <row r="275" spans="2:8" x14ac:dyDescent="0.3">
      <c r="B275" s="140">
        <v>45975</v>
      </c>
      <c r="C275" s="103">
        <v>45962</v>
      </c>
      <c r="D275" s="70" t="s">
        <v>2928</v>
      </c>
      <c r="E275" s="70" t="s">
        <v>3044</v>
      </c>
      <c r="F275" s="63" t="s">
        <v>6</v>
      </c>
      <c r="G275" s="67" t="s">
        <v>3045</v>
      </c>
      <c r="H275" s="68" t="s">
        <v>3046</v>
      </c>
    </row>
    <row r="276" spans="2:8" x14ac:dyDescent="0.3">
      <c r="B276" s="140">
        <v>45975</v>
      </c>
      <c r="C276" s="103">
        <v>45962</v>
      </c>
      <c r="D276" s="70" t="s">
        <v>2928</v>
      </c>
      <c r="E276" s="70" t="s">
        <v>3044</v>
      </c>
      <c r="F276" s="63" t="s">
        <v>6</v>
      </c>
      <c r="G276" s="69" t="s">
        <v>3047</v>
      </c>
      <c r="H276" s="70" t="s">
        <v>3048</v>
      </c>
    </row>
    <row r="277" spans="2:8" x14ac:dyDescent="0.3">
      <c r="B277" s="140">
        <v>45975</v>
      </c>
      <c r="C277" s="103">
        <v>45962</v>
      </c>
      <c r="D277" s="70" t="s">
        <v>2928</v>
      </c>
      <c r="E277" s="70" t="s">
        <v>3044</v>
      </c>
      <c r="F277" s="63" t="s">
        <v>6</v>
      </c>
      <c r="G277" s="69" t="s">
        <v>3049</v>
      </c>
      <c r="H277" s="70" t="s">
        <v>3050</v>
      </c>
    </row>
    <row r="278" spans="2:8" x14ac:dyDescent="0.3">
      <c r="B278" s="140">
        <v>45978</v>
      </c>
      <c r="C278" s="103">
        <v>45962</v>
      </c>
      <c r="D278" s="70" t="s">
        <v>2928</v>
      </c>
      <c r="E278" s="70" t="s">
        <v>3044</v>
      </c>
      <c r="F278" s="47" t="s">
        <v>6</v>
      </c>
      <c r="G278" s="67" t="s">
        <v>2949</v>
      </c>
      <c r="H278" s="67" t="s">
        <v>2950</v>
      </c>
    </row>
    <row r="279" spans="2:8" x14ac:dyDescent="0.3">
      <c r="B279" s="140">
        <v>45978</v>
      </c>
      <c r="C279" s="103">
        <v>45962</v>
      </c>
      <c r="D279" s="70" t="s">
        <v>2928</v>
      </c>
      <c r="E279" s="70" t="s">
        <v>3044</v>
      </c>
      <c r="F279" s="63" t="s">
        <v>6</v>
      </c>
      <c r="G279" s="69" t="s">
        <v>3051</v>
      </c>
      <c r="H279" s="70" t="s">
        <v>3052</v>
      </c>
    </row>
    <row r="280" spans="2:8" x14ac:dyDescent="0.3">
      <c r="B280" s="140">
        <v>45978</v>
      </c>
      <c r="C280" s="103">
        <v>45962</v>
      </c>
      <c r="D280" s="70" t="s">
        <v>2928</v>
      </c>
      <c r="E280" s="70" t="s">
        <v>3044</v>
      </c>
      <c r="F280" s="63" t="s">
        <v>6</v>
      </c>
      <c r="G280" s="67" t="s">
        <v>3045</v>
      </c>
      <c r="H280" s="68" t="s">
        <v>3046</v>
      </c>
    </row>
    <row r="281" spans="2:8" x14ac:dyDescent="0.3">
      <c r="B281" s="140">
        <v>45978</v>
      </c>
      <c r="C281" s="103">
        <v>45962</v>
      </c>
      <c r="D281" s="70" t="s">
        <v>2928</v>
      </c>
      <c r="E281" s="70" t="s">
        <v>3044</v>
      </c>
      <c r="F281" s="63" t="s">
        <v>6</v>
      </c>
      <c r="G281" s="69" t="s">
        <v>3047</v>
      </c>
      <c r="H281" s="70" t="s">
        <v>3048</v>
      </c>
    </row>
    <row r="282" spans="2:8" x14ac:dyDescent="0.3">
      <c r="B282" s="140">
        <v>45978</v>
      </c>
      <c r="C282" s="103">
        <v>45962</v>
      </c>
      <c r="D282" s="70" t="s">
        <v>2928</v>
      </c>
      <c r="E282" s="70" t="s">
        <v>3044</v>
      </c>
      <c r="F282" s="63" t="s">
        <v>6</v>
      </c>
      <c r="G282" s="69" t="s">
        <v>3049</v>
      </c>
      <c r="H282" s="70" t="s">
        <v>3050</v>
      </c>
    </row>
    <row r="283" spans="2:8" x14ac:dyDescent="0.3">
      <c r="B283" s="140">
        <v>45978</v>
      </c>
      <c r="C283" s="103">
        <v>45962</v>
      </c>
      <c r="D283" s="70" t="s">
        <v>2928</v>
      </c>
      <c r="E283" s="70" t="s">
        <v>3044</v>
      </c>
      <c r="F283" s="64" t="s">
        <v>4</v>
      </c>
      <c r="G283" s="98" t="s">
        <v>3108</v>
      </c>
      <c r="H283" s="101" t="s">
        <v>3109</v>
      </c>
    </row>
    <row r="284" spans="2:8" x14ac:dyDescent="0.3">
      <c r="B284" s="140">
        <v>45979</v>
      </c>
      <c r="C284" s="103">
        <v>45962</v>
      </c>
      <c r="D284" s="70" t="s">
        <v>2928</v>
      </c>
      <c r="E284" s="70" t="s">
        <v>3044</v>
      </c>
      <c r="F284" s="47" t="s">
        <v>6</v>
      </c>
      <c r="G284" s="67" t="s">
        <v>2949</v>
      </c>
      <c r="H284" s="67" t="s">
        <v>2950</v>
      </c>
    </row>
    <row r="285" spans="2:8" x14ac:dyDescent="0.3">
      <c r="B285" s="140">
        <v>45979</v>
      </c>
      <c r="C285" s="103">
        <v>45962</v>
      </c>
      <c r="D285" s="70" t="s">
        <v>2928</v>
      </c>
      <c r="E285" s="70" t="s">
        <v>3044</v>
      </c>
      <c r="F285" s="63" t="s">
        <v>6</v>
      </c>
      <c r="G285" s="69" t="s">
        <v>3051</v>
      </c>
      <c r="H285" s="70" t="s">
        <v>3052</v>
      </c>
    </row>
    <row r="286" spans="2:8" x14ac:dyDescent="0.3">
      <c r="B286" s="140">
        <v>45979</v>
      </c>
      <c r="C286" s="103">
        <v>45962</v>
      </c>
      <c r="D286" s="70" t="s">
        <v>2928</v>
      </c>
      <c r="E286" s="70" t="s">
        <v>3044</v>
      </c>
      <c r="F286" s="63" t="s">
        <v>6</v>
      </c>
      <c r="G286" s="67" t="s">
        <v>3110</v>
      </c>
      <c r="H286" s="68" t="s">
        <v>3083</v>
      </c>
    </row>
    <row r="287" spans="2:8" x14ac:dyDescent="0.3">
      <c r="B287" s="140">
        <v>45979</v>
      </c>
      <c r="C287" s="103">
        <v>45962</v>
      </c>
      <c r="D287" s="70" t="s">
        <v>2928</v>
      </c>
      <c r="E287" s="70" t="s">
        <v>3044</v>
      </c>
      <c r="F287" s="63" t="s">
        <v>6</v>
      </c>
      <c r="G287" s="67" t="s">
        <v>3045</v>
      </c>
      <c r="H287" s="68" t="s">
        <v>3046</v>
      </c>
    </row>
    <row r="288" spans="2:8" x14ac:dyDescent="0.3">
      <c r="B288" s="140">
        <v>45979</v>
      </c>
      <c r="C288" s="103">
        <v>45962</v>
      </c>
      <c r="D288" s="70" t="s">
        <v>2928</v>
      </c>
      <c r="E288" s="70" t="s">
        <v>3044</v>
      </c>
      <c r="F288" s="63" t="s">
        <v>6</v>
      </c>
      <c r="G288" s="69" t="s">
        <v>3047</v>
      </c>
      <c r="H288" s="70" t="s">
        <v>3048</v>
      </c>
    </row>
    <row r="289" spans="2:8" x14ac:dyDescent="0.3">
      <c r="B289" s="140">
        <v>45979</v>
      </c>
      <c r="C289" s="103">
        <v>45962</v>
      </c>
      <c r="D289" s="70" t="s">
        <v>2928</v>
      </c>
      <c r="E289" s="70" t="s">
        <v>3044</v>
      </c>
      <c r="F289" s="63" t="s">
        <v>6</v>
      </c>
      <c r="G289" s="69" t="s">
        <v>3049</v>
      </c>
      <c r="H289" s="70" t="s">
        <v>3050</v>
      </c>
    </row>
    <row r="290" spans="2:8" x14ac:dyDescent="0.3">
      <c r="B290" s="140">
        <v>45979</v>
      </c>
      <c r="C290" s="103">
        <v>45962</v>
      </c>
      <c r="D290" s="70" t="s">
        <v>2928</v>
      </c>
      <c r="E290" s="70" t="s">
        <v>3044</v>
      </c>
      <c r="F290" s="64" t="s">
        <v>4</v>
      </c>
      <c r="G290" s="98" t="s">
        <v>3111</v>
      </c>
      <c r="H290" s="101" t="s">
        <v>3112</v>
      </c>
    </row>
    <row r="291" spans="2:8" x14ac:dyDescent="0.3">
      <c r="B291" s="140">
        <v>45980</v>
      </c>
      <c r="C291" s="103">
        <v>45962</v>
      </c>
      <c r="D291" s="70" t="s">
        <v>2928</v>
      </c>
      <c r="E291" s="70" t="s">
        <v>3044</v>
      </c>
      <c r="F291" s="47" t="s">
        <v>6</v>
      </c>
      <c r="G291" s="67" t="s">
        <v>2949</v>
      </c>
      <c r="H291" s="67" t="s">
        <v>2950</v>
      </c>
    </row>
    <row r="292" spans="2:8" x14ac:dyDescent="0.3">
      <c r="B292" s="140">
        <v>45980</v>
      </c>
      <c r="C292" s="103">
        <v>45962</v>
      </c>
      <c r="D292" s="70" t="s">
        <v>2928</v>
      </c>
      <c r="E292" s="70" t="s">
        <v>3044</v>
      </c>
      <c r="F292" s="63" t="s">
        <v>6</v>
      </c>
      <c r="G292" s="69" t="s">
        <v>3051</v>
      </c>
      <c r="H292" s="70" t="s">
        <v>3052</v>
      </c>
    </row>
    <row r="293" spans="2:8" x14ac:dyDescent="0.3">
      <c r="B293" s="140">
        <v>45980</v>
      </c>
      <c r="C293" s="103">
        <v>45962</v>
      </c>
      <c r="D293" s="70" t="s">
        <v>2928</v>
      </c>
      <c r="E293" s="70" t="s">
        <v>3044</v>
      </c>
      <c r="F293" s="63" t="s">
        <v>6</v>
      </c>
      <c r="G293" s="67" t="s">
        <v>3045</v>
      </c>
      <c r="H293" s="68" t="s">
        <v>3046</v>
      </c>
    </row>
    <row r="294" spans="2:8" x14ac:dyDescent="0.3">
      <c r="B294" s="140">
        <v>45980</v>
      </c>
      <c r="C294" s="103">
        <v>45962</v>
      </c>
      <c r="D294" s="70" t="s">
        <v>2928</v>
      </c>
      <c r="E294" s="70" t="s">
        <v>3044</v>
      </c>
      <c r="F294" s="63" t="s">
        <v>6</v>
      </c>
      <c r="G294" s="69" t="s">
        <v>3047</v>
      </c>
      <c r="H294" s="70" t="s">
        <v>3048</v>
      </c>
    </row>
    <row r="295" spans="2:8" x14ac:dyDescent="0.3">
      <c r="B295" s="140">
        <v>45980</v>
      </c>
      <c r="C295" s="103">
        <v>45962</v>
      </c>
      <c r="D295" s="70" t="s">
        <v>2928</v>
      </c>
      <c r="E295" s="70" t="s">
        <v>3044</v>
      </c>
      <c r="F295" s="63" t="s">
        <v>6</v>
      </c>
      <c r="G295" s="69" t="s">
        <v>3049</v>
      </c>
      <c r="H295" s="70" t="s">
        <v>3050</v>
      </c>
    </row>
    <row r="296" spans="2:8" x14ac:dyDescent="0.3">
      <c r="B296" s="140">
        <v>45981</v>
      </c>
      <c r="C296" s="103">
        <v>45962</v>
      </c>
      <c r="D296" s="70" t="s">
        <v>2928</v>
      </c>
      <c r="E296" s="70" t="s">
        <v>3044</v>
      </c>
      <c r="F296" s="47" t="s">
        <v>6</v>
      </c>
      <c r="G296" s="67" t="s">
        <v>2949</v>
      </c>
      <c r="H296" s="67" t="s">
        <v>2950</v>
      </c>
    </row>
    <row r="297" spans="2:8" x14ac:dyDescent="0.3">
      <c r="B297" s="140">
        <v>45981</v>
      </c>
      <c r="C297" s="103">
        <v>45962</v>
      </c>
      <c r="D297" s="70" t="s">
        <v>2928</v>
      </c>
      <c r="E297" s="70" t="s">
        <v>3044</v>
      </c>
      <c r="F297" s="63" t="s">
        <v>6</v>
      </c>
      <c r="G297" s="69" t="s">
        <v>3051</v>
      </c>
      <c r="H297" s="70" t="s">
        <v>3052</v>
      </c>
    </row>
    <row r="298" spans="2:8" x14ac:dyDescent="0.3">
      <c r="B298" s="140">
        <v>45981</v>
      </c>
      <c r="C298" s="103">
        <v>45962</v>
      </c>
      <c r="D298" s="70" t="s">
        <v>2928</v>
      </c>
      <c r="E298" s="70" t="s">
        <v>3044</v>
      </c>
      <c r="F298" s="63" t="s">
        <v>6</v>
      </c>
      <c r="G298" s="67" t="s">
        <v>3045</v>
      </c>
      <c r="H298" s="68" t="s">
        <v>3046</v>
      </c>
    </row>
    <row r="299" spans="2:8" x14ac:dyDescent="0.3">
      <c r="B299" s="140">
        <v>45981</v>
      </c>
      <c r="C299" s="103">
        <v>45962</v>
      </c>
      <c r="D299" s="70" t="s">
        <v>2928</v>
      </c>
      <c r="E299" s="70" t="s">
        <v>3044</v>
      </c>
      <c r="F299" s="63" t="s">
        <v>6</v>
      </c>
      <c r="G299" s="69" t="s">
        <v>3047</v>
      </c>
      <c r="H299" s="70" t="s">
        <v>3048</v>
      </c>
    </row>
    <row r="300" spans="2:8" x14ac:dyDescent="0.3">
      <c r="B300" s="140">
        <v>45981</v>
      </c>
      <c r="C300" s="103">
        <v>45962</v>
      </c>
      <c r="D300" s="70" t="s">
        <v>2928</v>
      </c>
      <c r="E300" s="70" t="s">
        <v>3044</v>
      </c>
      <c r="F300" s="63" t="s">
        <v>6</v>
      </c>
      <c r="G300" s="69" t="s">
        <v>3049</v>
      </c>
      <c r="H300" s="70" t="s">
        <v>3050</v>
      </c>
    </row>
    <row r="301" spans="2:8" x14ac:dyDescent="0.3">
      <c r="B301" s="140">
        <v>45982</v>
      </c>
      <c r="C301" s="103">
        <v>45962</v>
      </c>
      <c r="D301" s="70" t="s">
        <v>2928</v>
      </c>
      <c r="E301" s="70" t="s">
        <v>3044</v>
      </c>
      <c r="F301" s="47" t="s">
        <v>6</v>
      </c>
      <c r="G301" s="67" t="s">
        <v>2949</v>
      </c>
      <c r="H301" s="67" t="s">
        <v>2950</v>
      </c>
    </row>
    <row r="302" spans="2:8" x14ac:dyDescent="0.3">
      <c r="B302" s="140">
        <v>45982</v>
      </c>
      <c r="C302" s="103">
        <v>45962</v>
      </c>
      <c r="D302" s="70" t="s">
        <v>2928</v>
      </c>
      <c r="E302" s="70" t="s">
        <v>3044</v>
      </c>
      <c r="F302" s="63" t="s">
        <v>6</v>
      </c>
      <c r="G302" s="69" t="s">
        <v>3051</v>
      </c>
      <c r="H302" s="70" t="s">
        <v>3052</v>
      </c>
    </row>
    <row r="303" spans="2:8" x14ac:dyDescent="0.3">
      <c r="B303" s="140">
        <v>45982</v>
      </c>
      <c r="C303" s="103">
        <v>45962</v>
      </c>
      <c r="D303" s="70" t="s">
        <v>2928</v>
      </c>
      <c r="E303" s="70" t="s">
        <v>3044</v>
      </c>
      <c r="F303" s="63" t="s">
        <v>6</v>
      </c>
      <c r="G303" s="67" t="s">
        <v>3045</v>
      </c>
      <c r="H303" s="68" t="s">
        <v>3046</v>
      </c>
    </row>
    <row r="304" spans="2:8" x14ac:dyDescent="0.3">
      <c r="B304" s="140">
        <v>45982</v>
      </c>
      <c r="C304" s="103">
        <v>45962</v>
      </c>
      <c r="D304" s="70" t="s">
        <v>2928</v>
      </c>
      <c r="E304" s="70" t="s">
        <v>3044</v>
      </c>
      <c r="F304" s="63" t="s">
        <v>6</v>
      </c>
      <c r="G304" s="69" t="s">
        <v>3047</v>
      </c>
      <c r="H304" s="70" t="s">
        <v>3048</v>
      </c>
    </row>
    <row r="305" spans="2:8" x14ac:dyDescent="0.3">
      <c r="B305" s="140">
        <v>45982</v>
      </c>
      <c r="C305" s="103">
        <v>45962</v>
      </c>
      <c r="D305" s="70" t="s">
        <v>2928</v>
      </c>
      <c r="E305" s="70" t="s">
        <v>3044</v>
      </c>
      <c r="F305" s="63" t="s">
        <v>6</v>
      </c>
      <c r="G305" s="69" t="s">
        <v>3049</v>
      </c>
      <c r="H305" s="70" t="s">
        <v>3050</v>
      </c>
    </row>
    <row r="306" spans="2:8" x14ac:dyDescent="0.3">
      <c r="B306" s="140">
        <v>45982</v>
      </c>
      <c r="C306" s="103">
        <v>45962</v>
      </c>
      <c r="D306" s="70" t="s">
        <v>2928</v>
      </c>
      <c r="E306" s="70" t="s">
        <v>3044</v>
      </c>
      <c r="F306" s="64" t="s">
        <v>4</v>
      </c>
      <c r="G306" s="98" t="s">
        <v>3113</v>
      </c>
      <c r="H306" s="101" t="s">
        <v>3114</v>
      </c>
    </row>
    <row r="307" spans="2:8" x14ac:dyDescent="0.3">
      <c r="B307" s="140">
        <v>45985</v>
      </c>
      <c r="C307" s="103">
        <v>45962</v>
      </c>
      <c r="D307" s="70" t="s">
        <v>2928</v>
      </c>
      <c r="E307" s="70" t="s">
        <v>3044</v>
      </c>
      <c r="F307" s="63" t="s">
        <v>6</v>
      </c>
      <c r="G307" s="69" t="s">
        <v>3051</v>
      </c>
      <c r="H307" s="70" t="s">
        <v>3052</v>
      </c>
    </row>
    <row r="308" spans="2:8" x14ac:dyDescent="0.3">
      <c r="B308" s="140">
        <v>45985</v>
      </c>
      <c r="C308" s="103">
        <v>45962</v>
      </c>
      <c r="D308" s="70" t="s">
        <v>2928</v>
      </c>
      <c r="E308" s="70" t="s">
        <v>3044</v>
      </c>
      <c r="F308" s="63" t="s">
        <v>6</v>
      </c>
      <c r="G308" s="67" t="s">
        <v>3045</v>
      </c>
      <c r="H308" s="68" t="s">
        <v>3046</v>
      </c>
    </row>
    <row r="309" spans="2:8" x14ac:dyDescent="0.3">
      <c r="B309" s="140">
        <v>45985</v>
      </c>
      <c r="C309" s="103">
        <v>45962</v>
      </c>
      <c r="D309" s="70" t="s">
        <v>2928</v>
      </c>
      <c r="E309" s="70" t="s">
        <v>3044</v>
      </c>
      <c r="F309" s="63" t="s">
        <v>6</v>
      </c>
      <c r="G309" s="69" t="s">
        <v>3047</v>
      </c>
      <c r="H309" s="70" t="s">
        <v>3048</v>
      </c>
    </row>
    <row r="310" spans="2:8" x14ac:dyDescent="0.3">
      <c r="B310" s="140">
        <v>45985</v>
      </c>
      <c r="C310" s="103">
        <v>45962</v>
      </c>
      <c r="D310" s="70" t="s">
        <v>2928</v>
      </c>
      <c r="E310" s="70" t="s">
        <v>3044</v>
      </c>
      <c r="F310" s="63" t="s">
        <v>6</v>
      </c>
      <c r="G310" s="69" t="s">
        <v>3049</v>
      </c>
      <c r="H310" s="70" t="s">
        <v>3050</v>
      </c>
    </row>
    <row r="311" spans="2:8" x14ac:dyDescent="0.3">
      <c r="B311" s="140">
        <v>45985</v>
      </c>
      <c r="C311" s="103">
        <v>45962</v>
      </c>
      <c r="D311" s="70" t="s">
        <v>2928</v>
      </c>
      <c r="E311" s="70" t="s">
        <v>3044</v>
      </c>
      <c r="F311" s="63" t="s">
        <v>6</v>
      </c>
      <c r="G311" s="69" t="s">
        <v>3115</v>
      </c>
      <c r="H311" s="70" t="s">
        <v>3116</v>
      </c>
    </row>
    <row r="312" spans="2:8" x14ac:dyDescent="0.3">
      <c r="B312" s="140">
        <v>45986</v>
      </c>
      <c r="C312" s="103">
        <v>45962</v>
      </c>
      <c r="D312" s="70" t="s">
        <v>2928</v>
      </c>
      <c r="E312" s="70" t="s">
        <v>3044</v>
      </c>
      <c r="F312" s="63" t="s">
        <v>6</v>
      </c>
      <c r="G312" s="69" t="s">
        <v>3051</v>
      </c>
      <c r="H312" s="70" t="s">
        <v>3052</v>
      </c>
    </row>
    <row r="313" spans="2:8" x14ac:dyDescent="0.3">
      <c r="B313" s="140">
        <v>45986</v>
      </c>
      <c r="C313" s="103">
        <v>45962</v>
      </c>
      <c r="D313" s="70" t="s">
        <v>2928</v>
      </c>
      <c r="E313" s="70" t="s">
        <v>3044</v>
      </c>
      <c r="F313" s="63" t="s">
        <v>6</v>
      </c>
      <c r="G313" s="67" t="s">
        <v>3110</v>
      </c>
      <c r="H313" s="68" t="s">
        <v>3083</v>
      </c>
    </row>
    <row r="314" spans="2:8" x14ac:dyDescent="0.3">
      <c r="B314" s="140">
        <v>45986</v>
      </c>
      <c r="C314" s="103">
        <v>45962</v>
      </c>
      <c r="D314" s="70" t="s">
        <v>2928</v>
      </c>
      <c r="E314" s="70" t="s">
        <v>3044</v>
      </c>
      <c r="F314" s="63" t="s">
        <v>6</v>
      </c>
      <c r="G314" s="67" t="s">
        <v>3045</v>
      </c>
      <c r="H314" s="68" t="s">
        <v>3046</v>
      </c>
    </row>
    <row r="315" spans="2:8" x14ac:dyDescent="0.3">
      <c r="B315" s="140">
        <v>45986</v>
      </c>
      <c r="C315" s="103">
        <v>45962</v>
      </c>
      <c r="D315" s="70" t="s">
        <v>2928</v>
      </c>
      <c r="E315" s="70" t="s">
        <v>3044</v>
      </c>
      <c r="F315" s="63" t="s">
        <v>6</v>
      </c>
      <c r="G315" s="69" t="s">
        <v>3047</v>
      </c>
      <c r="H315" s="70" t="s">
        <v>3048</v>
      </c>
    </row>
    <row r="316" spans="2:8" x14ac:dyDescent="0.3">
      <c r="B316" s="140">
        <v>45986</v>
      </c>
      <c r="C316" s="103">
        <v>45962</v>
      </c>
      <c r="D316" s="70" t="s">
        <v>2928</v>
      </c>
      <c r="E316" s="70" t="s">
        <v>3044</v>
      </c>
      <c r="F316" s="63" t="s">
        <v>6</v>
      </c>
      <c r="G316" s="69" t="s">
        <v>3049</v>
      </c>
      <c r="H316" s="70" t="s">
        <v>3050</v>
      </c>
    </row>
    <row r="317" spans="2:8" x14ac:dyDescent="0.3">
      <c r="B317" s="140">
        <v>45986</v>
      </c>
      <c r="C317" s="103">
        <v>45962</v>
      </c>
      <c r="D317" s="70" t="s">
        <v>2928</v>
      </c>
      <c r="E317" s="70" t="s">
        <v>3044</v>
      </c>
      <c r="F317" s="64" t="s">
        <v>4</v>
      </c>
      <c r="G317" s="98" t="s">
        <v>3117</v>
      </c>
      <c r="H317" s="101" t="s">
        <v>3118</v>
      </c>
    </row>
    <row r="318" spans="2:8" x14ac:dyDescent="0.3">
      <c r="B318" s="140">
        <v>45987</v>
      </c>
      <c r="C318" s="103">
        <v>45962</v>
      </c>
      <c r="D318" s="70" t="s">
        <v>2928</v>
      </c>
      <c r="E318" s="70" t="s">
        <v>3044</v>
      </c>
      <c r="F318" s="63" t="s">
        <v>6</v>
      </c>
      <c r="G318" s="69" t="s">
        <v>3051</v>
      </c>
      <c r="H318" s="70" t="s">
        <v>3052</v>
      </c>
    </row>
    <row r="319" spans="2:8" x14ac:dyDescent="0.3">
      <c r="B319" s="140">
        <v>45987</v>
      </c>
      <c r="C319" s="103">
        <v>45962</v>
      </c>
      <c r="D319" s="70" t="s">
        <v>2928</v>
      </c>
      <c r="E319" s="70" t="s">
        <v>3044</v>
      </c>
      <c r="F319" s="63" t="s">
        <v>6</v>
      </c>
      <c r="G319" s="67" t="s">
        <v>3045</v>
      </c>
      <c r="H319" s="68" t="s">
        <v>3046</v>
      </c>
    </row>
    <row r="320" spans="2:8" x14ac:dyDescent="0.3">
      <c r="B320" s="140">
        <v>45987</v>
      </c>
      <c r="C320" s="103">
        <v>45962</v>
      </c>
      <c r="D320" s="70" t="s">
        <v>2928</v>
      </c>
      <c r="E320" s="70" t="s">
        <v>3044</v>
      </c>
      <c r="F320" s="63" t="s">
        <v>6</v>
      </c>
      <c r="G320" s="69" t="s">
        <v>3047</v>
      </c>
      <c r="H320" s="70" t="s">
        <v>3048</v>
      </c>
    </row>
    <row r="321" spans="2:8" x14ac:dyDescent="0.3">
      <c r="B321" s="140">
        <v>45987</v>
      </c>
      <c r="C321" s="103">
        <v>45962</v>
      </c>
      <c r="D321" s="70" t="s">
        <v>2928</v>
      </c>
      <c r="E321" s="70" t="s">
        <v>3044</v>
      </c>
      <c r="F321" s="63" t="s">
        <v>6</v>
      </c>
      <c r="G321" s="69" t="s">
        <v>3049</v>
      </c>
      <c r="H321" s="70" t="s">
        <v>3050</v>
      </c>
    </row>
    <row r="322" spans="2:8" x14ac:dyDescent="0.3">
      <c r="B322" s="140">
        <v>45988</v>
      </c>
      <c r="C322" s="103">
        <v>45962</v>
      </c>
      <c r="D322" s="70" t="s">
        <v>2928</v>
      </c>
      <c r="E322" s="70" t="s">
        <v>3044</v>
      </c>
      <c r="F322" s="63" t="s">
        <v>6</v>
      </c>
      <c r="G322" s="69" t="s">
        <v>3051</v>
      </c>
      <c r="H322" s="70" t="s">
        <v>3052</v>
      </c>
    </row>
    <row r="323" spans="2:8" x14ac:dyDescent="0.3">
      <c r="B323" s="140">
        <v>45988</v>
      </c>
      <c r="C323" s="103">
        <v>45962</v>
      </c>
      <c r="D323" s="70" t="s">
        <v>2928</v>
      </c>
      <c r="E323" s="70" t="s">
        <v>3044</v>
      </c>
      <c r="F323" s="63" t="s">
        <v>6</v>
      </c>
      <c r="G323" s="67" t="s">
        <v>3045</v>
      </c>
      <c r="H323" s="68" t="s">
        <v>3046</v>
      </c>
    </row>
    <row r="324" spans="2:8" x14ac:dyDescent="0.3">
      <c r="B324" s="140">
        <v>45988</v>
      </c>
      <c r="C324" s="103">
        <v>45962</v>
      </c>
      <c r="D324" s="70" t="s">
        <v>2928</v>
      </c>
      <c r="E324" s="70" t="s">
        <v>3044</v>
      </c>
      <c r="F324" s="63" t="s">
        <v>6</v>
      </c>
      <c r="G324" s="69" t="s">
        <v>3047</v>
      </c>
      <c r="H324" s="70" t="s">
        <v>3048</v>
      </c>
    </row>
    <row r="325" spans="2:8" x14ac:dyDescent="0.3">
      <c r="B325" s="140">
        <v>45988</v>
      </c>
      <c r="C325" s="103">
        <v>45962</v>
      </c>
      <c r="D325" s="70" t="s">
        <v>2928</v>
      </c>
      <c r="E325" s="70" t="s">
        <v>3044</v>
      </c>
      <c r="F325" s="63" t="s">
        <v>6</v>
      </c>
      <c r="G325" s="69" t="s">
        <v>3049</v>
      </c>
      <c r="H325" s="70" t="s">
        <v>3050</v>
      </c>
    </row>
    <row r="326" spans="2:8" x14ac:dyDescent="0.3">
      <c r="B326" s="140">
        <v>45989</v>
      </c>
      <c r="C326" s="103">
        <v>45962</v>
      </c>
      <c r="D326" s="70" t="s">
        <v>2928</v>
      </c>
      <c r="E326" s="70" t="s">
        <v>3044</v>
      </c>
      <c r="F326" s="63" t="s">
        <v>6</v>
      </c>
      <c r="G326" s="69" t="s">
        <v>3051</v>
      </c>
      <c r="H326" s="70" t="s">
        <v>3052</v>
      </c>
    </row>
    <row r="327" spans="2:8" x14ac:dyDescent="0.3">
      <c r="B327" s="140">
        <v>45989</v>
      </c>
      <c r="C327" s="103">
        <v>45962</v>
      </c>
      <c r="D327" s="70" t="s">
        <v>2928</v>
      </c>
      <c r="E327" s="70" t="s">
        <v>3044</v>
      </c>
      <c r="F327" s="63" t="s">
        <v>6</v>
      </c>
      <c r="G327" s="67" t="s">
        <v>3045</v>
      </c>
      <c r="H327" s="68" t="s">
        <v>3046</v>
      </c>
    </row>
    <row r="328" spans="2:8" x14ac:dyDescent="0.3">
      <c r="B328" s="140">
        <v>45989</v>
      </c>
      <c r="C328" s="103">
        <v>45962</v>
      </c>
      <c r="D328" s="70" t="s">
        <v>2928</v>
      </c>
      <c r="E328" s="70" t="s">
        <v>3044</v>
      </c>
      <c r="F328" s="63" t="s">
        <v>6</v>
      </c>
      <c r="G328" s="69" t="s">
        <v>3047</v>
      </c>
      <c r="H328" s="70" t="s">
        <v>3048</v>
      </c>
    </row>
    <row r="329" spans="2:8" x14ac:dyDescent="0.3">
      <c r="B329" s="140">
        <v>45989</v>
      </c>
      <c r="C329" s="103">
        <v>45962</v>
      </c>
      <c r="D329" s="70" t="s">
        <v>2928</v>
      </c>
      <c r="E329" s="70" t="s">
        <v>3044</v>
      </c>
      <c r="F329" s="63" t="s">
        <v>6</v>
      </c>
      <c r="G329" s="69" t="s">
        <v>3049</v>
      </c>
      <c r="H329" s="70" t="s">
        <v>3050</v>
      </c>
    </row>
    <row r="330" spans="2:8" x14ac:dyDescent="0.3">
      <c r="B330" s="140">
        <v>45992</v>
      </c>
      <c r="C330" s="103">
        <v>45992</v>
      </c>
      <c r="D330" s="70" t="s">
        <v>2928</v>
      </c>
      <c r="E330" s="70" t="s">
        <v>3044</v>
      </c>
      <c r="F330" s="63" t="s">
        <v>6</v>
      </c>
      <c r="G330" s="69" t="s">
        <v>3051</v>
      </c>
      <c r="H330" s="70" t="s">
        <v>3052</v>
      </c>
    </row>
    <row r="331" spans="2:8" x14ac:dyDescent="0.3">
      <c r="B331" s="140">
        <v>45992</v>
      </c>
      <c r="C331" s="103">
        <v>45992</v>
      </c>
      <c r="D331" s="70" t="s">
        <v>2928</v>
      </c>
      <c r="E331" s="70" t="s">
        <v>3044</v>
      </c>
      <c r="F331" s="63" t="s">
        <v>6</v>
      </c>
      <c r="G331" s="67" t="s">
        <v>3045</v>
      </c>
      <c r="H331" s="68" t="s">
        <v>3046</v>
      </c>
    </row>
    <row r="332" spans="2:8" x14ac:dyDescent="0.3">
      <c r="B332" s="140">
        <v>45992</v>
      </c>
      <c r="C332" s="103">
        <v>45992</v>
      </c>
      <c r="D332" s="70" t="s">
        <v>2928</v>
      </c>
      <c r="E332" s="70" t="s">
        <v>3044</v>
      </c>
      <c r="F332" s="63" t="s">
        <v>6</v>
      </c>
      <c r="G332" s="69" t="s">
        <v>3047</v>
      </c>
      <c r="H332" s="70" t="s">
        <v>3048</v>
      </c>
    </row>
    <row r="333" spans="2:8" x14ac:dyDescent="0.3">
      <c r="B333" s="140">
        <v>45992</v>
      </c>
      <c r="C333" s="103">
        <v>45992</v>
      </c>
      <c r="D333" s="70" t="s">
        <v>2928</v>
      </c>
      <c r="E333" s="70" t="s">
        <v>3044</v>
      </c>
      <c r="F333" s="63" t="s">
        <v>6</v>
      </c>
      <c r="G333" s="69" t="s">
        <v>3049</v>
      </c>
      <c r="H333" s="70" t="s">
        <v>3050</v>
      </c>
    </row>
    <row r="334" spans="2:8" x14ac:dyDescent="0.3">
      <c r="B334" s="140">
        <v>45992</v>
      </c>
      <c r="C334" s="103">
        <v>45992</v>
      </c>
      <c r="D334" s="70" t="s">
        <v>2928</v>
      </c>
      <c r="E334" s="70" t="s">
        <v>3044</v>
      </c>
      <c r="F334" s="63" t="s">
        <v>6</v>
      </c>
      <c r="G334" s="69" t="s">
        <v>3119</v>
      </c>
      <c r="H334" s="70" t="s">
        <v>3120</v>
      </c>
    </row>
    <row r="335" spans="2:8" x14ac:dyDescent="0.3">
      <c r="B335" s="140">
        <v>45993</v>
      </c>
      <c r="C335" s="103">
        <v>45992</v>
      </c>
      <c r="D335" s="70" t="s">
        <v>2928</v>
      </c>
      <c r="E335" s="70" t="s">
        <v>3044</v>
      </c>
      <c r="F335" s="63" t="s">
        <v>6</v>
      </c>
      <c r="G335" s="69" t="s">
        <v>3051</v>
      </c>
      <c r="H335" s="70" t="s">
        <v>3052</v>
      </c>
    </row>
    <row r="336" spans="2:8" x14ac:dyDescent="0.3">
      <c r="B336" s="140">
        <v>45993</v>
      </c>
      <c r="C336" s="103">
        <v>45992</v>
      </c>
      <c r="D336" s="70" t="s">
        <v>2928</v>
      </c>
      <c r="E336" s="70" t="s">
        <v>3044</v>
      </c>
      <c r="F336" s="63" t="s">
        <v>6</v>
      </c>
      <c r="G336" s="67" t="s">
        <v>3045</v>
      </c>
      <c r="H336" s="68" t="s">
        <v>3046</v>
      </c>
    </row>
    <row r="337" spans="2:8" x14ac:dyDescent="0.3">
      <c r="B337" s="140">
        <v>45993</v>
      </c>
      <c r="C337" s="103">
        <v>45992</v>
      </c>
      <c r="D337" s="70" t="s">
        <v>2928</v>
      </c>
      <c r="E337" s="70" t="s">
        <v>3044</v>
      </c>
      <c r="F337" s="63" t="s">
        <v>6</v>
      </c>
      <c r="G337" s="69" t="s">
        <v>3047</v>
      </c>
      <c r="H337" s="70" t="s">
        <v>3048</v>
      </c>
    </row>
    <row r="338" spans="2:8" x14ac:dyDescent="0.3">
      <c r="B338" s="140">
        <v>45993</v>
      </c>
      <c r="C338" s="103">
        <v>45992</v>
      </c>
      <c r="D338" s="70" t="s">
        <v>2928</v>
      </c>
      <c r="E338" s="70" t="s">
        <v>3044</v>
      </c>
      <c r="F338" s="63" t="s">
        <v>6</v>
      </c>
      <c r="G338" s="69" t="s">
        <v>3049</v>
      </c>
      <c r="H338" s="70" t="s">
        <v>3050</v>
      </c>
    </row>
    <row r="339" spans="2:8" x14ac:dyDescent="0.3">
      <c r="B339" s="140">
        <v>45993</v>
      </c>
      <c r="C339" s="103">
        <v>45992</v>
      </c>
      <c r="D339" s="70" t="s">
        <v>2928</v>
      </c>
      <c r="E339" s="70" t="s">
        <v>3044</v>
      </c>
      <c r="F339" s="64" t="s">
        <v>4</v>
      </c>
      <c r="G339" s="98" t="s">
        <v>3121</v>
      </c>
      <c r="H339" s="101" t="s">
        <v>3122</v>
      </c>
    </row>
    <row r="340" spans="2:8" x14ac:dyDescent="0.3">
      <c r="B340" s="140">
        <v>45994</v>
      </c>
      <c r="C340" s="103">
        <v>45992</v>
      </c>
      <c r="D340" s="70" t="s">
        <v>2928</v>
      </c>
      <c r="E340" s="70" t="s">
        <v>3044</v>
      </c>
      <c r="F340" s="63" t="s">
        <v>6</v>
      </c>
      <c r="G340" s="69" t="s">
        <v>3051</v>
      </c>
      <c r="H340" s="70" t="s">
        <v>3052</v>
      </c>
    </row>
    <row r="341" spans="2:8" x14ac:dyDescent="0.3">
      <c r="B341" s="140">
        <v>45994</v>
      </c>
      <c r="C341" s="103">
        <v>45992</v>
      </c>
      <c r="D341" s="70" t="s">
        <v>2928</v>
      </c>
      <c r="E341" s="70" t="s">
        <v>3044</v>
      </c>
      <c r="F341" s="63" t="s">
        <v>6</v>
      </c>
      <c r="G341" s="67" t="s">
        <v>3045</v>
      </c>
      <c r="H341" s="68" t="s">
        <v>3046</v>
      </c>
    </row>
    <row r="342" spans="2:8" x14ac:dyDescent="0.3">
      <c r="B342" s="140">
        <v>45994</v>
      </c>
      <c r="C342" s="103">
        <v>45992</v>
      </c>
      <c r="D342" s="70" t="s">
        <v>2928</v>
      </c>
      <c r="E342" s="70" t="s">
        <v>3044</v>
      </c>
      <c r="F342" s="63" t="s">
        <v>6</v>
      </c>
      <c r="G342" s="69" t="s">
        <v>3047</v>
      </c>
      <c r="H342" s="70" t="s">
        <v>3048</v>
      </c>
    </row>
    <row r="343" spans="2:8" x14ac:dyDescent="0.3">
      <c r="B343" s="140">
        <v>45994</v>
      </c>
      <c r="C343" s="103">
        <v>45992</v>
      </c>
      <c r="D343" s="70" t="s">
        <v>2928</v>
      </c>
      <c r="E343" s="70" t="s">
        <v>3044</v>
      </c>
      <c r="F343" s="63" t="s">
        <v>6</v>
      </c>
      <c r="G343" s="69" t="s">
        <v>3049</v>
      </c>
      <c r="H343" s="70" t="s">
        <v>3050</v>
      </c>
    </row>
    <row r="344" spans="2:8" x14ac:dyDescent="0.3">
      <c r="B344" s="140">
        <v>45995</v>
      </c>
      <c r="C344" s="103">
        <v>45992</v>
      </c>
      <c r="D344" s="70" t="s">
        <v>2928</v>
      </c>
      <c r="E344" s="70" t="s">
        <v>3044</v>
      </c>
      <c r="F344" s="63" t="s">
        <v>6</v>
      </c>
      <c r="G344" s="69" t="s">
        <v>3051</v>
      </c>
      <c r="H344" s="70" t="s">
        <v>3052</v>
      </c>
    </row>
    <row r="345" spans="2:8" x14ac:dyDescent="0.3">
      <c r="B345" s="140">
        <v>45995</v>
      </c>
      <c r="C345" s="103">
        <v>45992</v>
      </c>
      <c r="D345" s="70" t="s">
        <v>2928</v>
      </c>
      <c r="E345" s="70" t="s">
        <v>3044</v>
      </c>
      <c r="F345" s="63" t="s">
        <v>6</v>
      </c>
      <c r="G345" s="67" t="s">
        <v>3045</v>
      </c>
      <c r="H345" s="68" t="s">
        <v>3046</v>
      </c>
    </row>
    <row r="346" spans="2:8" x14ac:dyDescent="0.3">
      <c r="B346" s="140">
        <v>45995</v>
      </c>
      <c r="C346" s="103">
        <v>45992</v>
      </c>
      <c r="D346" s="70" t="s">
        <v>2928</v>
      </c>
      <c r="E346" s="70" t="s">
        <v>3044</v>
      </c>
      <c r="F346" s="63" t="s">
        <v>6</v>
      </c>
      <c r="G346" s="69" t="s">
        <v>3047</v>
      </c>
      <c r="H346" s="70" t="s">
        <v>3048</v>
      </c>
    </row>
    <row r="347" spans="2:8" x14ac:dyDescent="0.3">
      <c r="B347" s="140">
        <v>45995</v>
      </c>
      <c r="C347" s="103">
        <v>45992</v>
      </c>
      <c r="D347" s="70" t="s">
        <v>2928</v>
      </c>
      <c r="E347" s="70" t="s">
        <v>3044</v>
      </c>
      <c r="F347" s="63" t="s">
        <v>6</v>
      </c>
      <c r="G347" s="69" t="s">
        <v>3049</v>
      </c>
      <c r="H347" s="70" t="s">
        <v>3050</v>
      </c>
    </row>
    <row r="348" spans="2:8" x14ac:dyDescent="0.3">
      <c r="B348" s="140">
        <v>45996</v>
      </c>
      <c r="C348" s="103">
        <v>45992</v>
      </c>
      <c r="D348" s="70" t="s">
        <v>2928</v>
      </c>
      <c r="E348" s="70" t="s">
        <v>3044</v>
      </c>
      <c r="F348" s="63" t="s">
        <v>6</v>
      </c>
      <c r="G348" s="69" t="s">
        <v>3051</v>
      </c>
      <c r="H348" s="70" t="s">
        <v>3052</v>
      </c>
    </row>
    <row r="349" spans="2:8" x14ac:dyDescent="0.3">
      <c r="B349" s="140">
        <v>45996</v>
      </c>
      <c r="C349" s="103">
        <v>45992</v>
      </c>
      <c r="D349" s="70" t="s">
        <v>2928</v>
      </c>
      <c r="E349" s="70" t="s">
        <v>3044</v>
      </c>
      <c r="F349" s="63" t="s">
        <v>6</v>
      </c>
      <c r="G349" s="67" t="s">
        <v>3045</v>
      </c>
      <c r="H349" s="68" t="s">
        <v>3046</v>
      </c>
    </row>
    <row r="350" spans="2:8" x14ac:dyDescent="0.3">
      <c r="B350" s="140">
        <v>45996</v>
      </c>
      <c r="C350" s="103">
        <v>45992</v>
      </c>
      <c r="D350" s="70" t="s">
        <v>2928</v>
      </c>
      <c r="E350" s="70" t="s">
        <v>3044</v>
      </c>
      <c r="F350" s="63" t="s">
        <v>6</v>
      </c>
      <c r="G350" s="69" t="s">
        <v>3047</v>
      </c>
      <c r="H350" s="70" t="s">
        <v>3048</v>
      </c>
    </row>
    <row r="351" spans="2:8" x14ac:dyDescent="0.3">
      <c r="B351" s="140">
        <v>45996</v>
      </c>
      <c r="C351" s="103">
        <v>45992</v>
      </c>
      <c r="D351" s="70" t="s">
        <v>2928</v>
      </c>
      <c r="E351" s="70" t="s">
        <v>3044</v>
      </c>
      <c r="F351" s="63" t="s">
        <v>6</v>
      </c>
      <c r="G351" s="69" t="s">
        <v>3049</v>
      </c>
      <c r="H351" s="70" t="s">
        <v>3050</v>
      </c>
    </row>
    <row r="352" spans="2:8" x14ac:dyDescent="0.3">
      <c r="B352" s="140">
        <v>46000</v>
      </c>
      <c r="C352" s="103">
        <v>45992</v>
      </c>
      <c r="D352" s="70" t="s">
        <v>2928</v>
      </c>
      <c r="E352" s="70" t="s">
        <v>3044</v>
      </c>
      <c r="F352" s="47" t="s">
        <v>6</v>
      </c>
      <c r="G352" s="67" t="s">
        <v>2949</v>
      </c>
      <c r="H352" s="67" t="s">
        <v>2950</v>
      </c>
    </row>
    <row r="353" spans="2:8" x14ac:dyDescent="0.3">
      <c r="B353" s="140">
        <v>46000</v>
      </c>
      <c r="C353" s="103">
        <v>45992</v>
      </c>
      <c r="D353" s="70" t="s">
        <v>2928</v>
      </c>
      <c r="E353" s="70" t="s">
        <v>3044</v>
      </c>
      <c r="F353" s="63" t="s">
        <v>6</v>
      </c>
      <c r="G353" s="69" t="s">
        <v>3051</v>
      </c>
      <c r="H353" s="70" t="s">
        <v>3052</v>
      </c>
    </row>
    <row r="354" spans="2:8" x14ac:dyDescent="0.3">
      <c r="B354" s="140">
        <v>46000</v>
      </c>
      <c r="C354" s="103">
        <v>45992</v>
      </c>
      <c r="D354" s="70" t="s">
        <v>2928</v>
      </c>
      <c r="E354" s="70" t="s">
        <v>3044</v>
      </c>
      <c r="F354" s="63" t="s">
        <v>6</v>
      </c>
      <c r="G354" s="67" t="s">
        <v>3045</v>
      </c>
      <c r="H354" s="68" t="s">
        <v>3046</v>
      </c>
    </row>
    <row r="355" spans="2:8" x14ac:dyDescent="0.3">
      <c r="B355" s="140">
        <v>46000</v>
      </c>
      <c r="C355" s="103">
        <v>45992</v>
      </c>
      <c r="D355" s="70" t="s">
        <v>2928</v>
      </c>
      <c r="E355" s="70" t="s">
        <v>3044</v>
      </c>
      <c r="F355" s="63" t="s">
        <v>6</v>
      </c>
      <c r="G355" s="69" t="s">
        <v>3047</v>
      </c>
      <c r="H355" s="70" t="s">
        <v>3048</v>
      </c>
    </row>
    <row r="356" spans="2:8" x14ac:dyDescent="0.3">
      <c r="B356" s="140">
        <v>46000</v>
      </c>
      <c r="C356" s="103">
        <v>45992</v>
      </c>
      <c r="D356" s="70" t="s">
        <v>2928</v>
      </c>
      <c r="E356" s="70" t="s">
        <v>3044</v>
      </c>
      <c r="F356" s="63" t="s">
        <v>6</v>
      </c>
      <c r="G356" s="69" t="s">
        <v>3049</v>
      </c>
      <c r="H356" s="70" t="s">
        <v>3050</v>
      </c>
    </row>
    <row r="357" spans="2:8" x14ac:dyDescent="0.3">
      <c r="B357" s="140">
        <v>46000</v>
      </c>
      <c r="C357" s="103">
        <v>45992</v>
      </c>
      <c r="D357" s="70" t="s">
        <v>2928</v>
      </c>
      <c r="E357" s="70" t="s">
        <v>3044</v>
      </c>
      <c r="F357" s="63" t="s">
        <v>6</v>
      </c>
      <c r="G357" s="67" t="s">
        <v>3110</v>
      </c>
      <c r="H357" s="68" t="s">
        <v>3083</v>
      </c>
    </row>
    <row r="358" spans="2:8" x14ac:dyDescent="0.3">
      <c r="B358" s="140">
        <v>46000</v>
      </c>
      <c r="C358" s="103">
        <v>45992</v>
      </c>
      <c r="D358" s="70" t="s">
        <v>2928</v>
      </c>
      <c r="E358" s="70" t="s">
        <v>3044</v>
      </c>
      <c r="F358" s="64" t="s">
        <v>4</v>
      </c>
      <c r="G358" s="98" t="s">
        <v>3123</v>
      </c>
      <c r="H358" s="101" t="s">
        <v>3124</v>
      </c>
    </row>
    <row r="359" spans="2:8" x14ac:dyDescent="0.3">
      <c r="B359" s="140">
        <v>46001</v>
      </c>
      <c r="C359" s="103">
        <v>45992</v>
      </c>
      <c r="D359" s="70" t="s">
        <v>2928</v>
      </c>
      <c r="E359" s="70" t="s">
        <v>3044</v>
      </c>
      <c r="F359" s="47" t="s">
        <v>6</v>
      </c>
      <c r="G359" s="67" t="s">
        <v>2949</v>
      </c>
      <c r="H359" s="67" t="s">
        <v>2950</v>
      </c>
    </row>
    <row r="360" spans="2:8" x14ac:dyDescent="0.3">
      <c r="B360" s="140">
        <v>46001</v>
      </c>
      <c r="C360" s="103">
        <v>45992</v>
      </c>
      <c r="D360" s="70" t="s">
        <v>2928</v>
      </c>
      <c r="E360" s="70" t="s">
        <v>3044</v>
      </c>
      <c r="F360" s="63" t="s">
        <v>6</v>
      </c>
      <c r="G360" s="69" t="s">
        <v>3051</v>
      </c>
      <c r="H360" s="70" t="s">
        <v>3052</v>
      </c>
    </row>
    <row r="361" spans="2:8" x14ac:dyDescent="0.3">
      <c r="B361" s="140">
        <v>46001</v>
      </c>
      <c r="C361" s="103">
        <v>45992</v>
      </c>
      <c r="D361" s="70" t="s">
        <v>2928</v>
      </c>
      <c r="E361" s="70" t="s">
        <v>3044</v>
      </c>
      <c r="F361" s="63" t="s">
        <v>6</v>
      </c>
      <c r="G361" s="67" t="s">
        <v>3045</v>
      </c>
      <c r="H361" s="68" t="s">
        <v>3046</v>
      </c>
    </row>
    <row r="362" spans="2:8" x14ac:dyDescent="0.3">
      <c r="B362" s="140">
        <v>46001</v>
      </c>
      <c r="C362" s="103">
        <v>45992</v>
      </c>
      <c r="D362" s="70" t="s">
        <v>2928</v>
      </c>
      <c r="E362" s="70" t="s">
        <v>3044</v>
      </c>
      <c r="F362" s="63" t="s">
        <v>6</v>
      </c>
      <c r="G362" s="69" t="s">
        <v>3047</v>
      </c>
      <c r="H362" s="70" t="s">
        <v>3048</v>
      </c>
    </row>
    <row r="363" spans="2:8" x14ac:dyDescent="0.3">
      <c r="B363" s="140">
        <v>46001</v>
      </c>
      <c r="C363" s="103">
        <v>45992</v>
      </c>
      <c r="D363" s="70" t="s">
        <v>2928</v>
      </c>
      <c r="E363" s="70" t="s">
        <v>3044</v>
      </c>
      <c r="F363" s="63" t="s">
        <v>6</v>
      </c>
      <c r="G363" s="69" t="s">
        <v>3049</v>
      </c>
      <c r="H363" s="70" t="s">
        <v>3050</v>
      </c>
    </row>
    <row r="364" spans="2:8" x14ac:dyDescent="0.3">
      <c r="B364" s="140">
        <v>46001</v>
      </c>
      <c r="C364" s="103">
        <v>45992</v>
      </c>
      <c r="D364" s="70" t="s">
        <v>2928</v>
      </c>
      <c r="E364" s="70" t="s">
        <v>3044</v>
      </c>
      <c r="F364" s="63" t="s">
        <v>6</v>
      </c>
      <c r="G364" s="69" t="s">
        <v>3125</v>
      </c>
      <c r="H364" s="69" t="s">
        <v>3126</v>
      </c>
    </row>
    <row r="365" spans="2:8" x14ac:dyDescent="0.3">
      <c r="B365" s="140">
        <v>46002</v>
      </c>
      <c r="C365" s="103">
        <v>45992</v>
      </c>
      <c r="D365" s="70" t="s">
        <v>2928</v>
      </c>
      <c r="E365" s="70" t="s">
        <v>3044</v>
      </c>
      <c r="F365" s="47" t="s">
        <v>6</v>
      </c>
      <c r="G365" s="67" t="s">
        <v>2949</v>
      </c>
      <c r="H365" s="67" t="s">
        <v>2950</v>
      </c>
    </row>
    <row r="366" spans="2:8" x14ac:dyDescent="0.3">
      <c r="B366" s="140">
        <v>46002</v>
      </c>
      <c r="C366" s="103">
        <v>45992</v>
      </c>
      <c r="D366" s="70" t="s">
        <v>2928</v>
      </c>
      <c r="E366" s="70" t="s">
        <v>3044</v>
      </c>
      <c r="F366" s="63" t="s">
        <v>6</v>
      </c>
      <c r="G366" s="69" t="s">
        <v>3051</v>
      </c>
      <c r="H366" s="70" t="s">
        <v>3052</v>
      </c>
    </row>
    <row r="367" spans="2:8" x14ac:dyDescent="0.3">
      <c r="B367" s="140">
        <v>46002</v>
      </c>
      <c r="C367" s="103">
        <v>45992</v>
      </c>
      <c r="D367" s="70" t="s">
        <v>2928</v>
      </c>
      <c r="E367" s="70" t="s">
        <v>3044</v>
      </c>
      <c r="F367" s="63" t="s">
        <v>6</v>
      </c>
      <c r="G367" s="67" t="s">
        <v>3045</v>
      </c>
      <c r="H367" s="68" t="s">
        <v>3046</v>
      </c>
    </row>
    <row r="368" spans="2:8" x14ac:dyDescent="0.3">
      <c r="B368" s="140">
        <v>46002</v>
      </c>
      <c r="C368" s="103">
        <v>45992</v>
      </c>
      <c r="D368" s="70" t="s">
        <v>2928</v>
      </c>
      <c r="E368" s="70" t="s">
        <v>3044</v>
      </c>
      <c r="F368" s="63" t="s">
        <v>6</v>
      </c>
      <c r="G368" s="69" t="s">
        <v>3047</v>
      </c>
      <c r="H368" s="70" t="s">
        <v>3048</v>
      </c>
    </row>
    <row r="369" spans="2:8" x14ac:dyDescent="0.3">
      <c r="B369" s="140">
        <v>46002</v>
      </c>
      <c r="C369" s="103">
        <v>45992</v>
      </c>
      <c r="D369" s="70" t="s">
        <v>2928</v>
      </c>
      <c r="E369" s="70" t="s">
        <v>3044</v>
      </c>
      <c r="F369" s="63" t="s">
        <v>6</v>
      </c>
      <c r="G369" s="69" t="s">
        <v>3049</v>
      </c>
      <c r="H369" s="70" t="s">
        <v>3050</v>
      </c>
    </row>
    <row r="370" spans="2:8" x14ac:dyDescent="0.3">
      <c r="B370" s="140">
        <v>46003</v>
      </c>
      <c r="C370" s="103">
        <v>45992</v>
      </c>
      <c r="D370" s="70" t="s">
        <v>2928</v>
      </c>
      <c r="E370" s="70" t="s">
        <v>3044</v>
      </c>
      <c r="F370" s="47" t="s">
        <v>6</v>
      </c>
      <c r="G370" s="67" t="s">
        <v>2949</v>
      </c>
      <c r="H370" s="67" t="s">
        <v>2950</v>
      </c>
    </row>
    <row r="371" spans="2:8" x14ac:dyDescent="0.3">
      <c r="B371" s="140">
        <v>46003</v>
      </c>
      <c r="C371" s="103">
        <v>45992</v>
      </c>
      <c r="D371" s="70" t="s">
        <v>2928</v>
      </c>
      <c r="E371" s="70" t="s">
        <v>3044</v>
      </c>
      <c r="F371" s="63" t="s">
        <v>6</v>
      </c>
      <c r="G371" s="69" t="s">
        <v>3051</v>
      </c>
      <c r="H371" s="70" t="s">
        <v>3052</v>
      </c>
    </row>
    <row r="372" spans="2:8" x14ac:dyDescent="0.3">
      <c r="B372" s="140">
        <v>46003</v>
      </c>
      <c r="C372" s="103">
        <v>45992</v>
      </c>
      <c r="D372" s="70" t="s">
        <v>2928</v>
      </c>
      <c r="E372" s="70" t="s">
        <v>3044</v>
      </c>
      <c r="F372" s="63" t="s">
        <v>6</v>
      </c>
      <c r="G372" s="67" t="s">
        <v>3045</v>
      </c>
      <c r="H372" s="68" t="s">
        <v>3046</v>
      </c>
    </row>
    <row r="373" spans="2:8" x14ac:dyDescent="0.3">
      <c r="B373" s="140">
        <v>46003</v>
      </c>
      <c r="C373" s="103">
        <v>45992</v>
      </c>
      <c r="D373" s="70" t="s">
        <v>2928</v>
      </c>
      <c r="E373" s="70" t="s">
        <v>3044</v>
      </c>
      <c r="F373" s="63" t="s">
        <v>6</v>
      </c>
      <c r="G373" s="69" t="s">
        <v>3047</v>
      </c>
      <c r="H373" s="70" t="s">
        <v>3048</v>
      </c>
    </row>
    <row r="374" spans="2:8" x14ac:dyDescent="0.3">
      <c r="B374" s="140">
        <v>46003</v>
      </c>
      <c r="C374" s="103">
        <v>45992</v>
      </c>
      <c r="D374" s="70" t="s">
        <v>2928</v>
      </c>
      <c r="E374" s="70" t="s">
        <v>3044</v>
      </c>
      <c r="F374" s="63" t="s">
        <v>6</v>
      </c>
      <c r="G374" s="69" t="s">
        <v>3049</v>
      </c>
      <c r="H374" s="70" t="s">
        <v>3050</v>
      </c>
    </row>
    <row r="375" spans="2:8" x14ac:dyDescent="0.3">
      <c r="B375" s="140">
        <v>46005</v>
      </c>
      <c r="C375" s="103">
        <v>45992</v>
      </c>
      <c r="D375" s="70" t="s">
        <v>2928</v>
      </c>
      <c r="E375" s="70" t="s">
        <v>3044</v>
      </c>
      <c r="F375" s="107" t="s">
        <v>325</v>
      </c>
      <c r="G375" s="98" t="s">
        <v>3127</v>
      </c>
      <c r="H375" s="101" t="s">
        <v>3128</v>
      </c>
    </row>
    <row r="376" spans="2:8" x14ac:dyDescent="0.3">
      <c r="B376" s="140">
        <v>46006</v>
      </c>
      <c r="C376" s="103">
        <v>45992</v>
      </c>
      <c r="D376" s="70" t="s">
        <v>2928</v>
      </c>
      <c r="E376" s="70" t="s">
        <v>3044</v>
      </c>
      <c r="F376" s="63" t="s">
        <v>6</v>
      </c>
      <c r="G376" s="69" t="s">
        <v>3051</v>
      </c>
      <c r="H376" s="70" t="s">
        <v>3052</v>
      </c>
    </row>
    <row r="377" spans="2:8" x14ac:dyDescent="0.3">
      <c r="B377" s="140">
        <v>46006</v>
      </c>
      <c r="C377" s="103">
        <v>45992</v>
      </c>
      <c r="D377" s="70" t="s">
        <v>2928</v>
      </c>
      <c r="E377" s="70" t="s">
        <v>3044</v>
      </c>
      <c r="F377" s="63" t="s">
        <v>6</v>
      </c>
      <c r="G377" s="67" t="s">
        <v>3045</v>
      </c>
      <c r="H377" s="68" t="s">
        <v>3046</v>
      </c>
    </row>
    <row r="378" spans="2:8" x14ac:dyDescent="0.3">
      <c r="B378" s="140">
        <v>46006</v>
      </c>
      <c r="C378" s="103">
        <v>45992</v>
      </c>
      <c r="D378" s="70" t="s">
        <v>2928</v>
      </c>
      <c r="E378" s="70" t="s">
        <v>3044</v>
      </c>
      <c r="F378" s="63" t="s">
        <v>6</v>
      </c>
      <c r="G378" s="69" t="s">
        <v>3047</v>
      </c>
      <c r="H378" s="70" t="s">
        <v>3048</v>
      </c>
    </row>
    <row r="379" spans="2:8" x14ac:dyDescent="0.3">
      <c r="B379" s="141">
        <v>46006</v>
      </c>
      <c r="C379" s="117">
        <v>45992</v>
      </c>
      <c r="D379" s="99" t="s">
        <v>2928</v>
      </c>
      <c r="E379" s="99" t="s">
        <v>3044</v>
      </c>
      <c r="F379" s="169" t="s">
        <v>6</v>
      </c>
      <c r="G379" s="118" t="s">
        <v>3049</v>
      </c>
      <c r="H379" s="99" t="s">
        <v>3050</v>
      </c>
    </row>
    <row r="380" spans="2:8" x14ac:dyDescent="0.3">
      <c r="B380" s="115">
        <v>46006</v>
      </c>
      <c r="C380" s="115">
        <v>45992</v>
      </c>
      <c r="D380" s="170" t="s">
        <v>2928</v>
      </c>
      <c r="E380" s="170" t="s">
        <v>3044</v>
      </c>
      <c r="F380" s="107" t="s">
        <v>325</v>
      </c>
      <c r="G380" s="170" t="s">
        <v>3129</v>
      </c>
      <c r="H380" s="116" t="s">
        <v>3130</v>
      </c>
    </row>
    <row r="381" spans="2:8" x14ac:dyDescent="0.3">
      <c r="B381" s="140">
        <v>46007</v>
      </c>
      <c r="C381" s="119">
        <v>45992</v>
      </c>
      <c r="D381" s="70" t="s">
        <v>2928</v>
      </c>
      <c r="E381" s="70" t="s">
        <v>3044</v>
      </c>
      <c r="F381" s="171" t="s">
        <v>6</v>
      </c>
      <c r="G381" s="69" t="s">
        <v>3051</v>
      </c>
      <c r="H381" s="70" t="s">
        <v>3052</v>
      </c>
    </row>
    <row r="382" spans="2:8" x14ac:dyDescent="0.3">
      <c r="B382" s="140">
        <v>46007</v>
      </c>
      <c r="C382" s="103">
        <v>45992</v>
      </c>
      <c r="D382" s="70" t="s">
        <v>2928</v>
      </c>
      <c r="E382" s="70" t="s">
        <v>3044</v>
      </c>
      <c r="F382" s="63" t="s">
        <v>6</v>
      </c>
      <c r="G382" s="67" t="s">
        <v>3045</v>
      </c>
      <c r="H382" s="68" t="s">
        <v>3046</v>
      </c>
    </row>
    <row r="383" spans="2:8" x14ac:dyDescent="0.3">
      <c r="B383" s="140">
        <v>46007</v>
      </c>
      <c r="C383" s="103">
        <v>45992</v>
      </c>
      <c r="D383" s="70" t="s">
        <v>2928</v>
      </c>
      <c r="E383" s="70" t="s">
        <v>3044</v>
      </c>
      <c r="F383" s="63" t="s">
        <v>6</v>
      </c>
      <c r="G383" s="69" t="s">
        <v>3047</v>
      </c>
      <c r="H383" s="70" t="s">
        <v>3048</v>
      </c>
    </row>
    <row r="384" spans="2:8" x14ac:dyDescent="0.3">
      <c r="B384" s="140">
        <v>46007</v>
      </c>
      <c r="C384" s="103">
        <v>45992</v>
      </c>
      <c r="D384" s="70" t="s">
        <v>2928</v>
      </c>
      <c r="E384" s="70" t="s">
        <v>3044</v>
      </c>
      <c r="F384" s="63" t="s">
        <v>6</v>
      </c>
      <c r="G384" s="69" t="s">
        <v>3049</v>
      </c>
      <c r="H384" s="70" t="s">
        <v>3050</v>
      </c>
    </row>
    <row r="385" spans="2:8" x14ac:dyDescent="0.3">
      <c r="B385" s="140">
        <v>46008</v>
      </c>
      <c r="C385" s="103">
        <v>45992</v>
      </c>
      <c r="D385" s="70" t="s">
        <v>2928</v>
      </c>
      <c r="E385" s="70" t="s">
        <v>3044</v>
      </c>
      <c r="F385" s="63" t="s">
        <v>6</v>
      </c>
      <c r="G385" s="69" t="s">
        <v>3051</v>
      </c>
      <c r="H385" s="70" t="s">
        <v>3052</v>
      </c>
    </row>
    <row r="386" spans="2:8" x14ac:dyDescent="0.3">
      <c r="B386" s="140">
        <v>46008</v>
      </c>
      <c r="C386" s="103">
        <v>45992</v>
      </c>
      <c r="D386" s="70" t="s">
        <v>2928</v>
      </c>
      <c r="E386" s="70" t="s">
        <v>3044</v>
      </c>
      <c r="F386" s="63" t="s">
        <v>6</v>
      </c>
      <c r="G386" s="67" t="s">
        <v>3045</v>
      </c>
      <c r="H386" s="68" t="s">
        <v>3046</v>
      </c>
    </row>
    <row r="387" spans="2:8" x14ac:dyDescent="0.3">
      <c r="B387" s="140">
        <v>46008</v>
      </c>
      <c r="C387" s="103">
        <v>45992</v>
      </c>
      <c r="D387" s="70" t="s">
        <v>2928</v>
      </c>
      <c r="E387" s="70" t="s">
        <v>3044</v>
      </c>
      <c r="F387" s="63" t="s">
        <v>6</v>
      </c>
      <c r="G387" s="69" t="s">
        <v>3047</v>
      </c>
      <c r="H387" s="70" t="s">
        <v>3048</v>
      </c>
    </row>
    <row r="388" spans="2:8" x14ac:dyDescent="0.3">
      <c r="B388" s="140">
        <v>46008</v>
      </c>
      <c r="C388" s="103">
        <v>45992</v>
      </c>
      <c r="D388" s="70" t="s">
        <v>2928</v>
      </c>
      <c r="E388" s="70" t="s">
        <v>3044</v>
      </c>
      <c r="F388" s="63" t="s">
        <v>6</v>
      </c>
      <c r="G388" s="69" t="s">
        <v>3049</v>
      </c>
      <c r="H388" s="70" t="s">
        <v>3050</v>
      </c>
    </row>
    <row r="389" spans="2:8" x14ac:dyDescent="0.3">
      <c r="B389" s="140">
        <v>46009</v>
      </c>
      <c r="C389" s="103">
        <v>45992</v>
      </c>
      <c r="D389" s="70" t="s">
        <v>2928</v>
      </c>
      <c r="E389" s="70" t="s">
        <v>3044</v>
      </c>
      <c r="F389" s="63" t="s">
        <v>6</v>
      </c>
      <c r="G389" s="69" t="s">
        <v>3051</v>
      </c>
      <c r="H389" s="70" t="s">
        <v>3052</v>
      </c>
    </row>
    <row r="390" spans="2:8" x14ac:dyDescent="0.3">
      <c r="B390" s="140">
        <v>46009</v>
      </c>
      <c r="C390" s="103">
        <v>45992</v>
      </c>
      <c r="D390" s="70" t="s">
        <v>2928</v>
      </c>
      <c r="E390" s="70" t="s">
        <v>3044</v>
      </c>
      <c r="F390" s="63" t="s">
        <v>6</v>
      </c>
      <c r="G390" s="67" t="s">
        <v>3045</v>
      </c>
      <c r="H390" s="68" t="s">
        <v>3046</v>
      </c>
    </row>
    <row r="391" spans="2:8" x14ac:dyDescent="0.3">
      <c r="B391" s="140">
        <v>46009</v>
      </c>
      <c r="C391" s="103">
        <v>45992</v>
      </c>
      <c r="D391" s="70" t="s">
        <v>2928</v>
      </c>
      <c r="E391" s="70" t="s">
        <v>3044</v>
      </c>
      <c r="F391" s="63" t="s">
        <v>6</v>
      </c>
      <c r="G391" s="69" t="s">
        <v>3047</v>
      </c>
      <c r="H391" s="70" t="s">
        <v>3048</v>
      </c>
    </row>
    <row r="392" spans="2:8" x14ac:dyDescent="0.3">
      <c r="B392" s="140">
        <v>46009</v>
      </c>
      <c r="C392" s="103">
        <v>45992</v>
      </c>
      <c r="D392" s="70" t="s">
        <v>2928</v>
      </c>
      <c r="E392" s="70" t="s">
        <v>3044</v>
      </c>
      <c r="F392" s="63" t="s">
        <v>6</v>
      </c>
      <c r="G392" s="69" t="s">
        <v>3049</v>
      </c>
      <c r="H392" s="70" t="s">
        <v>3050</v>
      </c>
    </row>
    <row r="393" spans="2:8" x14ac:dyDescent="0.3">
      <c r="B393" s="140">
        <v>46010</v>
      </c>
      <c r="C393" s="103">
        <v>45992</v>
      </c>
      <c r="D393" s="70" t="s">
        <v>2928</v>
      </c>
      <c r="E393" s="70" t="s">
        <v>3044</v>
      </c>
      <c r="F393" s="63" t="s">
        <v>6</v>
      </c>
      <c r="G393" s="69" t="s">
        <v>3051</v>
      </c>
      <c r="H393" s="70" t="s">
        <v>3052</v>
      </c>
    </row>
    <row r="394" spans="2:8" x14ac:dyDescent="0.3">
      <c r="B394" s="140">
        <v>46010</v>
      </c>
      <c r="C394" s="103">
        <v>45992</v>
      </c>
      <c r="D394" s="70" t="s">
        <v>2928</v>
      </c>
      <c r="E394" s="70" t="s">
        <v>3044</v>
      </c>
      <c r="F394" s="63" t="s">
        <v>6</v>
      </c>
      <c r="G394" s="67" t="s">
        <v>3045</v>
      </c>
      <c r="H394" s="68" t="s">
        <v>3046</v>
      </c>
    </row>
    <row r="395" spans="2:8" x14ac:dyDescent="0.3">
      <c r="B395" s="140">
        <v>46010</v>
      </c>
      <c r="C395" s="103">
        <v>45992</v>
      </c>
      <c r="D395" s="70" t="s">
        <v>2928</v>
      </c>
      <c r="E395" s="70" t="s">
        <v>3044</v>
      </c>
      <c r="F395" s="63" t="s">
        <v>6</v>
      </c>
      <c r="G395" s="69" t="s">
        <v>3047</v>
      </c>
      <c r="H395" s="70" t="s">
        <v>3048</v>
      </c>
    </row>
    <row r="396" spans="2:8" x14ac:dyDescent="0.3">
      <c r="B396" s="140">
        <v>46010</v>
      </c>
      <c r="C396" s="103">
        <v>45992</v>
      </c>
      <c r="D396" s="70" t="s">
        <v>2928</v>
      </c>
      <c r="E396" s="70" t="s">
        <v>3044</v>
      </c>
      <c r="F396" s="63" t="s">
        <v>6</v>
      </c>
      <c r="G396" s="69" t="s">
        <v>3049</v>
      </c>
      <c r="H396" s="70" t="s">
        <v>3050</v>
      </c>
    </row>
    <row r="397" spans="2:8" x14ac:dyDescent="0.3">
      <c r="B397" s="140">
        <v>46013</v>
      </c>
      <c r="C397" s="103">
        <v>45992</v>
      </c>
      <c r="D397" s="70" t="s">
        <v>2928</v>
      </c>
      <c r="E397" s="70" t="s">
        <v>3044</v>
      </c>
      <c r="F397" s="63" t="s">
        <v>6</v>
      </c>
      <c r="G397" s="69" t="s">
        <v>3051</v>
      </c>
      <c r="H397" s="70" t="s">
        <v>3052</v>
      </c>
    </row>
    <row r="398" spans="2:8" x14ac:dyDescent="0.3">
      <c r="B398" s="140">
        <v>46013</v>
      </c>
      <c r="C398" s="103">
        <v>45992</v>
      </c>
      <c r="D398" s="70" t="s">
        <v>2928</v>
      </c>
      <c r="E398" s="70" t="s">
        <v>3044</v>
      </c>
      <c r="F398" s="63" t="s">
        <v>6</v>
      </c>
      <c r="G398" s="67" t="s">
        <v>3045</v>
      </c>
      <c r="H398" s="68" t="s">
        <v>3046</v>
      </c>
    </row>
    <row r="399" spans="2:8" x14ac:dyDescent="0.3">
      <c r="B399" s="140">
        <v>46013</v>
      </c>
      <c r="C399" s="103">
        <v>45992</v>
      </c>
      <c r="D399" s="70" t="s">
        <v>2928</v>
      </c>
      <c r="E399" s="70" t="s">
        <v>3044</v>
      </c>
      <c r="F399" s="63" t="s">
        <v>6</v>
      </c>
      <c r="G399" s="69" t="s">
        <v>3047</v>
      </c>
      <c r="H399" s="70" t="s">
        <v>3048</v>
      </c>
    </row>
    <row r="400" spans="2:8" x14ac:dyDescent="0.3">
      <c r="B400" s="140">
        <v>46013</v>
      </c>
      <c r="C400" s="103">
        <v>45992</v>
      </c>
      <c r="D400" s="70" t="s">
        <v>2928</v>
      </c>
      <c r="E400" s="70" t="s">
        <v>3044</v>
      </c>
      <c r="F400" s="63" t="s">
        <v>6</v>
      </c>
      <c r="G400" s="69" t="s">
        <v>3049</v>
      </c>
      <c r="H400" s="70" t="s">
        <v>3050</v>
      </c>
    </row>
    <row r="401" spans="2:8" x14ac:dyDescent="0.3">
      <c r="B401" s="140">
        <v>46013</v>
      </c>
      <c r="C401" s="103">
        <v>45992</v>
      </c>
      <c r="D401" s="70" t="s">
        <v>2928</v>
      </c>
      <c r="E401" s="70" t="s">
        <v>3044</v>
      </c>
      <c r="F401" s="107" t="s">
        <v>325</v>
      </c>
      <c r="G401" s="98" t="s">
        <v>3127</v>
      </c>
      <c r="H401" s="101" t="s">
        <v>3131</v>
      </c>
    </row>
    <row r="402" spans="2:8" x14ac:dyDescent="0.3">
      <c r="B402" s="140">
        <v>46014</v>
      </c>
      <c r="C402" s="103">
        <v>45992</v>
      </c>
      <c r="D402" s="70" t="s">
        <v>2928</v>
      </c>
      <c r="E402" s="70" t="s">
        <v>3044</v>
      </c>
      <c r="F402" s="63" t="s">
        <v>6</v>
      </c>
      <c r="G402" s="69" t="s">
        <v>3051</v>
      </c>
      <c r="H402" s="70" t="s">
        <v>3052</v>
      </c>
    </row>
    <row r="403" spans="2:8" x14ac:dyDescent="0.3">
      <c r="B403" s="140">
        <v>46014</v>
      </c>
      <c r="C403" s="103">
        <v>45992</v>
      </c>
      <c r="D403" s="70" t="s">
        <v>2928</v>
      </c>
      <c r="E403" s="70" t="s">
        <v>3044</v>
      </c>
      <c r="F403" s="63" t="s">
        <v>6</v>
      </c>
      <c r="G403" s="67" t="s">
        <v>3045</v>
      </c>
      <c r="H403" s="68" t="s">
        <v>3046</v>
      </c>
    </row>
    <row r="404" spans="2:8" x14ac:dyDescent="0.3">
      <c r="B404" s="140">
        <v>46014</v>
      </c>
      <c r="C404" s="103">
        <v>45992</v>
      </c>
      <c r="D404" s="70" t="s">
        <v>2928</v>
      </c>
      <c r="E404" s="70" t="s">
        <v>3044</v>
      </c>
      <c r="F404" s="63" t="s">
        <v>6</v>
      </c>
      <c r="G404" s="69" t="s">
        <v>3047</v>
      </c>
      <c r="H404" s="70" t="s">
        <v>3048</v>
      </c>
    </row>
    <row r="405" spans="2:8" x14ac:dyDescent="0.3">
      <c r="B405" s="140">
        <v>46014</v>
      </c>
      <c r="C405" s="103">
        <v>45992</v>
      </c>
      <c r="D405" s="70" t="s">
        <v>2928</v>
      </c>
      <c r="E405" s="70" t="s">
        <v>3044</v>
      </c>
      <c r="F405" s="63" t="s">
        <v>6</v>
      </c>
      <c r="G405" s="69" t="s">
        <v>3049</v>
      </c>
      <c r="H405" s="70" t="s">
        <v>3050</v>
      </c>
    </row>
    <row r="406" spans="2:8" x14ac:dyDescent="0.3">
      <c r="B406" s="140">
        <v>46015</v>
      </c>
      <c r="C406" s="103">
        <v>45992</v>
      </c>
      <c r="D406" s="70" t="s">
        <v>2928</v>
      </c>
      <c r="E406" s="70" t="s">
        <v>3044</v>
      </c>
      <c r="F406" s="63" t="s">
        <v>6</v>
      </c>
      <c r="G406" s="69" t="s">
        <v>3051</v>
      </c>
      <c r="H406" s="70" t="s">
        <v>3052</v>
      </c>
    </row>
    <row r="407" spans="2:8" x14ac:dyDescent="0.3">
      <c r="B407" s="140">
        <v>46015</v>
      </c>
      <c r="C407" s="103">
        <v>45992</v>
      </c>
      <c r="D407" s="70" t="s">
        <v>2928</v>
      </c>
      <c r="E407" s="70" t="s">
        <v>3044</v>
      </c>
      <c r="F407" s="63" t="s">
        <v>6</v>
      </c>
      <c r="G407" s="67" t="s">
        <v>3045</v>
      </c>
      <c r="H407" s="68" t="s">
        <v>3046</v>
      </c>
    </row>
    <row r="408" spans="2:8" x14ac:dyDescent="0.3">
      <c r="B408" s="140">
        <v>46015</v>
      </c>
      <c r="C408" s="103">
        <v>45992</v>
      </c>
      <c r="D408" s="70" t="s">
        <v>2928</v>
      </c>
      <c r="E408" s="70" t="s">
        <v>3044</v>
      </c>
      <c r="F408" s="63" t="s">
        <v>6</v>
      </c>
      <c r="G408" s="69" t="s">
        <v>3047</v>
      </c>
      <c r="H408" s="70" t="s">
        <v>3048</v>
      </c>
    </row>
    <row r="409" spans="2:8" x14ac:dyDescent="0.3">
      <c r="B409" s="140">
        <v>46015</v>
      </c>
      <c r="C409" s="103">
        <v>45992</v>
      </c>
      <c r="D409" s="70" t="s">
        <v>2928</v>
      </c>
      <c r="E409" s="70" t="s">
        <v>3044</v>
      </c>
      <c r="F409" s="63" t="s">
        <v>6</v>
      </c>
      <c r="G409" s="69" t="s">
        <v>3049</v>
      </c>
      <c r="H409" s="70" t="s">
        <v>3050</v>
      </c>
    </row>
    <row r="410" spans="2:8" x14ac:dyDescent="0.3">
      <c r="B410" s="140">
        <v>46017</v>
      </c>
      <c r="C410" s="103">
        <v>45992</v>
      </c>
      <c r="D410" s="70" t="s">
        <v>2928</v>
      </c>
      <c r="E410" s="70" t="s">
        <v>3044</v>
      </c>
      <c r="F410" s="63" t="s">
        <v>6</v>
      </c>
      <c r="G410" s="69" t="s">
        <v>3051</v>
      </c>
      <c r="H410" s="70" t="s">
        <v>3052</v>
      </c>
    </row>
    <row r="411" spans="2:8" x14ac:dyDescent="0.3">
      <c r="B411" s="140">
        <v>46017</v>
      </c>
      <c r="C411" s="103">
        <v>45992</v>
      </c>
      <c r="D411" s="70" t="s">
        <v>2928</v>
      </c>
      <c r="E411" s="70" t="s">
        <v>3044</v>
      </c>
      <c r="F411" s="63" t="s">
        <v>6</v>
      </c>
      <c r="G411" s="67" t="s">
        <v>3045</v>
      </c>
      <c r="H411" s="68" t="s">
        <v>3046</v>
      </c>
    </row>
    <row r="412" spans="2:8" x14ac:dyDescent="0.3">
      <c r="B412" s="140">
        <v>46017</v>
      </c>
      <c r="C412" s="103">
        <v>45992</v>
      </c>
      <c r="D412" s="70" t="s">
        <v>2928</v>
      </c>
      <c r="E412" s="70" t="s">
        <v>3044</v>
      </c>
      <c r="F412" s="63" t="s">
        <v>6</v>
      </c>
      <c r="G412" s="69" t="s">
        <v>3047</v>
      </c>
      <c r="H412" s="70" t="s">
        <v>3048</v>
      </c>
    </row>
    <row r="413" spans="2:8" x14ac:dyDescent="0.3">
      <c r="B413" s="140">
        <v>46017</v>
      </c>
      <c r="C413" s="103">
        <v>45992</v>
      </c>
      <c r="D413" s="70" t="s">
        <v>2928</v>
      </c>
      <c r="E413" s="70" t="s">
        <v>3044</v>
      </c>
      <c r="F413" s="63" t="s">
        <v>6</v>
      </c>
      <c r="G413" s="69" t="s">
        <v>3049</v>
      </c>
      <c r="H413" s="70" t="s">
        <v>3050</v>
      </c>
    </row>
    <row r="414" spans="2:8" x14ac:dyDescent="0.3">
      <c r="B414" s="140">
        <v>46020</v>
      </c>
      <c r="C414" s="103">
        <v>45992</v>
      </c>
      <c r="D414" s="70" t="s">
        <v>2928</v>
      </c>
      <c r="E414" s="70" t="s">
        <v>3044</v>
      </c>
      <c r="F414" s="47" t="s">
        <v>6</v>
      </c>
      <c r="G414" s="67" t="s">
        <v>2949</v>
      </c>
      <c r="H414" s="67" t="s">
        <v>2950</v>
      </c>
    </row>
    <row r="415" spans="2:8" x14ac:dyDescent="0.3">
      <c r="B415" s="140">
        <v>46020</v>
      </c>
      <c r="C415" s="103">
        <v>45992</v>
      </c>
      <c r="D415" s="70" t="s">
        <v>2928</v>
      </c>
      <c r="E415" s="70" t="s">
        <v>3044</v>
      </c>
      <c r="F415" s="63" t="s">
        <v>6</v>
      </c>
      <c r="G415" s="69" t="s">
        <v>3051</v>
      </c>
      <c r="H415" s="70" t="s">
        <v>3052</v>
      </c>
    </row>
    <row r="416" spans="2:8" x14ac:dyDescent="0.3">
      <c r="B416" s="140">
        <v>46020</v>
      </c>
      <c r="C416" s="103">
        <v>45992</v>
      </c>
      <c r="D416" s="70" t="s">
        <v>2928</v>
      </c>
      <c r="E416" s="70" t="s">
        <v>3044</v>
      </c>
      <c r="F416" s="63" t="s">
        <v>6</v>
      </c>
      <c r="G416" s="67" t="s">
        <v>3045</v>
      </c>
      <c r="H416" s="68" t="s">
        <v>3046</v>
      </c>
    </row>
    <row r="417" spans="2:8" x14ac:dyDescent="0.3">
      <c r="B417" s="140">
        <v>46020</v>
      </c>
      <c r="C417" s="103">
        <v>45992</v>
      </c>
      <c r="D417" s="70" t="s">
        <v>2928</v>
      </c>
      <c r="E417" s="70" t="s">
        <v>3044</v>
      </c>
      <c r="F417" s="63" t="s">
        <v>6</v>
      </c>
      <c r="G417" s="69" t="s">
        <v>3047</v>
      </c>
      <c r="H417" s="70" t="s">
        <v>3048</v>
      </c>
    </row>
    <row r="418" spans="2:8" x14ac:dyDescent="0.3">
      <c r="B418" s="140">
        <v>46020</v>
      </c>
      <c r="C418" s="103">
        <v>45992</v>
      </c>
      <c r="D418" s="70" t="s">
        <v>2928</v>
      </c>
      <c r="E418" s="70" t="s">
        <v>3044</v>
      </c>
      <c r="F418" s="63" t="s">
        <v>6</v>
      </c>
      <c r="G418" s="69" t="s">
        <v>3049</v>
      </c>
      <c r="H418" s="70" t="s">
        <v>3050</v>
      </c>
    </row>
    <row r="419" spans="2:8" x14ac:dyDescent="0.3">
      <c r="B419" s="140">
        <v>46021</v>
      </c>
      <c r="C419" s="103">
        <v>45992</v>
      </c>
      <c r="D419" s="70" t="s">
        <v>2928</v>
      </c>
      <c r="E419" s="70" t="s">
        <v>3044</v>
      </c>
      <c r="F419" s="47" t="s">
        <v>6</v>
      </c>
      <c r="G419" s="67" t="s">
        <v>2949</v>
      </c>
      <c r="H419" s="67" t="s">
        <v>2950</v>
      </c>
    </row>
    <row r="420" spans="2:8" x14ac:dyDescent="0.3">
      <c r="B420" s="140">
        <v>46021</v>
      </c>
      <c r="C420" s="103">
        <v>45992</v>
      </c>
      <c r="D420" s="70" t="s">
        <v>2928</v>
      </c>
      <c r="E420" s="70" t="s">
        <v>3044</v>
      </c>
      <c r="F420" s="63" t="s">
        <v>6</v>
      </c>
      <c r="G420" s="69" t="s">
        <v>3051</v>
      </c>
      <c r="H420" s="70" t="s">
        <v>3052</v>
      </c>
    </row>
    <row r="421" spans="2:8" x14ac:dyDescent="0.3">
      <c r="B421" s="140">
        <v>46021</v>
      </c>
      <c r="C421" s="103">
        <v>45992</v>
      </c>
      <c r="D421" s="70" t="s">
        <v>2928</v>
      </c>
      <c r="E421" s="70" t="s">
        <v>3044</v>
      </c>
      <c r="F421" s="63" t="s">
        <v>6</v>
      </c>
      <c r="G421" s="67" t="s">
        <v>3045</v>
      </c>
      <c r="H421" s="68" t="s">
        <v>3046</v>
      </c>
    </row>
    <row r="422" spans="2:8" x14ac:dyDescent="0.3">
      <c r="B422" s="140">
        <v>46021</v>
      </c>
      <c r="C422" s="103">
        <v>45992</v>
      </c>
      <c r="D422" s="70" t="s">
        <v>2928</v>
      </c>
      <c r="E422" s="70" t="s">
        <v>3044</v>
      </c>
      <c r="F422" s="63" t="s">
        <v>6</v>
      </c>
      <c r="G422" s="69" t="s">
        <v>3047</v>
      </c>
      <c r="H422" s="70" t="s">
        <v>3048</v>
      </c>
    </row>
    <row r="423" spans="2:8" x14ac:dyDescent="0.3">
      <c r="B423" s="140">
        <v>46021</v>
      </c>
      <c r="C423" s="103">
        <v>45992</v>
      </c>
      <c r="D423" s="70" t="s">
        <v>2928</v>
      </c>
      <c r="E423" s="70" t="s">
        <v>3044</v>
      </c>
      <c r="F423" s="63" t="s">
        <v>6</v>
      </c>
      <c r="G423" s="69" t="s">
        <v>3049</v>
      </c>
      <c r="H423" s="70" t="s">
        <v>3050</v>
      </c>
    </row>
    <row r="424" spans="2:8" x14ac:dyDescent="0.3">
      <c r="B424" s="140">
        <v>46022</v>
      </c>
      <c r="C424" s="103">
        <v>45992</v>
      </c>
      <c r="D424" s="70" t="s">
        <v>2928</v>
      </c>
      <c r="E424" s="70" t="s">
        <v>3044</v>
      </c>
      <c r="F424" s="47" t="s">
        <v>6</v>
      </c>
      <c r="G424" s="67" t="s">
        <v>2949</v>
      </c>
      <c r="H424" s="67" t="s">
        <v>2950</v>
      </c>
    </row>
    <row r="425" spans="2:8" x14ac:dyDescent="0.3">
      <c r="B425" s="140">
        <v>46022</v>
      </c>
      <c r="C425" s="103">
        <v>45992</v>
      </c>
      <c r="D425" s="70" t="s">
        <v>2928</v>
      </c>
      <c r="E425" s="70" t="s">
        <v>3044</v>
      </c>
      <c r="F425" s="63" t="s">
        <v>6</v>
      </c>
      <c r="G425" s="69" t="s">
        <v>3051</v>
      </c>
      <c r="H425" s="70" t="s">
        <v>3052</v>
      </c>
    </row>
    <row r="426" spans="2:8" x14ac:dyDescent="0.3">
      <c r="B426" s="140">
        <v>46022</v>
      </c>
      <c r="C426" s="103">
        <v>45992</v>
      </c>
      <c r="D426" s="70" t="s">
        <v>2928</v>
      </c>
      <c r="E426" s="70" t="s">
        <v>3044</v>
      </c>
      <c r="F426" s="63" t="s">
        <v>6</v>
      </c>
      <c r="G426" s="67" t="s">
        <v>3045</v>
      </c>
      <c r="H426" s="68" t="s">
        <v>3046</v>
      </c>
    </row>
    <row r="427" spans="2:8" x14ac:dyDescent="0.3">
      <c r="B427" s="140">
        <v>46022</v>
      </c>
      <c r="C427" s="103">
        <v>45992</v>
      </c>
      <c r="D427" s="70" t="s">
        <v>2928</v>
      </c>
      <c r="E427" s="70" t="s">
        <v>3044</v>
      </c>
      <c r="F427" s="63" t="s">
        <v>6</v>
      </c>
      <c r="G427" s="69" t="s">
        <v>3047</v>
      </c>
      <c r="H427" s="70" t="s">
        <v>3048</v>
      </c>
    </row>
    <row r="428" spans="2:8" x14ac:dyDescent="0.3">
      <c r="B428" s="140">
        <v>46022</v>
      </c>
      <c r="C428" s="103">
        <v>45992</v>
      </c>
      <c r="D428" s="70" t="s">
        <v>2928</v>
      </c>
      <c r="E428" s="70" t="s">
        <v>3044</v>
      </c>
      <c r="F428" s="63" t="s">
        <v>6</v>
      </c>
      <c r="G428" s="69" t="s">
        <v>3049</v>
      </c>
      <c r="H428" s="70" t="s">
        <v>3050</v>
      </c>
    </row>
    <row r="429" spans="2:8" x14ac:dyDescent="0.3">
      <c r="B429" s="140">
        <v>46024</v>
      </c>
      <c r="C429" s="103">
        <v>46023</v>
      </c>
      <c r="D429" s="70" t="s">
        <v>2928</v>
      </c>
      <c r="E429" s="70" t="s">
        <v>3044</v>
      </c>
      <c r="F429" s="47" t="s">
        <v>6</v>
      </c>
      <c r="G429" s="67" t="s">
        <v>2949</v>
      </c>
      <c r="H429" s="67" t="s">
        <v>2950</v>
      </c>
    </row>
    <row r="430" spans="2:8" x14ac:dyDescent="0.3">
      <c r="B430" s="140">
        <v>46024</v>
      </c>
      <c r="C430" s="103">
        <v>46023</v>
      </c>
      <c r="D430" s="70" t="s">
        <v>2928</v>
      </c>
      <c r="E430" s="70" t="s">
        <v>3044</v>
      </c>
      <c r="F430" s="63" t="s">
        <v>6</v>
      </c>
      <c r="G430" s="69" t="s">
        <v>3051</v>
      </c>
      <c r="H430" s="70" t="s">
        <v>3052</v>
      </c>
    </row>
    <row r="431" spans="2:8" x14ac:dyDescent="0.3">
      <c r="B431" s="140">
        <v>46024</v>
      </c>
      <c r="C431" s="103">
        <v>46023</v>
      </c>
      <c r="D431" s="70" t="s">
        <v>2928</v>
      </c>
      <c r="E431" s="70" t="s">
        <v>3044</v>
      </c>
      <c r="F431" s="63" t="s">
        <v>6</v>
      </c>
      <c r="G431" s="67" t="s">
        <v>3045</v>
      </c>
      <c r="H431" s="68" t="s">
        <v>3046</v>
      </c>
    </row>
    <row r="432" spans="2:8" x14ac:dyDescent="0.3">
      <c r="B432" s="140">
        <v>46024</v>
      </c>
      <c r="C432" s="103">
        <v>46023</v>
      </c>
      <c r="D432" s="70" t="s">
        <v>2928</v>
      </c>
      <c r="E432" s="70" t="s">
        <v>3044</v>
      </c>
      <c r="F432" s="63" t="s">
        <v>6</v>
      </c>
      <c r="G432" s="69" t="s">
        <v>3047</v>
      </c>
      <c r="H432" s="70" t="s">
        <v>3048</v>
      </c>
    </row>
    <row r="433" spans="2:8" x14ac:dyDescent="0.3">
      <c r="B433" s="140">
        <v>46024</v>
      </c>
      <c r="C433" s="103">
        <v>46023</v>
      </c>
      <c r="D433" s="70" t="s">
        <v>2928</v>
      </c>
      <c r="E433" s="70" t="s">
        <v>3044</v>
      </c>
      <c r="F433" s="63" t="s">
        <v>6</v>
      </c>
      <c r="G433" s="69" t="s">
        <v>3049</v>
      </c>
      <c r="H433" s="70" t="s">
        <v>3050</v>
      </c>
    </row>
    <row r="434" spans="2:8" x14ac:dyDescent="0.3">
      <c r="B434" s="140">
        <v>46027</v>
      </c>
      <c r="C434" s="103">
        <v>46023</v>
      </c>
      <c r="D434" s="70" t="s">
        <v>2928</v>
      </c>
      <c r="E434" s="70" t="s">
        <v>3044</v>
      </c>
      <c r="F434" s="63" t="s">
        <v>6</v>
      </c>
      <c r="G434" s="69" t="s">
        <v>3051</v>
      </c>
      <c r="H434" s="70" t="s">
        <v>3052</v>
      </c>
    </row>
    <row r="435" spans="2:8" x14ac:dyDescent="0.3">
      <c r="B435" s="140">
        <v>46027</v>
      </c>
      <c r="C435" s="103">
        <v>46023</v>
      </c>
      <c r="D435" s="70" t="s">
        <v>2928</v>
      </c>
      <c r="E435" s="70" t="s">
        <v>3044</v>
      </c>
      <c r="F435" s="63" t="s">
        <v>6</v>
      </c>
      <c r="G435" s="67" t="s">
        <v>3045</v>
      </c>
      <c r="H435" s="68" t="s">
        <v>3046</v>
      </c>
    </row>
    <row r="436" spans="2:8" x14ac:dyDescent="0.3">
      <c r="B436" s="140">
        <v>46027</v>
      </c>
      <c r="C436" s="103">
        <v>46023</v>
      </c>
      <c r="D436" s="70" t="s">
        <v>2928</v>
      </c>
      <c r="E436" s="70" t="s">
        <v>3044</v>
      </c>
      <c r="F436" s="63" t="s">
        <v>6</v>
      </c>
      <c r="G436" s="69" t="s">
        <v>3047</v>
      </c>
      <c r="H436" s="70" t="s">
        <v>3048</v>
      </c>
    </row>
    <row r="437" spans="2:8" x14ac:dyDescent="0.3">
      <c r="B437" s="140">
        <v>46027</v>
      </c>
      <c r="C437" s="103">
        <v>46023</v>
      </c>
      <c r="D437" s="70" t="s">
        <v>2928</v>
      </c>
      <c r="E437" s="70" t="s">
        <v>3044</v>
      </c>
      <c r="F437" s="63" t="s">
        <v>6</v>
      </c>
      <c r="G437" s="69" t="s">
        <v>3049</v>
      </c>
      <c r="H437" s="70" t="s">
        <v>3050</v>
      </c>
    </row>
    <row r="438" spans="2:8" x14ac:dyDescent="0.3">
      <c r="B438" s="140">
        <v>46028</v>
      </c>
      <c r="C438" s="103">
        <v>46023</v>
      </c>
      <c r="D438" s="70" t="s">
        <v>2928</v>
      </c>
      <c r="E438" s="70" t="s">
        <v>3044</v>
      </c>
      <c r="F438" s="63" t="s">
        <v>6</v>
      </c>
      <c r="G438" s="69" t="s">
        <v>3051</v>
      </c>
      <c r="H438" s="70" t="s">
        <v>3052</v>
      </c>
    </row>
    <row r="439" spans="2:8" x14ac:dyDescent="0.3">
      <c r="B439" s="140">
        <v>46028</v>
      </c>
      <c r="C439" s="103">
        <v>46023</v>
      </c>
      <c r="D439" s="70" t="s">
        <v>2928</v>
      </c>
      <c r="E439" s="70" t="s">
        <v>3044</v>
      </c>
      <c r="F439" s="63" t="s">
        <v>6</v>
      </c>
      <c r="G439" s="67" t="s">
        <v>3110</v>
      </c>
      <c r="H439" s="68" t="s">
        <v>3083</v>
      </c>
    </row>
    <row r="440" spans="2:8" x14ac:dyDescent="0.3">
      <c r="B440" s="140">
        <v>46028</v>
      </c>
      <c r="C440" s="103">
        <v>46023</v>
      </c>
      <c r="D440" s="70" t="s">
        <v>2928</v>
      </c>
      <c r="E440" s="70" t="s">
        <v>3044</v>
      </c>
      <c r="F440" s="63" t="s">
        <v>6</v>
      </c>
      <c r="G440" s="67" t="s">
        <v>3045</v>
      </c>
      <c r="H440" s="68" t="s">
        <v>3046</v>
      </c>
    </row>
    <row r="441" spans="2:8" x14ac:dyDescent="0.3">
      <c r="B441" s="140">
        <v>46028</v>
      </c>
      <c r="C441" s="103">
        <v>46023</v>
      </c>
      <c r="D441" s="70" t="s">
        <v>2928</v>
      </c>
      <c r="E441" s="70" t="s">
        <v>3044</v>
      </c>
      <c r="F441" s="63" t="s">
        <v>6</v>
      </c>
      <c r="G441" s="69" t="s">
        <v>3047</v>
      </c>
      <c r="H441" s="70" t="s">
        <v>3048</v>
      </c>
    </row>
    <row r="442" spans="2:8" x14ac:dyDescent="0.3">
      <c r="B442" s="140">
        <v>46028</v>
      </c>
      <c r="C442" s="103">
        <v>46023</v>
      </c>
      <c r="D442" s="70" t="s">
        <v>2928</v>
      </c>
      <c r="E442" s="70" t="s">
        <v>3044</v>
      </c>
      <c r="F442" s="63" t="s">
        <v>6</v>
      </c>
      <c r="G442" s="69" t="s">
        <v>3049</v>
      </c>
      <c r="H442" s="70" t="s">
        <v>3050</v>
      </c>
    </row>
    <row r="443" spans="2:8" x14ac:dyDescent="0.3">
      <c r="B443" s="140">
        <v>46029</v>
      </c>
      <c r="C443" s="103">
        <v>46023</v>
      </c>
      <c r="D443" s="70" t="s">
        <v>2928</v>
      </c>
      <c r="E443" s="70" t="s">
        <v>3044</v>
      </c>
      <c r="F443" s="63" t="s">
        <v>6</v>
      </c>
      <c r="G443" s="69" t="s">
        <v>3051</v>
      </c>
      <c r="H443" s="70" t="s">
        <v>3052</v>
      </c>
    </row>
    <row r="444" spans="2:8" x14ac:dyDescent="0.3">
      <c r="B444" s="140">
        <v>46029</v>
      </c>
      <c r="C444" s="103">
        <v>46023</v>
      </c>
      <c r="D444" s="70" t="s">
        <v>2928</v>
      </c>
      <c r="E444" s="70" t="s">
        <v>3044</v>
      </c>
      <c r="F444" s="63" t="s">
        <v>6</v>
      </c>
      <c r="G444" s="67" t="s">
        <v>3132</v>
      </c>
      <c r="H444" s="67" t="s">
        <v>3133</v>
      </c>
    </row>
    <row r="445" spans="2:8" x14ac:dyDescent="0.3">
      <c r="B445" s="140">
        <v>46029</v>
      </c>
      <c r="C445" s="103">
        <v>46023</v>
      </c>
      <c r="D445" s="70" t="s">
        <v>2928</v>
      </c>
      <c r="E445" s="70" t="s">
        <v>3044</v>
      </c>
      <c r="F445" s="63" t="s">
        <v>6</v>
      </c>
      <c r="G445" s="67" t="s">
        <v>3045</v>
      </c>
      <c r="H445" s="68" t="s">
        <v>3046</v>
      </c>
    </row>
    <row r="446" spans="2:8" x14ac:dyDescent="0.3">
      <c r="B446" s="140">
        <v>46029</v>
      </c>
      <c r="C446" s="103">
        <v>46023</v>
      </c>
      <c r="D446" s="70" t="s">
        <v>2928</v>
      </c>
      <c r="E446" s="70" t="s">
        <v>3044</v>
      </c>
      <c r="F446" s="63" t="s">
        <v>6</v>
      </c>
      <c r="G446" s="69" t="s">
        <v>3047</v>
      </c>
      <c r="H446" s="70" t="s">
        <v>3048</v>
      </c>
    </row>
    <row r="447" spans="2:8" x14ac:dyDescent="0.3">
      <c r="B447" s="140">
        <v>46029</v>
      </c>
      <c r="C447" s="103">
        <v>46023</v>
      </c>
      <c r="D447" s="70" t="s">
        <v>2928</v>
      </c>
      <c r="E447" s="70" t="s">
        <v>3044</v>
      </c>
      <c r="F447" s="63" t="s">
        <v>6</v>
      </c>
      <c r="G447" s="69" t="s">
        <v>3049</v>
      </c>
      <c r="H447" s="70" t="s">
        <v>3050</v>
      </c>
    </row>
    <row r="448" spans="2:8" x14ac:dyDescent="0.3">
      <c r="B448" s="140">
        <v>46030</v>
      </c>
      <c r="C448" s="103">
        <v>46023</v>
      </c>
      <c r="D448" s="70" t="s">
        <v>2928</v>
      </c>
      <c r="E448" s="70" t="s">
        <v>3044</v>
      </c>
      <c r="F448" s="63" t="s">
        <v>6</v>
      </c>
      <c r="G448" s="69" t="s">
        <v>3051</v>
      </c>
      <c r="H448" s="70" t="s">
        <v>3052</v>
      </c>
    </row>
    <row r="449" spans="2:8" x14ac:dyDescent="0.3">
      <c r="B449" s="140">
        <v>46030</v>
      </c>
      <c r="C449" s="103">
        <v>46023</v>
      </c>
      <c r="D449" s="70" t="s">
        <v>2928</v>
      </c>
      <c r="E449" s="70" t="s">
        <v>3044</v>
      </c>
      <c r="F449" s="63" t="s">
        <v>6</v>
      </c>
      <c r="G449" s="67" t="s">
        <v>3045</v>
      </c>
      <c r="H449" s="68" t="s">
        <v>3046</v>
      </c>
    </row>
    <row r="450" spans="2:8" x14ac:dyDescent="0.3">
      <c r="B450" s="140">
        <v>46030</v>
      </c>
      <c r="C450" s="103">
        <v>46023</v>
      </c>
      <c r="D450" s="70" t="s">
        <v>2928</v>
      </c>
      <c r="E450" s="70" t="s">
        <v>3044</v>
      </c>
      <c r="F450" s="63" t="s">
        <v>6</v>
      </c>
      <c r="G450" s="69" t="s">
        <v>3047</v>
      </c>
      <c r="H450" s="70" t="s">
        <v>3048</v>
      </c>
    </row>
    <row r="451" spans="2:8" x14ac:dyDescent="0.3">
      <c r="B451" s="140">
        <v>46030</v>
      </c>
      <c r="C451" s="103">
        <v>46023</v>
      </c>
      <c r="D451" s="70" t="s">
        <v>2928</v>
      </c>
      <c r="E451" s="70" t="s">
        <v>3044</v>
      </c>
      <c r="F451" s="63" t="s">
        <v>6</v>
      </c>
      <c r="G451" s="69" t="s">
        <v>3049</v>
      </c>
      <c r="H451" s="70" t="s">
        <v>3050</v>
      </c>
    </row>
    <row r="452" spans="2:8" x14ac:dyDescent="0.3">
      <c r="B452" s="140">
        <v>46031</v>
      </c>
      <c r="C452" s="103">
        <v>46023</v>
      </c>
      <c r="D452" s="70" t="s">
        <v>2928</v>
      </c>
      <c r="E452" s="70" t="s">
        <v>3044</v>
      </c>
      <c r="F452" s="63" t="s">
        <v>6</v>
      </c>
      <c r="G452" s="69" t="s">
        <v>3051</v>
      </c>
      <c r="H452" s="70" t="s">
        <v>3052</v>
      </c>
    </row>
    <row r="453" spans="2:8" x14ac:dyDescent="0.3">
      <c r="B453" s="140">
        <v>46031</v>
      </c>
      <c r="C453" s="103">
        <v>46023</v>
      </c>
      <c r="D453" s="70" t="s">
        <v>2928</v>
      </c>
      <c r="E453" s="70" t="s">
        <v>3044</v>
      </c>
      <c r="F453" s="63" t="s">
        <v>6</v>
      </c>
      <c r="G453" s="67" t="s">
        <v>3045</v>
      </c>
      <c r="H453" s="68" t="s">
        <v>3046</v>
      </c>
    </row>
    <row r="454" spans="2:8" x14ac:dyDescent="0.3">
      <c r="B454" s="140">
        <v>46031</v>
      </c>
      <c r="C454" s="103">
        <v>46023</v>
      </c>
      <c r="D454" s="70" t="s">
        <v>2928</v>
      </c>
      <c r="E454" s="70" t="s">
        <v>3044</v>
      </c>
      <c r="F454" s="63" t="s">
        <v>6</v>
      </c>
      <c r="G454" s="69" t="s">
        <v>3047</v>
      </c>
      <c r="H454" s="70" t="s">
        <v>3048</v>
      </c>
    </row>
    <row r="455" spans="2:8" x14ac:dyDescent="0.3">
      <c r="B455" s="140">
        <v>46031</v>
      </c>
      <c r="C455" s="103">
        <v>46023</v>
      </c>
      <c r="D455" s="70" t="s">
        <v>2928</v>
      </c>
      <c r="E455" s="70" t="s">
        <v>3044</v>
      </c>
      <c r="F455" s="63" t="s">
        <v>6</v>
      </c>
      <c r="G455" s="69" t="s">
        <v>3049</v>
      </c>
      <c r="H455" s="70" t="s">
        <v>3050</v>
      </c>
    </row>
    <row r="456" spans="2:8" x14ac:dyDescent="0.3">
      <c r="B456" s="140">
        <v>46034</v>
      </c>
      <c r="C456" s="103">
        <v>46023</v>
      </c>
      <c r="D456" s="70" t="s">
        <v>2928</v>
      </c>
      <c r="E456" s="70" t="s">
        <v>3044</v>
      </c>
      <c r="F456" s="63" t="s">
        <v>6</v>
      </c>
      <c r="G456" s="69" t="s">
        <v>3051</v>
      </c>
      <c r="H456" s="70" t="s">
        <v>3052</v>
      </c>
    </row>
    <row r="457" spans="2:8" x14ac:dyDescent="0.3">
      <c r="B457" s="140">
        <v>46034</v>
      </c>
      <c r="C457" s="103">
        <v>46023</v>
      </c>
      <c r="D457" s="70" t="s">
        <v>2928</v>
      </c>
      <c r="E457" s="70" t="s">
        <v>3044</v>
      </c>
      <c r="F457" s="63" t="s">
        <v>6</v>
      </c>
      <c r="G457" s="69" t="s">
        <v>3134</v>
      </c>
      <c r="H457" s="70" t="s">
        <v>3135</v>
      </c>
    </row>
    <row r="458" spans="2:8" x14ac:dyDescent="0.3">
      <c r="B458" s="140">
        <v>46034</v>
      </c>
      <c r="C458" s="103">
        <v>46023</v>
      </c>
      <c r="D458" s="70" t="s">
        <v>2928</v>
      </c>
      <c r="E458" s="70" t="s">
        <v>3044</v>
      </c>
      <c r="F458" s="63" t="s">
        <v>6</v>
      </c>
      <c r="G458" s="67" t="s">
        <v>3045</v>
      </c>
      <c r="H458" s="68" t="s">
        <v>3046</v>
      </c>
    </row>
    <row r="459" spans="2:8" x14ac:dyDescent="0.3">
      <c r="B459" s="140">
        <v>46034</v>
      </c>
      <c r="C459" s="103">
        <v>46023</v>
      </c>
      <c r="D459" s="70" t="s">
        <v>2928</v>
      </c>
      <c r="E459" s="70" t="s">
        <v>3044</v>
      </c>
      <c r="F459" s="63" t="s">
        <v>6</v>
      </c>
      <c r="G459" s="69" t="s">
        <v>3047</v>
      </c>
      <c r="H459" s="70" t="s">
        <v>3048</v>
      </c>
    </row>
    <row r="460" spans="2:8" x14ac:dyDescent="0.3">
      <c r="B460" s="140">
        <v>46034</v>
      </c>
      <c r="C460" s="103">
        <v>46023</v>
      </c>
      <c r="D460" s="70" t="s">
        <v>2928</v>
      </c>
      <c r="E460" s="70" t="s">
        <v>3044</v>
      </c>
      <c r="F460" s="63" t="s">
        <v>6</v>
      </c>
      <c r="G460" s="69" t="s">
        <v>3049</v>
      </c>
      <c r="H460" s="70" t="s">
        <v>3050</v>
      </c>
    </row>
    <row r="461" spans="2:8" x14ac:dyDescent="0.3">
      <c r="B461" s="140">
        <v>46035</v>
      </c>
      <c r="C461" s="103">
        <v>46023</v>
      </c>
      <c r="D461" s="70" t="s">
        <v>2928</v>
      </c>
      <c r="E461" s="70" t="s">
        <v>3044</v>
      </c>
      <c r="F461" s="63" t="s">
        <v>6</v>
      </c>
      <c r="G461" s="69" t="s">
        <v>3051</v>
      </c>
      <c r="H461" s="70" t="s">
        <v>3052</v>
      </c>
    </row>
    <row r="462" spans="2:8" x14ac:dyDescent="0.3">
      <c r="B462" s="140">
        <v>46035</v>
      </c>
      <c r="C462" s="103">
        <v>46023</v>
      </c>
      <c r="D462" s="70" t="s">
        <v>2928</v>
      </c>
      <c r="E462" s="70" t="s">
        <v>3044</v>
      </c>
      <c r="F462" s="63" t="s">
        <v>6</v>
      </c>
      <c r="G462" s="67" t="s">
        <v>3045</v>
      </c>
      <c r="H462" s="68" t="s">
        <v>3046</v>
      </c>
    </row>
    <row r="463" spans="2:8" x14ac:dyDescent="0.3">
      <c r="B463" s="140">
        <v>46035</v>
      </c>
      <c r="C463" s="103">
        <v>46023</v>
      </c>
      <c r="D463" s="70" t="s">
        <v>2928</v>
      </c>
      <c r="E463" s="70" t="s">
        <v>3044</v>
      </c>
      <c r="F463" s="63" t="s">
        <v>6</v>
      </c>
      <c r="G463" s="69" t="s">
        <v>3047</v>
      </c>
      <c r="H463" s="70" t="s">
        <v>3048</v>
      </c>
    </row>
    <row r="464" spans="2:8" x14ac:dyDescent="0.3">
      <c r="B464" s="140">
        <v>46035</v>
      </c>
      <c r="C464" s="103">
        <v>46023</v>
      </c>
      <c r="D464" s="70" t="s">
        <v>2928</v>
      </c>
      <c r="E464" s="70" t="s">
        <v>3044</v>
      </c>
      <c r="F464" s="63" t="s">
        <v>6</v>
      </c>
      <c r="G464" s="69" t="s">
        <v>3049</v>
      </c>
      <c r="H464" s="70" t="s">
        <v>3050</v>
      </c>
    </row>
    <row r="465" spans="2:8" x14ac:dyDescent="0.3">
      <c r="B465" s="140">
        <v>46036</v>
      </c>
      <c r="C465" s="103">
        <v>46023</v>
      </c>
      <c r="D465" s="70" t="s">
        <v>2928</v>
      </c>
      <c r="E465" s="70" t="s">
        <v>3044</v>
      </c>
      <c r="F465" s="63" t="s">
        <v>6</v>
      </c>
      <c r="G465" s="69" t="s">
        <v>3051</v>
      </c>
      <c r="H465" s="70" t="s">
        <v>3052</v>
      </c>
    </row>
    <row r="466" spans="2:8" x14ac:dyDescent="0.3">
      <c r="B466" s="140">
        <v>46036</v>
      </c>
      <c r="C466" s="103">
        <v>46023</v>
      </c>
      <c r="D466" s="70" t="s">
        <v>2928</v>
      </c>
      <c r="E466" s="70" t="s">
        <v>3044</v>
      </c>
      <c r="F466" s="63" t="s">
        <v>6</v>
      </c>
      <c r="G466" s="67" t="s">
        <v>3045</v>
      </c>
      <c r="H466" s="68" t="s">
        <v>3046</v>
      </c>
    </row>
    <row r="467" spans="2:8" x14ac:dyDescent="0.3">
      <c r="B467" s="140">
        <v>46036</v>
      </c>
      <c r="C467" s="103">
        <v>46023</v>
      </c>
      <c r="D467" s="70" t="s">
        <v>2928</v>
      </c>
      <c r="E467" s="70" t="s">
        <v>3044</v>
      </c>
      <c r="F467" s="63" t="s">
        <v>6</v>
      </c>
      <c r="G467" s="69" t="s">
        <v>3047</v>
      </c>
      <c r="H467" s="70" t="s">
        <v>3048</v>
      </c>
    </row>
    <row r="468" spans="2:8" x14ac:dyDescent="0.3">
      <c r="B468" s="140">
        <v>46036</v>
      </c>
      <c r="C468" s="103">
        <v>46023</v>
      </c>
      <c r="D468" s="70" t="s">
        <v>2928</v>
      </c>
      <c r="E468" s="70" t="s">
        <v>3044</v>
      </c>
      <c r="F468" s="63" t="s">
        <v>6</v>
      </c>
      <c r="G468" s="69" t="s">
        <v>3049</v>
      </c>
      <c r="H468" s="70" t="s">
        <v>3050</v>
      </c>
    </row>
    <row r="469" spans="2:8" x14ac:dyDescent="0.3">
      <c r="B469" s="140">
        <v>46037</v>
      </c>
      <c r="C469" s="103">
        <v>46023</v>
      </c>
      <c r="D469" s="70" t="s">
        <v>2928</v>
      </c>
      <c r="E469" s="70" t="s">
        <v>3044</v>
      </c>
      <c r="F469" s="63" t="s">
        <v>6</v>
      </c>
      <c r="G469" s="69" t="s">
        <v>3051</v>
      </c>
      <c r="H469" s="70" t="s">
        <v>3052</v>
      </c>
    </row>
    <row r="470" spans="2:8" x14ac:dyDescent="0.3">
      <c r="B470" s="140">
        <v>46037</v>
      </c>
      <c r="C470" s="103">
        <v>46023</v>
      </c>
      <c r="D470" s="70" t="s">
        <v>2928</v>
      </c>
      <c r="E470" s="70" t="s">
        <v>3044</v>
      </c>
      <c r="F470" s="63" t="s">
        <v>6</v>
      </c>
      <c r="G470" s="67" t="s">
        <v>3045</v>
      </c>
      <c r="H470" s="68" t="s">
        <v>3046</v>
      </c>
    </row>
    <row r="471" spans="2:8" x14ac:dyDescent="0.3">
      <c r="B471" s="140">
        <v>46037</v>
      </c>
      <c r="C471" s="103">
        <v>46023</v>
      </c>
      <c r="D471" s="70" t="s">
        <v>2928</v>
      </c>
      <c r="E471" s="70" t="s">
        <v>3044</v>
      </c>
      <c r="F471" s="63" t="s">
        <v>6</v>
      </c>
      <c r="G471" s="69" t="s">
        <v>3047</v>
      </c>
      <c r="H471" s="70" t="s">
        <v>3048</v>
      </c>
    </row>
    <row r="472" spans="2:8" x14ac:dyDescent="0.3">
      <c r="B472" s="140">
        <v>46037</v>
      </c>
      <c r="C472" s="103">
        <v>46023</v>
      </c>
      <c r="D472" s="70" t="s">
        <v>2928</v>
      </c>
      <c r="E472" s="70" t="s">
        <v>3044</v>
      </c>
      <c r="F472" s="63" t="s">
        <v>6</v>
      </c>
      <c r="G472" s="69" t="s">
        <v>3049</v>
      </c>
      <c r="H472" s="70" t="s">
        <v>3050</v>
      </c>
    </row>
    <row r="473" spans="2:8" x14ac:dyDescent="0.3">
      <c r="B473" s="140">
        <v>46038</v>
      </c>
      <c r="C473" s="103">
        <v>46023</v>
      </c>
      <c r="D473" s="70" t="s">
        <v>2928</v>
      </c>
      <c r="E473" s="70" t="s">
        <v>3044</v>
      </c>
      <c r="F473" s="63" t="s">
        <v>6</v>
      </c>
      <c r="G473" s="69" t="s">
        <v>3051</v>
      </c>
      <c r="H473" s="70" t="s">
        <v>3052</v>
      </c>
    </row>
    <row r="474" spans="2:8" x14ac:dyDescent="0.3">
      <c r="B474" s="140">
        <v>46038</v>
      </c>
      <c r="C474" s="103">
        <v>46023</v>
      </c>
      <c r="D474" s="70" t="s">
        <v>2928</v>
      </c>
      <c r="E474" s="70" t="s">
        <v>3044</v>
      </c>
      <c r="F474" s="63" t="s">
        <v>6</v>
      </c>
      <c r="G474" s="67" t="s">
        <v>3045</v>
      </c>
      <c r="H474" s="68" t="s">
        <v>3046</v>
      </c>
    </row>
    <row r="475" spans="2:8" x14ac:dyDescent="0.3">
      <c r="B475" s="140">
        <v>46038</v>
      </c>
      <c r="C475" s="103">
        <v>46023</v>
      </c>
      <c r="D475" s="70" t="s">
        <v>2928</v>
      </c>
      <c r="E475" s="70" t="s">
        <v>3044</v>
      </c>
      <c r="F475" s="63" t="s">
        <v>6</v>
      </c>
      <c r="G475" s="69" t="s">
        <v>3047</v>
      </c>
      <c r="H475" s="70" t="s">
        <v>3048</v>
      </c>
    </row>
    <row r="476" spans="2:8" x14ac:dyDescent="0.3">
      <c r="B476" s="140">
        <v>46038</v>
      </c>
      <c r="C476" s="103">
        <v>46023</v>
      </c>
      <c r="D476" s="70" t="s">
        <v>2928</v>
      </c>
      <c r="E476" s="70" t="s">
        <v>3044</v>
      </c>
      <c r="F476" s="63" t="s">
        <v>6</v>
      </c>
      <c r="G476" s="69" t="s">
        <v>3049</v>
      </c>
      <c r="H476" s="70" t="s">
        <v>3050</v>
      </c>
    </row>
    <row r="477" spans="2:8" x14ac:dyDescent="0.3">
      <c r="B477" s="140">
        <v>46038</v>
      </c>
      <c r="C477" s="103">
        <v>46023</v>
      </c>
      <c r="D477" s="70" t="s">
        <v>2928</v>
      </c>
      <c r="E477" s="70" t="s">
        <v>3044</v>
      </c>
      <c r="F477" s="107" t="s">
        <v>325</v>
      </c>
      <c r="G477" s="170" t="s">
        <v>3136</v>
      </c>
      <c r="H477" s="116" t="s">
        <v>3137</v>
      </c>
    </row>
    <row r="478" spans="2:8" x14ac:dyDescent="0.3">
      <c r="B478" s="140">
        <v>46041</v>
      </c>
      <c r="C478" s="103">
        <v>46023</v>
      </c>
      <c r="D478" s="70" t="s">
        <v>2928</v>
      </c>
      <c r="E478" s="70" t="s">
        <v>3044</v>
      </c>
      <c r="F478" s="47" t="s">
        <v>6</v>
      </c>
      <c r="G478" s="67" t="s">
        <v>2949</v>
      </c>
      <c r="H478" s="67" t="s">
        <v>2950</v>
      </c>
    </row>
    <row r="479" spans="2:8" x14ac:dyDescent="0.3">
      <c r="B479" s="140">
        <v>46041</v>
      </c>
      <c r="C479" s="103">
        <v>46023</v>
      </c>
      <c r="D479" s="70" t="s">
        <v>2928</v>
      </c>
      <c r="E479" s="70" t="s">
        <v>3044</v>
      </c>
      <c r="F479" s="63" t="s">
        <v>6</v>
      </c>
      <c r="G479" s="69" t="s">
        <v>3051</v>
      </c>
      <c r="H479" s="70" t="s">
        <v>3052</v>
      </c>
    </row>
    <row r="480" spans="2:8" x14ac:dyDescent="0.3">
      <c r="B480" s="140">
        <v>46041</v>
      </c>
      <c r="C480" s="103">
        <v>46023</v>
      </c>
      <c r="D480" s="70" t="s">
        <v>2928</v>
      </c>
      <c r="E480" s="70" t="s">
        <v>3044</v>
      </c>
      <c r="F480" s="63" t="s">
        <v>6</v>
      </c>
      <c r="G480" s="67" t="s">
        <v>3045</v>
      </c>
      <c r="H480" s="68" t="s">
        <v>3046</v>
      </c>
    </row>
    <row r="481" spans="2:8" x14ac:dyDescent="0.3">
      <c r="B481" s="140">
        <v>46041</v>
      </c>
      <c r="C481" s="103">
        <v>46023</v>
      </c>
      <c r="D481" s="70" t="s">
        <v>2928</v>
      </c>
      <c r="E481" s="70" t="s">
        <v>3044</v>
      </c>
      <c r="F481" s="63" t="s">
        <v>6</v>
      </c>
      <c r="G481" s="69" t="s">
        <v>3047</v>
      </c>
      <c r="H481" s="70" t="s">
        <v>3048</v>
      </c>
    </row>
    <row r="482" spans="2:8" x14ac:dyDescent="0.3">
      <c r="B482" s="140">
        <v>46041</v>
      </c>
      <c r="C482" s="103">
        <v>46023</v>
      </c>
      <c r="D482" s="70" t="s">
        <v>2928</v>
      </c>
      <c r="E482" s="70" t="s">
        <v>3044</v>
      </c>
      <c r="F482" s="63" t="s">
        <v>6</v>
      </c>
      <c r="G482" s="69" t="s">
        <v>3049</v>
      </c>
      <c r="H482" s="70" t="s">
        <v>3050</v>
      </c>
    </row>
    <row r="483" spans="2:8" x14ac:dyDescent="0.3">
      <c r="B483" s="140">
        <v>46042</v>
      </c>
      <c r="C483" s="103">
        <v>46023</v>
      </c>
      <c r="D483" s="70" t="s">
        <v>2928</v>
      </c>
      <c r="E483" s="70" t="s">
        <v>3044</v>
      </c>
      <c r="F483" s="47" t="s">
        <v>6</v>
      </c>
      <c r="G483" s="67" t="s">
        <v>2949</v>
      </c>
      <c r="H483" s="67" t="s">
        <v>2950</v>
      </c>
    </row>
    <row r="484" spans="2:8" x14ac:dyDescent="0.3">
      <c r="B484" s="140">
        <v>46042</v>
      </c>
      <c r="C484" s="103">
        <v>46023</v>
      </c>
      <c r="D484" s="70" t="s">
        <v>2928</v>
      </c>
      <c r="E484" s="70" t="s">
        <v>3044</v>
      </c>
      <c r="F484" s="63" t="s">
        <v>6</v>
      </c>
      <c r="G484" s="69" t="s">
        <v>3051</v>
      </c>
      <c r="H484" s="70" t="s">
        <v>3052</v>
      </c>
    </row>
    <row r="485" spans="2:8" x14ac:dyDescent="0.3">
      <c r="B485" s="140">
        <v>46042</v>
      </c>
      <c r="C485" s="103">
        <v>46023</v>
      </c>
      <c r="D485" s="70" t="s">
        <v>2928</v>
      </c>
      <c r="E485" s="70" t="s">
        <v>3044</v>
      </c>
      <c r="F485" s="63" t="s">
        <v>6</v>
      </c>
      <c r="G485" s="67" t="s">
        <v>3138</v>
      </c>
      <c r="H485" s="68" t="s">
        <v>3139</v>
      </c>
    </row>
    <row r="486" spans="2:8" x14ac:dyDescent="0.3">
      <c r="B486" s="140">
        <v>46042</v>
      </c>
      <c r="C486" s="103">
        <v>46023</v>
      </c>
      <c r="D486" s="70" t="s">
        <v>2928</v>
      </c>
      <c r="E486" s="70" t="s">
        <v>3044</v>
      </c>
      <c r="F486" s="63" t="s">
        <v>6</v>
      </c>
      <c r="G486" s="67" t="s">
        <v>3045</v>
      </c>
      <c r="H486" s="68" t="s">
        <v>3046</v>
      </c>
    </row>
    <row r="487" spans="2:8" x14ac:dyDescent="0.3">
      <c r="B487" s="140">
        <v>46042</v>
      </c>
      <c r="C487" s="103">
        <v>46023</v>
      </c>
      <c r="D487" s="70" t="s">
        <v>2928</v>
      </c>
      <c r="E487" s="70" t="s">
        <v>3044</v>
      </c>
      <c r="F487" s="63" t="s">
        <v>6</v>
      </c>
      <c r="G487" s="69" t="s">
        <v>3047</v>
      </c>
      <c r="H487" s="70" t="s">
        <v>3048</v>
      </c>
    </row>
    <row r="488" spans="2:8" x14ac:dyDescent="0.3">
      <c r="B488" s="140">
        <v>46042</v>
      </c>
      <c r="C488" s="103">
        <v>46023</v>
      </c>
      <c r="D488" s="70" t="s">
        <v>2928</v>
      </c>
      <c r="E488" s="70" t="s">
        <v>3044</v>
      </c>
      <c r="F488" s="63" t="s">
        <v>6</v>
      </c>
      <c r="G488" s="69" t="s">
        <v>3049</v>
      </c>
      <c r="H488" s="70" t="s">
        <v>3050</v>
      </c>
    </row>
    <row r="489" spans="2:8" x14ac:dyDescent="0.3">
      <c r="B489" s="140">
        <v>46043</v>
      </c>
      <c r="C489" s="103">
        <v>46023</v>
      </c>
      <c r="D489" s="70" t="s">
        <v>2928</v>
      </c>
      <c r="E489" s="70" t="s">
        <v>3044</v>
      </c>
      <c r="F489" s="47" t="s">
        <v>6</v>
      </c>
      <c r="G489" s="67" t="s">
        <v>2949</v>
      </c>
      <c r="H489" s="67" t="s">
        <v>2950</v>
      </c>
    </row>
    <row r="490" spans="2:8" x14ac:dyDescent="0.3">
      <c r="B490" s="140">
        <v>46043</v>
      </c>
      <c r="C490" s="103">
        <v>46023</v>
      </c>
      <c r="D490" s="70" t="s">
        <v>2928</v>
      </c>
      <c r="E490" s="70" t="s">
        <v>3044</v>
      </c>
      <c r="F490" s="63" t="s">
        <v>6</v>
      </c>
      <c r="G490" s="69" t="s">
        <v>3051</v>
      </c>
      <c r="H490" s="70" t="s">
        <v>3052</v>
      </c>
    </row>
    <row r="491" spans="2:8" x14ac:dyDescent="0.3">
      <c r="B491" s="140">
        <v>46043</v>
      </c>
      <c r="C491" s="103">
        <v>46023</v>
      </c>
      <c r="D491" s="70" t="s">
        <v>2928</v>
      </c>
      <c r="E491" s="70" t="s">
        <v>3044</v>
      </c>
      <c r="F491" s="63" t="s">
        <v>6</v>
      </c>
      <c r="G491" s="67" t="s">
        <v>3045</v>
      </c>
      <c r="H491" s="68" t="s">
        <v>3046</v>
      </c>
    </row>
    <row r="492" spans="2:8" x14ac:dyDescent="0.3">
      <c r="B492" s="140">
        <v>46043</v>
      </c>
      <c r="C492" s="103">
        <v>46023</v>
      </c>
      <c r="D492" s="70" t="s">
        <v>2928</v>
      </c>
      <c r="E492" s="70" t="s">
        <v>3044</v>
      </c>
      <c r="F492" s="63" t="s">
        <v>6</v>
      </c>
      <c r="G492" s="69" t="s">
        <v>3047</v>
      </c>
      <c r="H492" s="70" t="s">
        <v>3048</v>
      </c>
    </row>
    <row r="493" spans="2:8" x14ac:dyDescent="0.3">
      <c r="B493" s="140">
        <v>46043</v>
      </c>
      <c r="C493" s="103">
        <v>46023</v>
      </c>
      <c r="D493" s="70" t="s">
        <v>2928</v>
      </c>
      <c r="E493" s="70" t="s">
        <v>3044</v>
      </c>
      <c r="F493" s="63" t="s">
        <v>6</v>
      </c>
      <c r="G493" s="69" t="s">
        <v>3049</v>
      </c>
      <c r="H493" s="70" t="s">
        <v>3050</v>
      </c>
    </row>
    <row r="494" spans="2:8" x14ac:dyDescent="0.3">
      <c r="B494" s="140">
        <v>46044</v>
      </c>
      <c r="C494" s="103">
        <v>46023</v>
      </c>
      <c r="D494" s="70" t="s">
        <v>2928</v>
      </c>
      <c r="E494" s="70" t="s">
        <v>3044</v>
      </c>
      <c r="F494" s="47" t="s">
        <v>6</v>
      </c>
      <c r="G494" s="67" t="s">
        <v>2949</v>
      </c>
      <c r="H494" s="67" t="s">
        <v>2950</v>
      </c>
    </row>
    <row r="495" spans="2:8" x14ac:dyDescent="0.3">
      <c r="B495" s="140">
        <v>46044</v>
      </c>
      <c r="C495" s="103">
        <v>46023</v>
      </c>
      <c r="D495" s="70" t="s">
        <v>2928</v>
      </c>
      <c r="E495" s="70" t="s">
        <v>3044</v>
      </c>
      <c r="F495" s="63" t="s">
        <v>6</v>
      </c>
      <c r="G495" s="69" t="s">
        <v>3051</v>
      </c>
      <c r="H495" s="70" t="s">
        <v>3052</v>
      </c>
    </row>
    <row r="496" spans="2:8" x14ac:dyDescent="0.3">
      <c r="B496" s="140">
        <v>46044</v>
      </c>
      <c r="C496" s="103">
        <v>46023</v>
      </c>
      <c r="D496" s="70" t="s">
        <v>2928</v>
      </c>
      <c r="E496" s="70" t="s">
        <v>3044</v>
      </c>
      <c r="F496" s="63" t="s">
        <v>6</v>
      </c>
      <c r="G496" s="67" t="s">
        <v>3045</v>
      </c>
      <c r="H496" s="68" t="s">
        <v>3046</v>
      </c>
    </row>
    <row r="497" spans="2:8" x14ac:dyDescent="0.3">
      <c r="B497" s="140">
        <v>46044</v>
      </c>
      <c r="C497" s="103">
        <v>46023</v>
      </c>
      <c r="D497" s="70" t="s">
        <v>2928</v>
      </c>
      <c r="E497" s="70" t="s">
        <v>3044</v>
      </c>
      <c r="F497" s="63" t="s">
        <v>6</v>
      </c>
      <c r="G497" s="69" t="s">
        <v>3047</v>
      </c>
      <c r="H497" s="70" t="s">
        <v>3048</v>
      </c>
    </row>
    <row r="498" spans="2:8" x14ac:dyDescent="0.3">
      <c r="B498" s="140">
        <v>46044</v>
      </c>
      <c r="C498" s="103">
        <v>46023</v>
      </c>
      <c r="D498" s="70" t="s">
        <v>2928</v>
      </c>
      <c r="E498" s="70" t="s">
        <v>3044</v>
      </c>
      <c r="F498" s="107" t="s">
        <v>325</v>
      </c>
      <c r="G498" s="170" t="s">
        <v>3140</v>
      </c>
      <c r="H498" s="116" t="s">
        <v>3141</v>
      </c>
    </row>
    <row r="499" spans="2:8" x14ac:dyDescent="0.3">
      <c r="B499" s="140">
        <v>46044</v>
      </c>
      <c r="C499" s="103">
        <v>46023</v>
      </c>
      <c r="D499" s="70" t="s">
        <v>2928</v>
      </c>
      <c r="E499" s="70" t="s">
        <v>3044</v>
      </c>
      <c r="F499" s="63" t="s">
        <v>6</v>
      </c>
      <c r="G499" s="69" t="s">
        <v>3049</v>
      </c>
      <c r="H499" s="70" t="s">
        <v>3050</v>
      </c>
    </row>
    <row r="500" spans="2:8" x14ac:dyDescent="0.3">
      <c r="B500" s="140">
        <v>46045</v>
      </c>
      <c r="C500" s="103">
        <v>46023</v>
      </c>
      <c r="D500" s="70" t="s">
        <v>2928</v>
      </c>
      <c r="E500" s="70" t="s">
        <v>3044</v>
      </c>
      <c r="F500" s="47" t="s">
        <v>6</v>
      </c>
      <c r="G500" s="67" t="s">
        <v>2949</v>
      </c>
      <c r="H500" s="67" t="s">
        <v>2950</v>
      </c>
    </row>
    <row r="501" spans="2:8" x14ac:dyDescent="0.3">
      <c r="B501" s="140">
        <v>46045</v>
      </c>
      <c r="C501" s="103">
        <v>46023</v>
      </c>
      <c r="D501" s="70" t="s">
        <v>2928</v>
      </c>
      <c r="E501" s="70" t="s">
        <v>3044</v>
      </c>
      <c r="F501" s="63" t="s">
        <v>6</v>
      </c>
      <c r="G501" s="69" t="s">
        <v>3051</v>
      </c>
      <c r="H501" s="70" t="s">
        <v>3052</v>
      </c>
    </row>
    <row r="502" spans="2:8" x14ac:dyDescent="0.3">
      <c r="B502" s="140">
        <v>46045</v>
      </c>
      <c r="C502" s="103">
        <v>46023</v>
      </c>
      <c r="D502" s="70" t="s">
        <v>2928</v>
      </c>
      <c r="E502" s="70" t="s">
        <v>3044</v>
      </c>
      <c r="F502" s="63" t="s">
        <v>6</v>
      </c>
      <c r="G502" s="67" t="s">
        <v>3045</v>
      </c>
      <c r="H502" s="68" t="s">
        <v>3046</v>
      </c>
    </row>
    <row r="503" spans="2:8" x14ac:dyDescent="0.3">
      <c r="B503" s="140">
        <v>46045</v>
      </c>
      <c r="C503" s="103">
        <v>46023</v>
      </c>
      <c r="D503" s="70" t="s">
        <v>2928</v>
      </c>
      <c r="E503" s="70" t="s">
        <v>3044</v>
      </c>
      <c r="F503" s="63" t="s">
        <v>6</v>
      </c>
      <c r="G503" s="69" t="s">
        <v>3047</v>
      </c>
      <c r="H503" s="70" t="s">
        <v>3048</v>
      </c>
    </row>
    <row r="504" spans="2:8" x14ac:dyDescent="0.3">
      <c r="B504" s="140">
        <v>46045</v>
      </c>
      <c r="C504" s="103">
        <v>46023</v>
      </c>
      <c r="D504" s="70" t="s">
        <v>2928</v>
      </c>
      <c r="E504" s="70" t="s">
        <v>3044</v>
      </c>
      <c r="F504" s="63" t="s">
        <v>6</v>
      </c>
      <c r="G504" s="69" t="s">
        <v>3049</v>
      </c>
      <c r="H504" s="70" t="s">
        <v>3050</v>
      </c>
    </row>
    <row r="505" spans="2:8" x14ac:dyDescent="0.3">
      <c r="B505" s="140">
        <v>46048</v>
      </c>
      <c r="C505" s="103">
        <v>46023</v>
      </c>
      <c r="D505" s="70" t="s">
        <v>2928</v>
      </c>
      <c r="E505" s="70" t="s">
        <v>3044</v>
      </c>
      <c r="F505" s="63" t="s">
        <v>6</v>
      </c>
      <c r="G505" s="69" t="s">
        <v>3051</v>
      </c>
      <c r="H505" s="70" t="s">
        <v>3052</v>
      </c>
    </row>
    <row r="506" spans="2:8" x14ac:dyDescent="0.3">
      <c r="B506" s="140">
        <v>46048</v>
      </c>
      <c r="C506" s="103">
        <v>46023</v>
      </c>
      <c r="D506" s="70" t="s">
        <v>2928</v>
      </c>
      <c r="E506" s="70" t="s">
        <v>3044</v>
      </c>
      <c r="F506" s="63" t="s">
        <v>6</v>
      </c>
      <c r="G506" s="67" t="s">
        <v>3045</v>
      </c>
      <c r="H506" s="68" t="s">
        <v>3046</v>
      </c>
    </row>
    <row r="507" spans="2:8" x14ac:dyDescent="0.3">
      <c r="B507" s="140">
        <v>46048</v>
      </c>
      <c r="C507" s="103">
        <v>46023</v>
      </c>
      <c r="D507" s="70" t="s">
        <v>2928</v>
      </c>
      <c r="E507" s="70" t="s">
        <v>3044</v>
      </c>
      <c r="F507" s="63" t="s">
        <v>6</v>
      </c>
      <c r="G507" s="69" t="s">
        <v>3047</v>
      </c>
      <c r="H507" s="70" t="s">
        <v>3048</v>
      </c>
    </row>
    <row r="508" spans="2:8" x14ac:dyDescent="0.3">
      <c r="B508" s="140">
        <v>46048</v>
      </c>
      <c r="C508" s="103">
        <v>46023</v>
      </c>
      <c r="D508" s="70" t="s">
        <v>2928</v>
      </c>
      <c r="E508" s="70" t="s">
        <v>3044</v>
      </c>
      <c r="F508" s="63" t="s">
        <v>6</v>
      </c>
      <c r="G508" s="69" t="s">
        <v>3049</v>
      </c>
      <c r="H508" s="70" t="s">
        <v>3050</v>
      </c>
    </row>
    <row r="509" spans="2:8" x14ac:dyDescent="0.3">
      <c r="B509" s="140">
        <v>46049</v>
      </c>
      <c r="C509" s="103">
        <v>46023</v>
      </c>
      <c r="D509" s="70" t="s">
        <v>2928</v>
      </c>
      <c r="E509" s="70" t="s">
        <v>3044</v>
      </c>
      <c r="F509" s="63" t="s">
        <v>6</v>
      </c>
      <c r="G509" s="69" t="s">
        <v>3051</v>
      </c>
      <c r="H509" s="70" t="s">
        <v>3052</v>
      </c>
    </row>
    <row r="510" spans="2:8" x14ac:dyDescent="0.3">
      <c r="B510" s="140">
        <v>46049</v>
      </c>
      <c r="C510" s="103">
        <v>46023</v>
      </c>
      <c r="D510" s="70" t="s">
        <v>2928</v>
      </c>
      <c r="E510" s="70" t="s">
        <v>3044</v>
      </c>
      <c r="F510" s="63" t="s">
        <v>6</v>
      </c>
      <c r="G510" s="67" t="s">
        <v>3138</v>
      </c>
      <c r="H510" s="68" t="s">
        <v>3139</v>
      </c>
    </row>
    <row r="511" spans="2:8" x14ac:dyDescent="0.3">
      <c r="B511" s="140">
        <v>46049</v>
      </c>
      <c r="C511" s="103">
        <v>46023</v>
      </c>
      <c r="D511" s="70" t="s">
        <v>2928</v>
      </c>
      <c r="E511" s="70" t="s">
        <v>3044</v>
      </c>
      <c r="F511" s="63" t="s">
        <v>6</v>
      </c>
      <c r="G511" s="67" t="s">
        <v>3045</v>
      </c>
      <c r="H511" s="68" t="s">
        <v>3046</v>
      </c>
    </row>
    <row r="512" spans="2:8" x14ac:dyDescent="0.3">
      <c r="B512" s="140">
        <v>46049</v>
      </c>
      <c r="C512" s="103">
        <v>46023</v>
      </c>
      <c r="D512" s="70" t="s">
        <v>2928</v>
      </c>
      <c r="E512" s="70" t="s">
        <v>3044</v>
      </c>
      <c r="F512" s="63" t="s">
        <v>6</v>
      </c>
      <c r="G512" s="69" t="s">
        <v>3047</v>
      </c>
      <c r="H512" s="70" t="s">
        <v>3048</v>
      </c>
    </row>
    <row r="513" spans="2:8" x14ac:dyDescent="0.3">
      <c r="B513" s="140">
        <v>46049</v>
      </c>
      <c r="C513" s="103">
        <v>46023</v>
      </c>
      <c r="D513" s="70" t="s">
        <v>2928</v>
      </c>
      <c r="E513" s="70" t="s">
        <v>3044</v>
      </c>
      <c r="F513" s="63" t="s">
        <v>6</v>
      </c>
      <c r="G513" s="69" t="s">
        <v>3049</v>
      </c>
      <c r="H513" s="70" t="s">
        <v>3050</v>
      </c>
    </row>
    <row r="514" spans="2:8" x14ac:dyDescent="0.3">
      <c r="B514" s="140">
        <v>46050</v>
      </c>
      <c r="C514" s="103">
        <v>46023</v>
      </c>
      <c r="D514" s="70" t="s">
        <v>2928</v>
      </c>
      <c r="E514" s="70" t="s">
        <v>3044</v>
      </c>
      <c r="F514" s="63" t="s">
        <v>6</v>
      </c>
      <c r="G514" s="69" t="s">
        <v>3051</v>
      </c>
      <c r="H514" s="70" t="s">
        <v>3052</v>
      </c>
    </row>
    <row r="515" spans="2:8" x14ac:dyDescent="0.3">
      <c r="B515" s="140">
        <v>46050</v>
      </c>
      <c r="C515" s="103">
        <v>46023</v>
      </c>
      <c r="D515" s="70" t="s">
        <v>2928</v>
      </c>
      <c r="E515" s="70" t="s">
        <v>3044</v>
      </c>
      <c r="F515" s="63" t="s">
        <v>6</v>
      </c>
      <c r="G515" s="67" t="s">
        <v>3045</v>
      </c>
      <c r="H515" s="68" t="s">
        <v>3046</v>
      </c>
    </row>
    <row r="516" spans="2:8" x14ac:dyDescent="0.3">
      <c r="B516" s="140">
        <v>46050</v>
      </c>
      <c r="C516" s="103">
        <v>46023</v>
      </c>
      <c r="D516" s="70" t="s">
        <v>2928</v>
      </c>
      <c r="E516" s="70" t="s">
        <v>3044</v>
      </c>
      <c r="F516" s="63" t="s">
        <v>6</v>
      </c>
      <c r="G516" s="69" t="s">
        <v>3047</v>
      </c>
      <c r="H516" s="70" t="s">
        <v>3048</v>
      </c>
    </row>
    <row r="517" spans="2:8" x14ac:dyDescent="0.3">
      <c r="B517" s="140">
        <v>46050</v>
      </c>
      <c r="C517" s="103">
        <v>46023</v>
      </c>
      <c r="D517" s="70" t="s">
        <v>2928</v>
      </c>
      <c r="E517" s="70" t="s">
        <v>3044</v>
      </c>
      <c r="F517" s="63" t="s">
        <v>6</v>
      </c>
      <c r="G517" s="69" t="s">
        <v>3049</v>
      </c>
      <c r="H517" s="70" t="s">
        <v>3050</v>
      </c>
    </row>
    <row r="518" spans="2:8" x14ac:dyDescent="0.3">
      <c r="B518" s="140">
        <v>46051</v>
      </c>
      <c r="C518" s="103">
        <v>46023</v>
      </c>
      <c r="D518" s="70" t="s">
        <v>2928</v>
      </c>
      <c r="E518" s="70" t="s">
        <v>3044</v>
      </c>
      <c r="F518" s="63" t="s">
        <v>6</v>
      </c>
      <c r="G518" s="69" t="s">
        <v>3051</v>
      </c>
      <c r="H518" s="70" t="s">
        <v>3052</v>
      </c>
    </row>
    <row r="519" spans="2:8" x14ac:dyDescent="0.3">
      <c r="B519" s="140">
        <v>46051</v>
      </c>
      <c r="C519" s="103">
        <v>46023</v>
      </c>
      <c r="D519" s="70" t="s">
        <v>2928</v>
      </c>
      <c r="E519" s="70" t="s">
        <v>3044</v>
      </c>
      <c r="F519" s="63" t="s">
        <v>6</v>
      </c>
      <c r="G519" s="67" t="s">
        <v>3045</v>
      </c>
      <c r="H519" s="68" t="s">
        <v>3046</v>
      </c>
    </row>
    <row r="520" spans="2:8" x14ac:dyDescent="0.3">
      <c r="B520" s="140">
        <v>46051</v>
      </c>
      <c r="C520" s="103">
        <v>46023</v>
      </c>
      <c r="D520" s="70" t="s">
        <v>2928</v>
      </c>
      <c r="E520" s="70" t="s">
        <v>3044</v>
      </c>
      <c r="F520" s="63" t="s">
        <v>6</v>
      </c>
      <c r="G520" s="69" t="s">
        <v>3047</v>
      </c>
      <c r="H520" s="70" t="s">
        <v>3048</v>
      </c>
    </row>
    <row r="521" spans="2:8" x14ac:dyDescent="0.3">
      <c r="B521" s="140">
        <v>46051</v>
      </c>
      <c r="C521" s="103">
        <v>46023</v>
      </c>
      <c r="D521" s="70" t="s">
        <v>2928</v>
      </c>
      <c r="E521" s="70" t="s">
        <v>3044</v>
      </c>
      <c r="F521" s="63" t="s">
        <v>6</v>
      </c>
      <c r="G521" s="69" t="s">
        <v>3049</v>
      </c>
      <c r="H521" s="70" t="s">
        <v>3050</v>
      </c>
    </row>
    <row r="522" spans="2:8" x14ac:dyDescent="0.3">
      <c r="B522" s="140">
        <v>46052</v>
      </c>
      <c r="C522" s="103">
        <v>46023</v>
      </c>
      <c r="D522" s="70" t="s">
        <v>2928</v>
      </c>
      <c r="E522" s="70" t="s">
        <v>3044</v>
      </c>
      <c r="F522" s="63" t="s">
        <v>6</v>
      </c>
      <c r="G522" s="69" t="s">
        <v>3051</v>
      </c>
      <c r="H522" s="70" t="s">
        <v>3052</v>
      </c>
    </row>
    <row r="523" spans="2:8" x14ac:dyDescent="0.3">
      <c r="B523" s="140">
        <v>46052</v>
      </c>
      <c r="C523" s="103">
        <v>46023</v>
      </c>
      <c r="D523" s="70" t="s">
        <v>2928</v>
      </c>
      <c r="E523" s="70" t="s">
        <v>3044</v>
      </c>
      <c r="F523" s="63" t="s">
        <v>6</v>
      </c>
      <c r="G523" s="67" t="s">
        <v>3045</v>
      </c>
      <c r="H523" s="68" t="s">
        <v>3046</v>
      </c>
    </row>
    <row r="524" spans="2:8" x14ac:dyDescent="0.3">
      <c r="B524" s="140">
        <v>46052</v>
      </c>
      <c r="C524" s="103">
        <v>46023</v>
      </c>
      <c r="D524" s="70" t="s">
        <v>2928</v>
      </c>
      <c r="E524" s="70" t="s">
        <v>3044</v>
      </c>
      <c r="F524" s="63" t="s">
        <v>6</v>
      </c>
      <c r="G524" s="69" t="s">
        <v>3047</v>
      </c>
      <c r="H524" s="70" t="s">
        <v>3048</v>
      </c>
    </row>
    <row r="525" spans="2:8" x14ac:dyDescent="0.3">
      <c r="B525" s="140">
        <v>46052</v>
      </c>
      <c r="C525" s="103">
        <v>46023</v>
      </c>
      <c r="D525" s="70" t="s">
        <v>2928</v>
      </c>
      <c r="E525" s="70" t="s">
        <v>3044</v>
      </c>
      <c r="F525" s="63" t="s">
        <v>6</v>
      </c>
      <c r="G525" s="69" t="s">
        <v>3049</v>
      </c>
      <c r="H525" s="70" t="s">
        <v>3050</v>
      </c>
    </row>
    <row r="526" spans="2:8" x14ac:dyDescent="0.3">
      <c r="B526" s="140">
        <v>46055</v>
      </c>
      <c r="C526" s="103">
        <v>46054</v>
      </c>
      <c r="D526" s="70" t="s">
        <v>2928</v>
      </c>
      <c r="E526" s="70" t="s">
        <v>3044</v>
      </c>
      <c r="F526" s="63" t="s">
        <v>6</v>
      </c>
      <c r="G526" s="69" t="s">
        <v>3051</v>
      </c>
      <c r="H526" s="70" t="s">
        <v>3052</v>
      </c>
    </row>
    <row r="527" spans="2:8" x14ac:dyDescent="0.3">
      <c r="B527" s="140">
        <v>46055</v>
      </c>
      <c r="C527" s="103">
        <v>46054</v>
      </c>
      <c r="D527" s="70" t="s">
        <v>2928</v>
      </c>
      <c r="E527" s="70" t="s">
        <v>3044</v>
      </c>
      <c r="F527" s="63" t="s">
        <v>6</v>
      </c>
      <c r="G527" s="67" t="s">
        <v>3045</v>
      </c>
      <c r="H527" s="68" t="s">
        <v>3046</v>
      </c>
    </row>
    <row r="528" spans="2:8" x14ac:dyDescent="0.3">
      <c r="B528" s="140">
        <v>46055</v>
      </c>
      <c r="C528" s="103">
        <v>46054</v>
      </c>
      <c r="D528" s="70" t="s">
        <v>2928</v>
      </c>
      <c r="E528" s="70" t="s">
        <v>3044</v>
      </c>
      <c r="F528" s="63" t="s">
        <v>6</v>
      </c>
      <c r="G528" s="69" t="s">
        <v>3047</v>
      </c>
      <c r="H528" s="70" t="s">
        <v>3048</v>
      </c>
    </row>
    <row r="529" spans="2:8" x14ac:dyDescent="0.3">
      <c r="B529" s="140">
        <v>46055</v>
      </c>
      <c r="C529" s="103">
        <v>46054</v>
      </c>
      <c r="D529" s="70" t="s">
        <v>2928</v>
      </c>
      <c r="E529" s="70" t="s">
        <v>3044</v>
      </c>
      <c r="F529" s="63" t="s">
        <v>6</v>
      </c>
      <c r="G529" s="69" t="s">
        <v>3049</v>
      </c>
      <c r="H529" s="70" t="s">
        <v>3050</v>
      </c>
    </row>
    <row r="530" spans="2:8" x14ac:dyDescent="0.3">
      <c r="B530" s="140">
        <v>46056</v>
      </c>
      <c r="C530" s="103">
        <v>46054</v>
      </c>
      <c r="D530" s="70" t="s">
        <v>2928</v>
      </c>
      <c r="E530" s="70" t="s">
        <v>3044</v>
      </c>
      <c r="F530" s="63" t="s">
        <v>6</v>
      </c>
      <c r="G530" s="69" t="s">
        <v>3051</v>
      </c>
      <c r="H530" s="70" t="s">
        <v>3052</v>
      </c>
    </row>
    <row r="531" spans="2:8" x14ac:dyDescent="0.3">
      <c r="B531" s="140">
        <v>46056</v>
      </c>
      <c r="C531" s="103">
        <v>46054</v>
      </c>
      <c r="D531" s="70" t="s">
        <v>2928</v>
      </c>
      <c r="E531" s="70" t="s">
        <v>3044</v>
      </c>
      <c r="F531" s="63" t="s">
        <v>6</v>
      </c>
      <c r="G531" s="67" t="s">
        <v>3138</v>
      </c>
      <c r="H531" s="68" t="s">
        <v>3139</v>
      </c>
    </row>
    <row r="532" spans="2:8" x14ac:dyDescent="0.3">
      <c r="B532" s="140">
        <v>46056</v>
      </c>
      <c r="C532" s="103">
        <v>46054</v>
      </c>
      <c r="D532" s="70" t="s">
        <v>2928</v>
      </c>
      <c r="E532" s="70" t="s">
        <v>3044</v>
      </c>
      <c r="F532" s="63" t="s">
        <v>6</v>
      </c>
      <c r="G532" s="67" t="s">
        <v>3045</v>
      </c>
      <c r="H532" s="68" t="s">
        <v>3046</v>
      </c>
    </row>
    <row r="533" spans="2:8" x14ac:dyDescent="0.3">
      <c r="B533" s="140">
        <v>46056</v>
      </c>
      <c r="C533" s="103">
        <v>46054</v>
      </c>
      <c r="D533" s="70" t="s">
        <v>2928</v>
      </c>
      <c r="E533" s="70" t="s">
        <v>3044</v>
      </c>
      <c r="F533" s="63" t="s">
        <v>6</v>
      </c>
      <c r="G533" s="69" t="s">
        <v>3047</v>
      </c>
      <c r="H533" s="70" t="s">
        <v>3048</v>
      </c>
    </row>
    <row r="534" spans="2:8" x14ac:dyDescent="0.3">
      <c r="B534" s="140">
        <v>46056</v>
      </c>
      <c r="C534" s="103">
        <v>46054</v>
      </c>
      <c r="D534" s="70" t="s">
        <v>2928</v>
      </c>
      <c r="E534" s="70" t="s">
        <v>3044</v>
      </c>
      <c r="F534" s="63" t="s">
        <v>6</v>
      </c>
      <c r="G534" s="69" t="s">
        <v>3049</v>
      </c>
      <c r="H534" s="70" t="s">
        <v>3050</v>
      </c>
    </row>
    <row r="535" spans="2:8" x14ac:dyDescent="0.3">
      <c r="B535" s="140">
        <v>46057</v>
      </c>
      <c r="C535" s="103">
        <v>46054</v>
      </c>
      <c r="D535" s="70" t="s">
        <v>2928</v>
      </c>
      <c r="E535" s="70" t="s">
        <v>3044</v>
      </c>
      <c r="F535" s="63" t="s">
        <v>6</v>
      </c>
      <c r="G535" s="69" t="s">
        <v>3051</v>
      </c>
      <c r="H535" s="70" t="s">
        <v>3052</v>
      </c>
    </row>
    <row r="536" spans="2:8" x14ac:dyDescent="0.3">
      <c r="B536" s="140">
        <v>46057</v>
      </c>
      <c r="C536" s="103">
        <v>46054</v>
      </c>
      <c r="D536" s="70" t="s">
        <v>2928</v>
      </c>
      <c r="E536" s="70" t="s">
        <v>3044</v>
      </c>
      <c r="F536" s="63" t="s">
        <v>6</v>
      </c>
      <c r="G536" s="67" t="s">
        <v>3045</v>
      </c>
      <c r="H536" s="68" t="s">
        <v>3046</v>
      </c>
    </row>
    <row r="537" spans="2:8" x14ac:dyDescent="0.3">
      <c r="B537" s="140">
        <v>46057</v>
      </c>
      <c r="C537" s="103">
        <v>46054</v>
      </c>
      <c r="D537" s="70" t="s">
        <v>2928</v>
      </c>
      <c r="E537" s="70" t="s">
        <v>3044</v>
      </c>
      <c r="F537" s="63" t="s">
        <v>6</v>
      </c>
      <c r="G537" s="69" t="s">
        <v>3047</v>
      </c>
      <c r="H537" s="70" t="s">
        <v>3048</v>
      </c>
    </row>
    <row r="538" spans="2:8" x14ac:dyDescent="0.3">
      <c r="B538" s="140">
        <v>46057</v>
      </c>
      <c r="C538" s="103">
        <v>45992</v>
      </c>
      <c r="D538" s="70" t="s">
        <v>2928</v>
      </c>
      <c r="E538" s="70" t="s">
        <v>3044</v>
      </c>
      <c r="F538" s="107" t="s">
        <v>325</v>
      </c>
      <c r="G538" s="98" t="s">
        <v>3142</v>
      </c>
      <c r="H538" s="101" t="s">
        <v>3143</v>
      </c>
    </row>
    <row r="539" spans="2:8" x14ac:dyDescent="0.3">
      <c r="B539" s="140">
        <v>46057</v>
      </c>
      <c r="C539" s="103">
        <v>46054</v>
      </c>
      <c r="D539" s="70" t="s">
        <v>2928</v>
      </c>
      <c r="E539" s="70" t="s">
        <v>3044</v>
      </c>
      <c r="F539" s="63" t="s">
        <v>6</v>
      </c>
      <c r="G539" s="69" t="s">
        <v>3049</v>
      </c>
      <c r="H539" s="70" t="s">
        <v>3050</v>
      </c>
    </row>
    <row r="540" spans="2:8" x14ac:dyDescent="0.3">
      <c r="B540" s="140">
        <v>46058</v>
      </c>
      <c r="C540" s="103">
        <v>46054</v>
      </c>
      <c r="D540" s="70" t="s">
        <v>2928</v>
      </c>
      <c r="E540" s="70" t="s">
        <v>3044</v>
      </c>
      <c r="F540" s="63" t="s">
        <v>6</v>
      </c>
      <c r="G540" s="69" t="s">
        <v>3051</v>
      </c>
      <c r="H540" s="70" t="s">
        <v>3052</v>
      </c>
    </row>
    <row r="541" spans="2:8" x14ac:dyDescent="0.3">
      <c r="B541" s="140">
        <v>46058</v>
      </c>
      <c r="C541" s="103">
        <v>46054</v>
      </c>
      <c r="D541" s="70" t="s">
        <v>2928</v>
      </c>
      <c r="E541" s="70" t="s">
        <v>3044</v>
      </c>
      <c r="F541" s="63" t="s">
        <v>6</v>
      </c>
      <c r="G541" s="67" t="s">
        <v>3045</v>
      </c>
      <c r="H541" s="68" t="s">
        <v>3046</v>
      </c>
    </row>
    <row r="542" spans="2:8" x14ac:dyDescent="0.3">
      <c r="B542" s="140">
        <v>46058</v>
      </c>
      <c r="C542" s="103">
        <v>46054</v>
      </c>
      <c r="D542" s="70" t="s">
        <v>2928</v>
      </c>
      <c r="E542" s="70" t="s">
        <v>3044</v>
      </c>
      <c r="F542" s="107" t="s">
        <v>325</v>
      </c>
      <c r="G542" s="98" t="s">
        <v>3144</v>
      </c>
      <c r="H542" s="101" t="s">
        <v>3145</v>
      </c>
    </row>
    <row r="543" spans="2:8" x14ac:dyDescent="0.3">
      <c r="B543" s="140">
        <v>46058</v>
      </c>
      <c r="C543" s="103">
        <v>46054</v>
      </c>
      <c r="D543" s="70" t="s">
        <v>2928</v>
      </c>
      <c r="E543" s="70" t="s">
        <v>3044</v>
      </c>
      <c r="F543" s="63" t="s">
        <v>6</v>
      </c>
      <c r="G543" s="69" t="s">
        <v>3047</v>
      </c>
      <c r="H543" s="70" t="s">
        <v>3048</v>
      </c>
    </row>
    <row r="544" spans="2:8" x14ac:dyDescent="0.3">
      <c r="B544" s="140">
        <v>46058</v>
      </c>
      <c r="C544" s="103">
        <v>46054</v>
      </c>
      <c r="D544" s="70" t="s">
        <v>2928</v>
      </c>
      <c r="E544" s="70" t="s">
        <v>3044</v>
      </c>
      <c r="F544" s="63" t="s">
        <v>6</v>
      </c>
      <c r="G544" s="69" t="s">
        <v>3049</v>
      </c>
      <c r="H544" s="70" t="s">
        <v>3050</v>
      </c>
    </row>
    <row r="545" spans="2:8" x14ac:dyDescent="0.3">
      <c r="B545" s="140">
        <v>46059</v>
      </c>
      <c r="C545" s="103">
        <v>46054</v>
      </c>
      <c r="D545" s="70" t="s">
        <v>2928</v>
      </c>
      <c r="E545" s="70" t="s">
        <v>3044</v>
      </c>
      <c r="F545" s="63" t="s">
        <v>6</v>
      </c>
      <c r="G545" s="69" t="s">
        <v>3051</v>
      </c>
      <c r="H545" s="70" t="s">
        <v>3052</v>
      </c>
    </row>
    <row r="546" spans="2:8" x14ac:dyDescent="0.3">
      <c r="B546" s="140">
        <v>46059</v>
      </c>
      <c r="C546" s="103">
        <v>46054</v>
      </c>
      <c r="D546" s="70" t="s">
        <v>2928</v>
      </c>
      <c r="E546" s="70" t="s">
        <v>3044</v>
      </c>
      <c r="F546" s="63" t="s">
        <v>6</v>
      </c>
      <c r="G546" s="67" t="s">
        <v>3045</v>
      </c>
      <c r="H546" s="68" t="s">
        <v>3046</v>
      </c>
    </row>
    <row r="547" spans="2:8" x14ac:dyDescent="0.3">
      <c r="B547" s="140">
        <v>46059</v>
      </c>
      <c r="C547" s="103">
        <v>46054</v>
      </c>
      <c r="D547" s="70" t="s">
        <v>2928</v>
      </c>
      <c r="E547" s="70" t="s">
        <v>3044</v>
      </c>
      <c r="F547" s="63" t="s">
        <v>6</v>
      </c>
      <c r="G547" s="69" t="s">
        <v>3047</v>
      </c>
      <c r="H547" s="70" t="s">
        <v>3048</v>
      </c>
    </row>
    <row r="548" spans="2:8" x14ac:dyDescent="0.3">
      <c r="B548" s="140">
        <v>46059</v>
      </c>
      <c r="C548" s="103">
        <v>46054</v>
      </c>
      <c r="D548" s="70" t="s">
        <v>2928</v>
      </c>
      <c r="E548" s="70" t="s">
        <v>3044</v>
      </c>
      <c r="F548" s="63" t="s">
        <v>6</v>
      </c>
      <c r="G548" s="69" t="s">
        <v>3049</v>
      </c>
      <c r="H548" s="70" t="s">
        <v>3050</v>
      </c>
    </row>
    <row r="549" spans="2:8" x14ac:dyDescent="0.3">
      <c r="B549" s="140">
        <v>46062</v>
      </c>
      <c r="C549" s="103">
        <v>46054</v>
      </c>
      <c r="D549" s="70" t="s">
        <v>2928</v>
      </c>
      <c r="E549" s="70" t="s">
        <v>3044</v>
      </c>
      <c r="F549" s="47" t="s">
        <v>6</v>
      </c>
      <c r="G549" s="67" t="s">
        <v>2949</v>
      </c>
      <c r="H549" s="67" t="s">
        <v>2950</v>
      </c>
    </row>
    <row r="550" spans="2:8" x14ac:dyDescent="0.3">
      <c r="B550" s="140">
        <v>46062</v>
      </c>
      <c r="C550" s="103">
        <v>46054</v>
      </c>
      <c r="D550" s="70" t="s">
        <v>2928</v>
      </c>
      <c r="E550" s="70" t="s">
        <v>3044</v>
      </c>
      <c r="F550" s="63" t="s">
        <v>6</v>
      </c>
      <c r="G550" s="69" t="s">
        <v>3051</v>
      </c>
      <c r="H550" s="70" t="s">
        <v>3052</v>
      </c>
    </row>
    <row r="551" spans="2:8" x14ac:dyDescent="0.3">
      <c r="B551" s="140">
        <v>46062</v>
      </c>
      <c r="C551" s="103">
        <v>46054</v>
      </c>
      <c r="D551" s="70" t="s">
        <v>2928</v>
      </c>
      <c r="E551" s="70" t="s">
        <v>3044</v>
      </c>
      <c r="F551" s="63" t="s">
        <v>6</v>
      </c>
      <c r="G551" s="67" t="s">
        <v>3045</v>
      </c>
      <c r="H551" s="68" t="s">
        <v>3046</v>
      </c>
    </row>
    <row r="552" spans="2:8" x14ac:dyDescent="0.3">
      <c r="B552" s="140">
        <v>46062</v>
      </c>
      <c r="C552" s="103">
        <v>46054</v>
      </c>
      <c r="D552" s="70" t="s">
        <v>2928</v>
      </c>
      <c r="E552" s="70" t="s">
        <v>3044</v>
      </c>
      <c r="F552" s="63" t="s">
        <v>6</v>
      </c>
      <c r="G552" s="69" t="s">
        <v>3047</v>
      </c>
      <c r="H552" s="70" t="s">
        <v>3048</v>
      </c>
    </row>
    <row r="553" spans="2:8" x14ac:dyDescent="0.3">
      <c r="B553" s="140">
        <v>46062</v>
      </c>
      <c r="C553" s="103">
        <v>46054</v>
      </c>
      <c r="D553" s="70" t="s">
        <v>2928</v>
      </c>
      <c r="E553" s="70" t="s">
        <v>3044</v>
      </c>
      <c r="F553" s="63" t="s">
        <v>6</v>
      </c>
      <c r="G553" s="69" t="s">
        <v>3049</v>
      </c>
      <c r="H553" s="70" t="s">
        <v>3050</v>
      </c>
    </row>
    <row r="554" spans="2:8" x14ac:dyDescent="0.3">
      <c r="B554" s="140">
        <v>46063</v>
      </c>
      <c r="C554" s="103">
        <v>46054</v>
      </c>
      <c r="D554" s="70" t="s">
        <v>2928</v>
      </c>
      <c r="E554" s="70" t="s">
        <v>3044</v>
      </c>
      <c r="F554" s="47" t="s">
        <v>6</v>
      </c>
      <c r="G554" s="67" t="s">
        <v>2949</v>
      </c>
      <c r="H554" s="67" t="s">
        <v>2950</v>
      </c>
    </row>
    <row r="555" spans="2:8" x14ac:dyDescent="0.3">
      <c r="B555" s="140">
        <v>46063</v>
      </c>
      <c r="C555" s="103">
        <v>46054</v>
      </c>
      <c r="D555" s="70" t="s">
        <v>2928</v>
      </c>
      <c r="E555" s="70" t="s">
        <v>3044</v>
      </c>
      <c r="F555" s="63" t="s">
        <v>6</v>
      </c>
      <c r="G555" s="69" t="s">
        <v>3051</v>
      </c>
      <c r="H555" s="70" t="s">
        <v>3052</v>
      </c>
    </row>
    <row r="556" spans="2:8" x14ac:dyDescent="0.3">
      <c r="B556" s="140">
        <v>46063</v>
      </c>
      <c r="C556" s="103">
        <v>46054</v>
      </c>
      <c r="D556" s="70" t="s">
        <v>2928</v>
      </c>
      <c r="E556" s="70" t="s">
        <v>3044</v>
      </c>
      <c r="F556" s="63" t="s">
        <v>6</v>
      </c>
      <c r="G556" s="67" t="s">
        <v>3045</v>
      </c>
      <c r="H556" s="68" t="s">
        <v>3046</v>
      </c>
    </row>
    <row r="557" spans="2:8" x14ac:dyDescent="0.3">
      <c r="B557" s="140">
        <v>46063</v>
      </c>
      <c r="C557" s="103">
        <v>46054</v>
      </c>
      <c r="D557" s="70" t="s">
        <v>2928</v>
      </c>
      <c r="E557" s="70" t="s">
        <v>3044</v>
      </c>
      <c r="F557" s="63" t="s">
        <v>6</v>
      </c>
      <c r="G557" s="69" t="s">
        <v>3047</v>
      </c>
      <c r="H557" s="70" t="s">
        <v>3048</v>
      </c>
    </row>
    <row r="558" spans="2:8" x14ac:dyDescent="0.3">
      <c r="B558" s="140">
        <v>46063</v>
      </c>
      <c r="C558" s="103">
        <v>46054</v>
      </c>
      <c r="D558" s="70" t="s">
        <v>2928</v>
      </c>
      <c r="E558" s="70" t="s">
        <v>3044</v>
      </c>
      <c r="F558" s="63" t="s">
        <v>6</v>
      </c>
      <c r="G558" s="69" t="s">
        <v>3049</v>
      </c>
      <c r="H558" s="70" t="s">
        <v>3050</v>
      </c>
    </row>
    <row r="559" spans="2:8" x14ac:dyDescent="0.3">
      <c r="B559" s="140">
        <v>46063</v>
      </c>
      <c r="C559" s="103">
        <v>46054</v>
      </c>
      <c r="D559" s="70" t="s">
        <v>2928</v>
      </c>
      <c r="E559" s="70" t="s">
        <v>3044</v>
      </c>
      <c r="F559" s="47" t="s">
        <v>6</v>
      </c>
      <c r="G559" s="67" t="s">
        <v>3146</v>
      </c>
      <c r="H559" s="67" t="s">
        <v>3147</v>
      </c>
    </row>
    <row r="560" spans="2:8" x14ac:dyDescent="0.3">
      <c r="B560" s="140">
        <v>46064</v>
      </c>
      <c r="C560" s="103">
        <v>46054</v>
      </c>
      <c r="D560" s="70" t="s">
        <v>2928</v>
      </c>
      <c r="E560" s="70" t="s">
        <v>3044</v>
      </c>
      <c r="F560" s="47" t="s">
        <v>6</v>
      </c>
      <c r="G560" s="67" t="s">
        <v>2949</v>
      </c>
      <c r="H560" s="67" t="s">
        <v>2950</v>
      </c>
    </row>
    <row r="561" spans="2:8" x14ac:dyDescent="0.3">
      <c r="B561" s="140">
        <v>46064</v>
      </c>
      <c r="C561" s="103">
        <v>46054</v>
      </c>
      <c r="D561" s="70" t="s">
        <v>2928</v>
      </c>
      <c r="E561" s="70" t="s">
        <v>3044</v>
      </c>
      <c r="F561" s="63" t="s">
        <v>6</v>
      </c>
      <c r="G561" s="69" t="s">
        <v>3051</v>
      </c>
      <c r="H561" s="70" t="s">
        <v>3052</v>
      </c>
    </row>
    <row r="562" spans="2:8" x14ac:dyDescent="0.3">
      <c r="B562" s="140">
        <v>46064</v>
      </c>
      <c r="C562" s="103">
        <v>46054</v>
      </c>
      <c r="D562" s="70" t="s">
        <v>2928</v>
      </c>
      <c r="E562" s="70" t="s">
        <v>3044</v>
      </c>
      <c r="F562" s="63" t="s">
        <v>6</v>
      </c>
      <c r="G562" s="67" t="s">
        <v>3045</v>
      </c>
      <c r="H562" s="68" t="s">
        <v>3046</v>
      </c>
    </row>
    <row r="563" spans="2:8" x14ac:dyDescent="0.3">
      <c r="B563" s="140">
        <v>46064</v>
      </c>
      <c r="C563" s="103">
        <v>46054</v>
      </c>
      <c r="D563" s="70" t="s">
        <v>2928</v>
      </c>
      <c r="E563" s="70" t="s">
        <v>3044</v>
      </c>
      <c r="F563" s="63" t="s">
        <v>6</v>
      </c>
      <c r="G563" s="69" t="s">
        <v>3047</v>
      </c>
      <c r="H563" s="70" t="s">
        <v>3048</v>
      </c>
    </row>
    <row r="564" spans="2:8" x14ac:dyDescent="0.3">
      <c r="B564" s="140">
        <v>46064</v>
      </c>
      <c r="C564" s="103">
        <v>46054</v>
      </c>
      <c r="D564" s="70" t="s">
        <v>2928</v>
      </c>
      <c r="E564" s="70" t="s">
        <v>3044</v>
      </c>
      <c r="F564" s="63" t="s">
        <v>6</v>
      </c>
      <c r="G564" s="69" t="s">
        <v>3049</v>
      </c>
      <c r="H564" s="70" t="s">
        <v>3050</v>
      </c>
    </row>
    <row r="565" spans="2:8" x14ac:dyDescent="0.3">
      <c r="B565" s="140">
        <v>46065</v>
      </c>
      <c r="C565" s="103">
        <v>46054</v>
      </c>
      <c r="D565" s="70" t="s">
        <v>2928</v>
      </c>
      <c r="E565" s="70" t="s">
        <v>3044</v>
      </c>
      <c r="F565" s="47" t="s">
        <v>6</v>
      </c>
      <c r="G565" s="67" t="s">
        <v>2949</v>
      </c>
      <c r="H565" s="67" t="s">
        <v>2950</v>
      </c>
    </row>
    <row r="566" spans="2:8" x14ac:dyDescent="0.3">
      <c r="B566" s="140">
        <v>46065</v>
      </c>
      <c r="C566" s="103">
        <v>46054</v>
      </c>
      <c r="D566" s="70" t="s">
        <v>2928</v>
      </c>
      <c r="E566" s="70" t="s">
        <v>3044</v>
      </c>
      <c r="F566" s="63" t="s">
        <v>6</v>
      </c>
      <c r="G566" s="69" t="s">
        <v>3051</v>
      </c>
      <c r="H566" s="70" t="s">
        <v>3052</v>
      </c>
    </row>
    <row r="567" spans="2:8" x14ac:dyDescent="0.3">
      <c r="B567" s="140">
        <v>46065</v>
      </c>
      <c r="C567" s="103">
        <v>46054</v>
      </c>
      <c r="D567" s="70" t="s">
        <v>2928</v>
      </c>
      <c r="E567" s="70" t="s">
        <v>3044</v>
      </c>
      <c r="F567" s="63" t="s">
        <v>6</v>
      </c>
      <c r="G567" s="67" t="s">
        <v>3045</v>
      </c>
      <c r="H567" s="68" t="s">
        <v>3046</v>
      </c>
    </row>
    <row r="568" spans="2:8" x14ac:dyDescent="0.3">
      <c r="B568" s="140">
        <v>46065</v>
      </c>
      <c r="C568" s="103">
        <v>46054</v>
      </c>
      <c r="D568" s="70" t="s">
        <v>2928</v>
      </c>
      <c r="E568" s="70" t="s">
        <v>3044</v>
      </c>
      <c r="F568" s="63" t="s">
        <v>6</v>
      </c>
      <c r="G568" s="69" t="s">
        <v>3047</v>
      </c>
      <c r="H568" s="70" t="s">
        <v>3048</v>
      </c>
    </row>
    <row r="569" spans="2:8" x14ac:dyDescent="0.3">
      <c r="B569" s="140">
        <v>46065</v>
      </c>
      <c r="C569" s="103">
        <v>46054</v>
      </c>
      <c r="D569" s="70" t="s">
        <v>2928</v>
      </c>
      <c r="E569" s="70" t="s">
        <v>3044</v>
      </c>
      <c r="F569" s="63" t="s">
        <v>6</v>
      </c>
      <c r="G569" s="69" t="s">
        <v>3049</v>
      </c>
      <c r="H569" s="70" t="s">
        <v>3050</v>
      </c>
    </row>
    <row r="570" spans="2:8" x14ac:dyDescent="0.3">
      <c r="B570" s="140">
        <v>46066</v>
      </c>
      <c r="C570" s="103">
        <v>46054</v>
      </c>
      <c r="D570" s="70" t="s">
        <v>2928</v>
      </c>
      <c r="E570" s="70" t="s">
        <v>3044</v>
      </c>
      <c r="F570" s="47" t="s">
        <v>6</v>
      </c>
      <c r="G570" s="67" t="s">
        <v>2949</v>
      </c>
      <c r="H570" s="67" t="s">
        <v>2950</v>
      </c>
    </row>
    <row r="571" spans="2:8" x14ac:dyDescent="0.3">
      <c r="B571" s="140">
        <v>46066</v>
      </c>
      <c r="C571" s="103">
        <v>46054</v>
      </c>
      <c r="D571" s="70" t="s">
        <v>2928</v>
      </c>
      <c r="E571" s="70" t="s">
        <v>3044</v>
      </c>
      <c r="F571" s="63" t="s">
        <v>6</v>
      </c>
      <c r="G571" s="69" t="s">
        <v>3051</v>
      </c>
      <c r="H571" s="70" t="s">
        <v>3052</v>
      </c>
    </row>
    <row r="572" spans="2:8" x14ac:dyDescent="0.3">
      <c r="B572" s="140">
        <v>46066</v>
      </c>
      <c r="C572" s="103">
        <v>46054</v>
      </c>
      <c r="D572" s="70" t="s">
        <v>2928</v>
      </c>
      <c r="E572" s="70" t="s">
        <v>3044</v>
      </c>
      <c r="F572" s="63" t="s">
        <v>6</v>
      </c>
      <c r="G572" s="67" t="s">
        <v>3045</v>
      </c>
      <c r="H572" s="68" t="s">
        <v>3046</v>
      </c>
    </row>
    <row r="573" spans="2:8" x14ac:dyDescent="0.3">
      <c r="B573" s="140">
        <v>46066</v>
      </c>
      <c r="C573" s="103">
        <v>46054</v>
      </c>
      <c r="D573" s="70" t="s">
        <v>2928</v>
      </c>
      <c r="E573" s="70" t="s">
        <v>3044</v>
      </c>
      <c r="F573" s="63" t="s">
        <v>6</v>
      </c>
      <c r="G573" s="69" t="s">
        <v>3047</v>
      </c>
      <c r="H573" s="70" t="s">
        <v>3048</v>
      </c>
    </row>
    <row r="574" spans="2:8" x14ac:dyDescent="0.3">
      <c r="B574" s="140">
        <v>46066</v>
      </c>
      <c r="C574" s="103">
        <v>46054</v>
      </c>
      <c r="D574" s="70" t="s">
        <v>2928</v>
      </c>
      <c r="E574" s="70" t="s">
        <v>3044</v>
      </c>
      <c r="F574" s="63" t="s">
        <v>6</v>
      </c>
      <c r="G574" s="69" t="s">
        <v>3049</v>
      </c>
      <c r="H574" s="70" t="s">
        <v>3050</v>
      </c>
    </row>
    <row r="575" spans="2:8" x14ac:dyDescent="0.3">
      <c r="B575" s="140">
        <v>46066</v>
      </c>
      <c r="C575" s="103">
        <v>46054</v>
      </c>
      <c r="D575" s="70" t="s">
        <v>2928</v>
      </c>
      <c r="E575" s="70" t="s">
        <v>3044</v>
      </c>
      <c r="F575" s="107" t="s">
        <v>325</v>
      </c>
      <c r="G575" s="98" t="s">
        <v>3148</v>
      </c>
      <c r="H575" s="101" t="s">
        <v>3149</v>
      </c>
    </row>
    <row r="576" spans="2:8" x14ac:dyDescent="0.3">
      <c r="B576" s="140">
        <v>46069</v>
      </c>
      <c r="C576" s="103">
        <v>46054</v>
      </c>
      <c r="D576" s="70" t="s">
        <v>2928</v>
      </c>
      <c r="E576" s="70" t="s">
        <v>3044</v>
      </c>
      <c r="F576" s="63" t="s">
        <v>6</v>
      </c>
      <c r="G576" s="69" t="s">
        <v>3051</v>
      </c>
      <c r="H576" s="70" t="s">
        <v>3052</v>
      </c>
    </row>
    <row r="577" spans="2:8" x14ac:dyDescent="0.3">
      <c r="B577" s="140">
        <v>46069</v>
      </c>
      <c r="C577" s="103">
        <v>46054</v>
      </c>
      <c r="D577" s="70" t="s">
        <v>2928</v>
      </c>
      <c r="E577" s="70" t="s">
        <v>3044</v>
      </c>
      <c r="F577" s="63" t="s">
        <v>6</v>
      </c>
      <c r="G577" s="67" t="s">
        <v>3045</v>
      </c>
      <c r="H577" s="68" t="s">
        <v>3046</v>
      </c>
    </row>
    <row r="578" spans="2:8" x14ac:dyDescent="0.3">
      <c r="B578" s="140">
        <v>46069</v>
      </c>
      <c r="C578" s="103">
        <v>46054</v>
      </c>
      <c r="D578" s="70" t="s">
        <v>2928</v>
      </c>
      <c r="E578" s="70" t="s">
        <v>3044</v>
      </c>
      <c r="F578" s="63" t="s">
        <v>6</v>
      </c>
      <c r="G578" s="69" t="s">
        <v>3047</v>
      </c>
      <c r="H578" s="70" t="s">
        <v>3048</v>
      </c>
    </row>
    <row r="579" spans="2:8" x14ac:dyDescent="0.3">
      <c r="B579" s="140">
        <v>46069</v>
      </c>
      <c r="C579" s="103">
        <v>46054</v>
      </c>
      <c r="D579" s="70" t="s">
        <v>2928</v>
      </c>
      <c r="E579" s="70" t="s">
        <v>3044</v>
      </c>
      <c r="F579" s="63" t="s">
        <v>6</v>
      </c>
      <c r="G579" s="69" t="s">
        <v>3049</v>
      </c>
      <c r="H579" s="70" t="s">
        <v>3050</v>
      </c>
    </row>
    <row r="580" spans="2:8" x14ac:dyDescent="0.3">
      <c r="B580" s="140">
        <v>46070</v>
      </c>
      <c r="C580" s="103">
        <v>46054</v>
      </c>
      <c r="D580" s="70" t="s">
        <v>2928</v>
      </c>
      <c r="E580" s="70" t="s">
        <v>3044</v>
      </c>
      <c r="F580" s="63" t="s">
        <v>6</v>
      </c>
      <c r="G580" s="69" t="s">
        <v>3051</v>
      </c>
      <c r="H580" s="70" t="s">
        <v>3052</v>
      </c>
    </row>
    <row r="581" spans="2:8" x14ac:dyDescent="0.3">
      <c r="B581" s="140">
        <v>46070</v>
      </c>
      <c r="C581" s="103">
        <v>46054</v>
      </c>
      <c r="D581" s="70" t="s">
        <v>2928</v>
      </c>
      <c r="E581" s="70" t="s">
        <v>3044</v>
      </c>
      <c r="F581" s="63" t="s">
        <v>6</v>
      </c>
      <c r="G581" s="67" t="s">
        <v>3045</v>
      </c>
      <c r="H581" s="68" t="s">
        <v>3046</v>
      </c>
    </row>
    <row r="582" spans="2:8" x14ac:dyDescent="0.3">
      <c r="B582" s="140">
        <v>46070</v>
      </c>
      <c r="C582" s="103">
        <v>46054</v>
      </c>
      <c r="D582" s="70" t="s">
        <v>2928</v>
      </c>
      <c r="E582" s="70" t="s">
        <v>3044</v>
      </c>
      <c r="F582" s="63" t="s">
        <v>6</v>
      </c>
      <c r="G582" s="69" t="s">
        <v>3047</v>
      </c>
      <c r="H582" s="70" t="s">
        <v>3048</v>
      </c>
    </row>
    <row r="583" spans="2:8" x14ac:dyDescent="0.3">
      <c r="B583" s="140">
        <v>46070</v>
      </c>
      <c r="C583" s="103">
        <v>46054</v>
      </c>
      <c r="D583" s="70" t="s">
        <v>2928</v>
      </c>
      <c r="E583" s="70" t="s">
        <v>3044</v>
      </c>
      <c r="F583" s="63" t="s">
        <v>6</v>
      </c>
      <c r="G583" s="69" t="s">
        <v>3049</v>
      </c>
      <c r="H583" s="70" t="s">
        <v>3050</v>
      </c>
    </row>
    <row r="584" spans="2:8" x14ac:dyDescent="0.3">
      <c r="B584" s="140">
        <v>46071</v>
      </c>
      <c r="C584" s="103">
        <v>46054</v>
      </c>
      <c r="D584" s="70" t="s">
        <v>2928</v>
      </c>
      <c r="E584" s="70" t="s">
        <v>3044</v>
      </c>
      <c r="F584" s="63" t="s">
        <v>6</v>
      </c>
      <c r="G584" s="69" t="s">
        <v>3051</v>
      </c>
      <c r="H584" s="70" t="s">
        <v>3052</v>
      </c>
    </row>
    <row r="585" spans="2:8" x14ac:dyDescent="0.3">
      <c r="B585" s="140">
        <v>46071</v>
      </c>
      <c r="C585" s="103">
        <v>46054</v>
      </c>
      <c r="D585" s="70" t="s">
        <v>2928</v>
      </c>
      <c r="E585" s="70" t="s">
        <v>3044</v>
      </c>
      <c r="F585" s="63" t="s">
        <v>6</v>
      </c>
      <c r="G585" s="67" t="s">
        <v>3045</v>
      </c>
      <c r="H585" s="68" t="s">
        <v>3046</v>
      </c>
    </row>
    <row r="586" spans="2:8" x14ac:dyDescent="0.3">
      <c r="B586" s="140">
        <v>46071</v>
      </c>
      <c r="C586" s="103">
        <v>46054</v>
      </c>
      <c r="D586" s="70" t="s">
        <v>2928</v>
      </c>
      <c r="E586" s="70" t="s">
        <v>3044</v>
      </c>
      <c r="F586" s="63" t="s">
        <v>6</v>
      </c>
      <c r="G586" s="69" t="s">
        <v>3047</v>
      </c>
      <c r="H586" s="70" t="s">
        <v>3048</v>
      </c>
    </row>
    <row r="587" spans="2:8" x14ac:dyDescent="0.3">
      <c r="B587" s="140">
        <v>46071</v>
      </c>
      <c r="C587" s="103">
        <v>46054</v>
      </c>
      <c r="D587" s="70" t="s">
        <v>2928</v>
      </c>
      <c r="E587" s="70" t="s">
        <v>3044</v>
      </c>
      <c r="F587" s="63" t="s">
        <v>6</v>
      </c>
      <c r="G587" s="69" t="s">
        <v>3049</v>
      </c>
      <c r="H587" s="70" t="s">
        <v>3050</v>
      </c>
    </row>
    <row r="588" spans="2:8" x14ac:dyDescent="0.3">
      <c r="B588" s="140">
        <v>46072</v>
      </c>
      <c r="C588" s="103">
        <v>46054</v>
      </c>
      <c r="D588" s="70" t="s">
        <v>2928</v>
      </c>
      <c r="E588" s="70" t="s">
        <v>3044</v>
      </c>
      <c r="F588" s="63" t="s">
        <v>6</v>
      </c>
      <c r="G588" s="69" t="s">
        <v>3051</v>
      </c>
      <c r="H588" s="70" t="s">
        <v>3052</v>
      </c>
    </row>
    <row r="589" spans="2:8" x14ac:dyDescent="0.3">
      <c r="B589" s="140">
        <v>46072</v>
      </c>
      <c r="C589" s="103">
        <v>46054</v>
      </c>
      <c r="D589" s="70" t="s">
        <v>2928</v>
      </c>
      <c r="E589" s="70" t="s">
        <v>3044</v>
      </c>
      <c r="F589" s="63" t="s">
        <v>6</v>
      </c>
      <c r="G589" s="67" t="s">
        <v>3045</v>
      </c>
      <c r="H589" s="68" t="s">
        <v>3046</v>
      </c>
    </row>
    <row r="590" spans="2:8" x14ac:dyDescent="0.3">
      <c r="B590" s="140">
        <v>46072</v>
      </c>
      <c r="C590" s="103">
        <v>46054</v>
      </c>
      <c r="D590" s="70" t="s">
        <v>2928</v>
      </c>
      <c r="E590" s="70" t="s">
        <v>3044</v>
      </c>
      <c r="F590" s="63" t="s">
        <v>6</v>
      </c>
      <c r="G590" s="69" t="s">
        <v>3047</v>
      </c>
      <c r="H590" s="70" t="s">
        <v>3048</v>
      </c>
    </row>
    <row r="591" spans="2:8" x14ac:dyDescent="0.3">
      <c r="B591" s="140">
        <v>46072</v>
      </c>
      <c r="C591" s="103">
        <v>46054</v>
      </c>
      <c r="D591" s="70" t="s">
        <v>2928</v>
      </c>
      <c r="E591" s="70" t="s">
        <v>3044</v>
      </c>
      <c r="F591" s="63" t="s">
        <v>6</v>
      </c>
      <c r="G591" s="69" t="s">
        <v>3049</v>
      </c>
      <c r="H591" s="70" t="s">
        <v>3050</v>
      </c>
    </row>
    <row r="592" spans="2:8" x14ac:dyDescent="0.3">
      <c r="B592" s="140">
        <v>46073</v>
      </c>
      <c r="C592" s="103">
        <v>46054</v>
      </c>
      <c r="D592" s="70" t="s">
        <v>2928</v>
      </c>
      <c r="E592" s="70" t="s">
        <v>3044</v>
      </c>
      <c r="F592" s="63" t="s">
        <v>6</v>
      </c>
      <c r="G592" s="69" t="s">
        <v>3051</v>
      </c>
      <c r="H592" s="70" t="s">
        <v>3052</v>
      </c>
    </row>
    <row r="593" spans="2:8" x14ac:dyDescent="0.3">
      <c r="B593" s="140">
        <v>46073</v>
      </c>
      <c r="C593" s="103">
        <v>46054</v>
      </c>
      <c r="D593" s="70" t="s">
        <v>2928</v>
      </c>
      <c r="E593" s="70" t="s">
        <v>3044</v>
      </c>
      <c r="F593" s="63" t="s">
        <v>6</v>
      </c>
      <c r="G593" s="67" t="s">
        <v>3045</v>
      </c>
      <c r="H593" s="68" t="s">
        <v>3046</v>
      </c>
    </row>
    <row r="594" spans="2:8" x14ac:dyDescent="0.3">
      <c r="B594" s="140">
        <v>46073</v>
      </c>
      <c r="C594" s="103">
        <v>46054</v>
      </c>
      <c r="D594" s="70" t="s">
        <v>2928</v>
      </c>
      <c r="E594" s="70" t="s">
        <v>3044</v>
      </c>
      <c r="F594" s="63" t="s">
        <v>6</v>
      </c>
      <c r="G594" s="69" t="s">
        <v>3047</v>
      </c>
      <c r="H594" s="70" t="s">
        <v>3048</v>
      </c>
    </row>
    <row r="595" spans="2:8" x14ac:dyDescent="0.3">
      <c r="B595" s="140">
        <v>46073</v>
      </c>
      <c r="C595" s="103">
        <v>46054</v>
      </c>
      <c r="D595" s="70" t="s">
        <v>2928</v>
      </c>
      <c r="E595" s="70" t="s">
        <v>3044</v>
      </c>
      <c r="F595" s="63" t="s">
        <v>6</v>
      </c>
      <c r="G595" s="69" t="s">
        <v>3049</v>
      </c>
      <c r="H595" s="70" t="s">
        <v>3050</v>
      </c>
    </row>
    <row r="596" spans="2:8" x14ac:dyDescent="0.3">
      <c r="B596" s="140">
        <v>46076</v>
      </c>
      <c r="C596" s="103">
        <v>46054</v>
      </c>
      <c r="D596" s="70" t="s">
        <v>2928</v>
      </c>
      <c r="E596" s="70" t="s">
        <v>3044</v>
      </c>
      <c r="F596" s="63" t="s">
        <v>6</v>
      </c>
      <c r="G596" s="69" t="s">
        <v>3051</v>
      </c>
      <c r="H596" s="70" t="s">
        <v>3052</v>
      </c>
    </row>
    <row r="597" spans="2:8" x14ac:dyDescent="0.3">
      <c r="B597" s="140">
        <v>46076</v>
      </c>
      <c r="C597" s="103">
        <v>46054</v>
      </c>
      <c r="D597" s="70" t="s">
        <v>2928</v>
      </c>
      <c r="E597" s="70" t="s">
        <v>3044</v>
      </c>
      <c r="F597" s="63" t="s">
        <v>6</v>
      </c>
      <c r="G597" s="67" t="s">
        <v>3045</v>
      </c>
      <c r="H597" s="68" t="s">
        <v>3046</v>
      </c>
    </row>
    <row r="598" spans="2:8" x14ac:dyDescent="0.3">
      <c r="B598" s="140">
        <v>46076</v>
      </c>
      <c r="C598" s="103">
        <v>46054</v>
      </c>
      <c r="D598" s="70" t="s">
        <v>2928</v>
      </c>
      <c r="E598" s="70" t="s">
        <v>3044</v>
      </c>
      <c r="F598" s="63" t="s">
        <v>6</v>
      </c>
      <c r="G598" s="69" t="s">
        <v>3047</v>
      </c>
      <c r="H598" s="70" t="s">
        <v>3048</v>
      </c>
    </row>
    <row r="599" spans="2:8" x14ac:dyDescent="0.3">
      <c r="B599" s="140">
        <v>46076</v>
      </c>
      <c r="C599" s="103">
        <v>46054</v>
      </c>
      <c r="D599" s="70" t="s">
        <v>2928</v>
      </c>
      <c r="E599" s="70" t="s">
        <v>3044</v>
      </c>
      <c r="F599" s="63" t="s">
        <v>6</v>
      </c>
      <c r="G599" s="69" t="s">
        <v>3049</v>
      </c>
      <c r="H599" s="70" t="s">
        <v>3050</v>
      </c>
    </row>
    <row r="600" spans="2:8" x14ac:dyDescent="0.3">
      <c r="B600" s="140">
        <v>46077</v>
      </c>
      <c r="C600" s="103">
        <v>46054</v>
      </c>
      <c r="D600" s="70" t="s">
        <v>2928</v>
      </c>
      <c r="E600" s="70" t="s">
        <v>3044</v>
      </c>
      <c r="F600" s="63" t="s">
        <v>6</v>
      </c>
      <c r="G600" s="69" t="s">
        <v>3051</v>
      </c>
      <c r="H600" s="70" t="s">
        <v>3052</v>
      </c>
    </row>
    <row r="601" spans="2:8" x14ac:dyDescent="0.3">
      <c r="B601" s="140">
        <v>46077</v>
      </c>
      <c r="C601" s="103">
        <v>46054</v>
      </c>
      <c r="D601" s="70" t="s">
        <v>2928</v>
      </c>
      <c r="E601" s="70" t="s">
        <v>3044</v>
      </c>
      <c r="F601" s="63" t="s">
        <v>6</v>
      </c>
      <c r="G601" s="67" t="s">
        <v>3045</v>
      </c>
      <c r="H601" s="68" t="s">
        <v>3046</v>
      </c>
    </row>
    <row r="602" spans="2:8" x14ac:dyDescent="0.3">
      <c r="B602" s="140">
        <v>46077</v>
      </c>
      <c r="C602" s="103">
        <v>46054</v>
      </c>
      <c r="D602" s="70" t="s">
        <v>2928</v>
      </c>
      <c r="E602" s="70" t="s">
        <v>3044</v>
      </c>
      <c r="F602" s="63" t="s">
        <v>6</v>
      </c>
      <c r="G602" s="69" t="s">
        <v>3047</v>
      </c>
      <c r="H602" s="70" t="s">
        <v>3048</v>
      </c>
    </row>
    <row r="603" spans="2:8" x14ac:dyDescent="0.3">
      <c r="B603" s="140">
        <v>46077</v>
      </c>
      <c r="C603" s="103">
        <v>46054</v>
      </c>
      <c r="D603" s="70" t="s">
        <v>2928</v>
      </c>
      <c r="E603" s="70" t="s">
        <v>3044</v>
      </c>
      <c r="F603" s="63" t="s">
        <v>6</v>
      </c>
      <c r="G603" s="69" t="s">
        <v>3049</v>
      </c>
      <c r="H603" s="70" t="s">
        <v>3050</v>
      </c>
    </row>
    <row r="604" spans="2:8" x14ac:dyDescent="0.3">
      <c r="B604" s="140">
        <v>46078</v>
      </c>
      <c r="C604" s="103">
        <v>46054</v>
      </c>
      <c r="D604" s="70" t="s">
        <v>2928</v>
      </c>
      <c r="E604" s="70" t="s">
        <v>3044</v>
      </c>
      <c r="F604" s="63" t="s">
        <v>6</v>
      </c>
      <c r="G604" s="69" t="s">
        <v>3051</v>
      </c>
      <c r="H604" s="70" t="s">
        <v>3052</v>
      </c>
    </row>
    <row r="605" spans="2:8" x14ac:dyDescent="0.3">
      <c r="B605" s="140">
        <v>46078</v>
      </c>
      <c r="C605" s="103">
        <v>46054</v>
      </c>
      <c r="D605" s="70" t="s">
        <v>2928</v>
      </c>
      <c r="E605" s="70" t="s">
        <v>3044</v>
      </c>
      <c r="F605" s="63" t="s">
        <v>6</v>
      </c>
      <c r="G605" s="67" t="s">
        <v>3045</v>
      </c>
      <c r="H605" s="68" t="s">
        <v>3046</v>
      </c>
    </row>
    <row r="606" spans="2:8" x14ac:dyDescent="0.3">
      <c r="B606" s="140">
        <v>46078</v>
      </c>
      <c r="C606" s="103">
        <v>46054</v>
      </c>
      <c r="D606" s="70" t="s">
        <v>2928</v>
      </c>
      <c r="E606" s="70" t="s">
        <v>3044</v>
      </c>
      <c r="F606" s="63" t="s">
        <v>6</v>
      </c>
      <c r="G606" s="69" t="s">
        <v>3047</v>
      </c>
      <c r="H606" s="70" t="s">
        <v>3048</v>
      </c>
    </row>
    <row r="607" spans="2:8" x14ac:dyDescent="0.3">
      <c r="B607" s="140">
        <v>46078</v>
      </c>
      <c r="C607" s="103">
        <v>46054</v>
      </c>
      <c r="D607" s="70" t="s">
        <v>2928</v>
      </c>
      <c r="E607" s="70" t="s">
        <v>3044</v>
      </c>
      <c r="F607" s="63" t="s">
        <v>6</v>
      </c>
      <c r="G607" s="69" t="s">
        <v>3049</v>
      </c>
      <c r="H607" s="70" t="s">
        <v>3050</v>
      </c>
    </row>
    <row r="608" spans="2:8" x14ac:dyDescent="0.3">
      <c r="B608" s="140">
        <v>46079</v>
      </c>
      <c r="C608" s="103">
        <v>46054</v>
      </c>
      <c r="D608" s="70" t="s">
        <v>2928</v>
      </c>
      <c r="E608" s="70" t="s">
        <v>3044</v>
      </c>
      <c r="F608" s="63" t="s">
        <v>6</v>
      </c>
      <c r="G608" s="69" t="s">
        <v>3051</v>
      </c>
      <c r="H608" s="70" t="s">
        <v>3052</v>
      </c>
    </row>
    <row r="609" spans="2:8" x14ac:dyDescent="0.3">
      <c r="B609" s="140">
        <v>46079</v>
      </c>
      <c r="C609" s="103">
        <v>46054</v>
      </c>
      <c r="D609" s="70" t="s">
        <v>2928</v>
      </c>
      <c r="E609" s="70" t="s">
        <v>3044</v>
      </c>
      <c r="F609" s="63" t="s">
        <v>6</v>
      </c>
      <c r="G609" s="67" t="s">
        <v>3045</v>
      </c>
      <c r="H609" s="68" t="s">
        <v>3046</v>
      </c>
    </row>
    <row r="610" spans="2:8" x14ac:dyDescent="0.3">
      <c r="B610" s="140">
        <v>46079</v>
      </c>
      <c r="C610" s="103">
        <v>46054</v>
      </c>
      <c r="D610" s="70" t="s">
        <v>2928</v>
      </c>
      <c r="E610" s="70" t="s">
        <v>3044</v>
      </c>
      <c r="F610" s="63" t="s">
        <v>6</v>
      </c>
      <c r="G610" s="69" t="s">
        <v>3047</v>
      </c>
      <c r="H610" s="70" t="s">
        <v>3048</v>
      </c>
    </row>
    <row r="611" spans="2:8" x14ac:dyDescent="0.3">
      <c r="B611" s="140">
        <v>46079</v>
      </c>
      <c r="C611" s="103">
        <v>46054</v>
      </c>
      <c r="D611" s="70" t="s">
        <v>2928</v>
      </c>
      <c r="E611" s="70" t="s">
        <v>3044</v>
      </c>
      <c r="F611" s="63" t="s">
        <v>6</v>
      </c>
      <c r="G611" s="69" t="s">
        <v>3049</v>
      </c>
      <c r="H611" s="70" t="s">
        <v>3050</v>
      </c>
    </row>
    <row r="612" spans="2:8" x14ac:dyDescent="0.3">
      <c r="B612" s="140">
        <v>46080</v>
      </c>
      <c r="C612" s="103">
        <v>46054</v>
      </c>
      <c r="D612" s="70" t="s">
        <v>2928</v>
      </c>
      <c r="E612" s="70" t="s">
        <v>3044</v>
      </c>
      <c r="F612" s="63" t="s">
        <v>6</v>
      </c>
      <c r="G612" s="69" t="s">
        <v>3051</v>
      </c>
      <c r="H612" s="70" t="s">
        <v>3052</v>
      </c>
    </row>
    <row r="613" spans="2:8" x14ac:dyDescent="0.3">
      <c r="B613" s="140">
        <v>46080</v>
      </c>
      <c r="C613" s="103">
        <v>46054</v>
      </c>
      <c r="D613" s="70" t="s">
        <v>2928</v>
      </c>
      <c r="E613" s="70" t="s">
        <v>3044</v>
      </c>
      <c r="F613" s="63" t="s">
        <v>6</v>
      </c>
      <c r="G613" s="67" t="s">
        <v>3045</v>
      </c>
      <c r="H613" s="68" t="s">
        <v>3046</v>
      </c>
    </row>
    <row r="614" spans="2:8" x14ac:dyDescent="0.3">
      <c r="B614" s="140">
        <v>46080</v>
      </c>
      <c r="C614" s="103">
        <v>46054</v>
      </c>
      <c r="D614" s="70" t="s">
        <v>2928</v>
      </c>
      <c r="E614" s="70" t="s">
        <v>3044</v>
      </c>
      <c r="F614" s="63" t="s">
        <v>6</v>
      </c>
      <c r="G614" s="69" t="s">
        <v>3047</v>
      </c>
      <c r="H614" s="70" t="s">
        <v>3048</v>
      </c>
    </row>
    <row r="615" spans="2:8" x14ac:dyDescent="0.3">
      <c r="B615" s="140">
        <v>46080</v>
      </c>
      <c r="C615" s="103">
        <v>46054</v>
      </c>
      <c r="D615" s="70" t="s">
        <v>2928</v>
      </c>
      <c r="E615" s="70" t="s">
        <v>3044</v>
      </c>
      <c r="F615" s="63" t="s">
        <v>6</v>
      </c>
      <c r="G615" s="69" t="s">
        <v>3049</v>
      </c>
      <c r="H615" s="70" t="s">
        <v>3050</v>
      </c>
    </row>
    <row r="616" spans="2:8" x14ac:dyDescent="0.3">
      <c r="B616" s="140">
        <v>46083</v>
      </c>
      <c r="C616" s="103">
        <v>46082</v>
      </c>
      <c r="D616" s="70" t="s">
        <v>2928</v>
      </c>
      <c r="E616" s="70" t="s">
        <v>3044</v>
      </c>
      <c r="F616" s="47" t="s">
        <v>6</v>
      </c>
      <c r="G616" s="67" t="s">
        <v>2949</v>
      </c>
      <c r="H616" s="67" t="s">
        <v>2950</v>
      </c>
    </row>
    <row r="617" spans="2:8" x14ac:dyDescent="0.3">
      <c r="B617" s="140">
        <v>46083</v>
      </c>
      <c r="C617" s="103">
        <v>46082</v>
      </c>
      <c r="D617" s="70" t="s">
        <v>2928</v>
      </c>
      <c r="E617" s="70" t="s">
        <v>3044</v>
      </c>
      <c r="F617" s="63" t="s">
        <v>6</v>
      </c>
      <c r="G617" s="69" t="s">
        <v>3051</v>
      </c>
      <c r="H617" s="70" t="s">
        <v>3052</v>
      </c>
    </row>
    <row r="618" spans="2:8" x14ac:dyDescent="0.3">
      <c r="B618" s="140">
        <v>46083</v>
      </c>
      <c r="C618" s="103">
        <v>46082</v>
      </c>
      <c r="D618" s="70" t="s">
        <v>2928</v>
      </c>
      <c r="E618" s="70" t="s">
        <v>3044</v>
      </c>
      <c r="F618" s="63" t="s">
        <v>6</v>
      </c>
      <c r="G618" s="67" t="s">
        <v>3045</v>
      </c>
      <c r="H618" s="68" t="s">
        <v>3046</v>
      </c>
    </row>
    <row r="619" spans="2:8" x14ac:dyDescent="0.3">
      <c r="B619" s="140">
        <v>46083</v>
      </c>
      <c r="C619" s="103">
        <v>46082</v>
      </c>
      <c r="D619" s="70" t="s">
        <v>2928</v>
      </c>
      <c r="E619" s="70" t="s">
        <v>3044</v>
      </c>
      <c r="F619" s="63" t="s">
        <v>6</v>
      </c>
      <c r="G619" s="69" t="s">
        <v>3047</v>
      </c>
      <c r="H619" s="70" t="s">
        <v>3048</v>
      </c>
    </row>
    <row r="620" spans="2:8" x14ac:dyDescent="0.3">
      <c r="B620" s="140">
        <v>46083</v>
      </c>
      <c r="C620" s="103">
        <v>46082</v>
      </c>
      <c r="D620" s="70" t="s">
        <v>2928</v>
      </c>
      <c r="E620" s="70" t="s">
        <v>3044</v>
      </c>
      <c r="F620" s="63" t="s">
        <v>6</v>
      </c>
      <c r="G620" s="69" t="s">
        <v>3049</v>
      </c>
      <c r="H620" s="70" t="s">
        <v>3050</v>
      </c>
    </row>
    <row r="621" spans="2:8" x14ac:dyDescent="0.3">
      <c r="B621" s="140">
        <v>46083</v>
      </c>
      <c r="C621" s="103">
        <v>46082</v>
      </c>
      <c r="D621" s="70" t="s">
        <v>2928</v>
      </c>
      <c r="E621" s="70" t="s">
        <v>3044</v>
      </c>
      <c r="F621" s="107" t="s">
        <v>325</v>
      </c>
      <c r="G621" s="98" t="s">
        <v>3150</v>
      </c>
      <c r="H621" s="101" t="s">
        <v>3151</v>
      </c>
    </row>
    <row r="622" spans="2:8" x14ac:dyDescent="0.3">
      <c r="B622" s="140">
        <v>46084</v>
      </c>
      <c r="C622" s="103">
        <v>46082</v>
      </c>
      <c r="D622" s="70" t="s">
        <v>2928</v>
      </c>
      <c r="E622" s="70" t="s">
        <v>3044</v>
      </c>
      <c r="F622" s="47" t="s">
        <v>6</v>
      </c>
      <c r="G622" s="67" t="s">
        <v>2949</v>
      </c>
      <c r="H622" s="67" t="s">
        <v>2950</v>
      </c>
    </row>
    <row r="623" spans="2:8" x14ac:dyDescent="0.3">
      <c r="B623" s="140">
        <v>46084</v>
      </c>
      <c r="C623" s="103">
        <v>46082</v>
      </c>
      <c r="D623" s="70" t="s">
        <v>2928</v>
      </c>
      <c r="E623" s="70" t="s">
        <v>3044</v>
      </c>
      <c r="F623" s="63" t="s">
        <v>6</v>
      </c>
      <c r="G623" s="69" t="s">
        <v>3051</v>
      </c>
      <c r="H623" s="70" t="s">
        <v>3052</v>
      </c>
    </row>
    <row r="624" spans="2:8" x14ac:dyDescent="0.3">
      <c r="B624" s="140">
        <v>46084</v>
      </c>
      <c r="C624" s="103">
        <v>46082</v>
      </c>
      <c r="D624" s="70" t="s">
        <v>2928</v>
      </c>
      <c r="E624" s="70" t="s">
        <v>3044</v>
      </c>
      <c r="F624" s="63" t="s">
        <v>6</v>
      </c>
      <c r="G624" s="67" t="s">
        <v>3045</v>
      </c>
      <c r="H624" s="68" t="s">
        <v>3046</v>
      </c>
    </row>
    <row r="625" spans="2:8" x14ac:dyDescent="0.3">
      <c r="B625" s="140">
        <v>46084</v>
      </c>
      <c r="C625" s="103">
        <v>46082</v>
      </c>
      <c r="D625" s="70" t="s">
        <v>2928</v>
      </c>
      <c r="E625" s="70" t="s">
        <v>3044</v>
      </c>
      <c r="F625" s="63" t="s">
        <v>6</v>
      </c>
      <c r="G625" s="69" t="s">
        <v>3047</v>
      </c>
      <c r="H625" s="70" t="s">
        <v>3048</v>
      </c>
    </row>
    <row r="626" spans="2:8" x14ac:dyDescent="0.3">
      <c r="B626" s="140">
        <v>46084</v>
      </c>
      <c r="C626" s="103">
        <v>46082</v>
      </c>
      <c r="D626" s="70" t="s">
        <v>2928</v>
      </c>
      <c r="E626" s="70" t="s">
        <v>3044</v>
      </c>
      <c r="F626" s="63" t="s">
        <v>6</v>
      </c>
      <c r="G626" s="69" t="s">
        <v>3049</v>
      </c>
      <c r="H626" s="70" t="s">
        <v>3050</v>
      </c>
    </row>
    <row r="627" spans="2:8" x14ac:dyDescent="0.3">
      <c r="B627" s="140">
        <v>46084</v>
      </c>
      <c r="C627" s="103">
        <v>46082</v>
      </c>
      <c r="D627" s="70" t="s">
        <v>2928</v>
      </c>
      <c r="E627" s="70" t="s">
        <v>3044</v>
      </c>
      <c r="F627" s="107" t="s">
        <v>325</v>
      </c>
      <c r="G627" s="98" t="s">
        <v>3152</v>
      </c>
      <c r="H627" s="101" t="s">
        <v>3151</v>
      </c>
    </row>
    <row r="628" spans="2:8" x14ac:dyDescent="0.3">
      <c r="B628" s="140">
        <v>46085</v>
      </c>
      <c r="C628" s="103">
        <v>46082</v>
      </c>
      <c r="D628" s="70" t="s">
        <v>2928</v>
      </c>
      <c r="E628" s="70" t="s">
        <v>3044</v>
      </c>
      <c r="F628" s="47" t="s">
        <v>6</v>
      </c>
      <c r="G628" s="67" t="s">
        <v>2949</v>
      </c>
      <c r="H628" s="67" t="s">
        <v>2950</v>
      </c>
    </row>
    <row r="629" spans="2:8" x14ac:dyDescent="0.3">
      <c r="B629" s="140">
        <v>46085</v>
      </c>
      <c r="C629" s="103">
        <v>46082</v>
      </c>
      <c r="D629" s="70" t="s">
        <v>2928</v>
      </c>
      <c r="E629" s="70" t="s">
        <v>3044</v>
      </c>
      <c r="F629" s="63" t="s">
        <v>6</v>
      </c>
      <c r="G629" s="69" t="s">
        <v>3051</v>
      </c>
      <c r="H629" s="70" t="s">
        <v>3052</v>
      </c>
    </row>
    <row r="630" spans="2:8" x14ac:dyDescent="0.3">
      <c r="B630" s="140">
        <v>46085</v>
      </c>
      <c r="C630" s="103">
        <v>46082</v>
      </c>
      <c r="D630" s="70" t="s">
        <v>2928</v>
      </c>
      <c r="E630" s="70" t="s">
        <v>3044</v>
      </c>
      <c r="F630" s="63" t="s">
        <v>6</v>
      </c>
      <c r="G630" s="67" t="s">
        <v>3045</v>
      </c>
      <c r="H630" s="68" t="s">
        <v>3046</v>
      </c>
    </row>
    <row r="631" spans="2:8" x14ac:dyDescent="0.3">
      <c r="B631" s="140">
        <v>46085</v>
      </c>
      <c r="C631" s="103">
        <v>46082</v>
      </c>
      <c r="D631" s="70" t="s">
        <v>2928</v>
      </c>
      <c r="E631" s="70" t="s">
        <v>3044</v>
      </c>
      <c r="F631" s="63" t="s">
        <v>6</v>
      </c>
      <c r="G631" s="69" t="s">
        <v>3047</v>
      </c>
      <c r="H631" s="70" t="s">
        <v>3048</v>
      </c>
    </row>
    <row r="632" spans="2:8" x14ac:dyDescent="0.3">
      <c r="B632" s="140">
        <v>46085</v>
      </c>
      <c r="C632" s="103">
        <v>46082</v>
      </c>
      <c r="D632" s="70" t="s">
        <v>2928</v>
      </c>
      <c r="E632" s="70" t="s">
        <v>3044</v>
      </c>
      <c r="F632" s="63" t="s">
        <v>6</v>
      </c>
      <c r="G632" s="69" t="s">
        <v>3049</v>
      </c>
      <c r="H632" s="70" t="s">
        <v>3050</v>
      </c>
    </row>
    <row r="633" spans="2:8" x14ac:dyDescent="0.3">
      <c r="B633" s="140">
        <v>46086</v>
      </c>
      <c r="C633" s="103">
        <v>46082</v>
      </c>
      <c r="D633" s="70" t="s">
        <v>2928</v>
      </c>
      <c r="E633" s="70" t="s">
        <v>3044</v>
      </c>
      <c r="F633" s="47" t="s">
        <v>6</v>
      </c>
      <c r="G633" s="67" t="s">
        <v>2949</v>
      </c>
      <c r="H633" s="67" t="s">
        <v>2950</v>
      </c>
    </row>
    <row r="634" spans="2:8" x14ac:dyDescent="0.3">
      <c r="B634" s="140">
        <v>46086</v>
      </c>
      <c r="C634" s="103">
        <v>46082</v>
      </c>
      <c r="D634" s="70" t="s">
        <v>2928</v>
      </c>
      <c r="E634" s="70" t="s">
        <v>3044</v>
      </c>
      <c r="F634" s="63" t="s">
        <v>6</v>
      </c>
      <c r="G634" s="69" t="s">
        <v>3051</v>
      </c>
      <c r="H634" s="70" t="s">
        <v>3052</v>
      </c>
    </row>
    <row r="635" spans="2:8" x14ac:dyDescent="0.3">
      <c r="B635" s="140">
        <v>46086</v>
      </c>
      <c r="C635" s="103">
        <v>46082</v>
      </c>
      <c r="D635" s="70" t="s">
        <v>2928</v>
      </c>
      <c r="E635" s="70" t="s">
        <v>3044</v>
      </c>
      <c r="F635" s="63" t="s">
        <v>6</v>
      </c>
      <c r="G635" s="67" t="s">
        <v>3045</v>
      </c>
      <c r="H635" s="68" t="s">
        <v>3046</v>
      </c>
    </row>
    <row r="636" spans="2:8" x14ac:dyDescent="0.3">
      <c r="B636" s="140">
        <v>46086</v>
      </c>
      <c r="C636" s="103">
        <v>46082</v>
      </c>
      <c r="D636" s="70" t="s">
        <v>2928</v>
      </c>
      <c r="E636" s="70" t="s">
        <v>3044</v>
      </c>
      <c r="F636" s="63" t="s">
        <v>6</v>
      </c>
      <c r="G636" s="69" t="s">
        <v>3047</v>
      </c>
      <c r="H636" s="70" t="s">
        <v>3048</v>
      </c>
    </row>
    <row r="637" spans="2:8" x14ac:dyDescent="0.3">
      <c r="B637" s="140">
        <v>46086</v>
      </c>
      <c r="C637" s="103">
        <v>46082</v>
      </c>
      <c r="D637" s="70" t="s">
        <v>2928</v>
      </c>
      <c r="E637" s="70" t="s">
        <v>3044</v>
      </c>
      <c r="F637" s="63" t="s">
        <v>6</v>
      </c>
      <c r="G637" s="69" t="s">
        <v>3049</v>
      </c>
      <c r="H637" s="70" t="s">
        <v>3050</v>
      </c>
    </row>
    <row r="638" spans="2:8" x14ac:dyDescent="0.3">
      <c r="B638" s="140">
        <v>46086</v>
      </c>
      <c r="C638" s="103">
        <v>46082</v>
      </c>
      <c r="D638" s="70" t="s">
        <v>2928</v>
      </c>
      <c r="E638" s="70" t="s">
        <v>3044</v>
      </c>
      <c r="F638" s="107" t="s">
        <v>325</v>
      </c>
      <c r="G638" s="98" t="s">
        <v>3153</v>
      </c>
      <c r="H638" s="101" t="s">
        <v>3154</v>
      </c>
    </row>
    <row r="639" spans="2:8" x14ac:dyDescent="0.3">
      <c r="B639" s="140">
        <v>46087</v>
      </c>
      <c r="C639" s="103">
        <v>46082</v>
      </c>
      <c r="D639" s="70" t="s">
        <v>2928</v>
      </c>
      <c r="E639" s="70" t="s">
        <v>3044</v>
      </c>
      <c r="F639" s="47" t="s">
        <v>6</v>
      </c>
      <c r="G639" s="67" t="s">
        <v>2949</v>
      </c>
      <c r="H639" s="67" t="s">
        <v>2950</v>
      </c>
    </row>
    <row r="640" spans="2:8" x14ac:dyDescent="0.3">
      <c r="B640" s="140">
        <v>46087</v>
      </c>
      <c r="C640" s="103">
        <v>46082</v>
      </c>
      <c r="D640" s="70" t="s">
        <v>2928</v>
      </c>
      <c r="E640" s="70" t="s">
        <v>3044</v>
      </c>
      <c r="F640" s="63" t="s">
        <v>6</v>
      </c>
      <c r="G640" s="69" t="s">
        <v>3051</v>
      </c>
      <c r="H640" s="70" t="s">
        <v>3052</v>
      </c>
    </row>
    <row r="641" spans="2:10" x14ac:dyDescent="0.3">
      <c r="B641" s="140">
        <v>46087</v>
      </c>
      <c r="C641" s="103">
        <v>46082</v>
      </c>
      <c r="D641" s="70" t="s">
        <v>2928</v>
      </c>
      <c r="E641" s="70" t="s">
        <v>3044</v>
      </c>
      <c r="F641" s="63" t="s">
        <v>6</v>
      </c>
      <c r="G641" s="67" t="s">
        <v>3045</v>
      </c>
      <c r="H641" s="68" t="s">
        <v>3046</v>
      </c>
    </row>
    <row r="642" spans="2:10" x14ac:dyDescent="0.3">
      <c r="B642" s="140">
        <v>46087</v>
      </c>
      <c r="C642" s="103">
        <v>46082</v>
      </c>
      <c r="D642" s="70" t="s">
        <v>2928</v>
      </c>
      <c r="E642" s="70" t="s">
        <v>3044</v>
      </c>
      <c r="F642" s="63" t="s">
        <v>6</v>
      </c>
      <c r="G642" s="69" t="s">
        <v>3047</v>
      </c>
      <c r="H642" s="70" t="s">
        <v>3048</v>
      </c>
    </row>
    <row r="643" spans="2:10" x14ac:dyDescent="0.3">
      <c r="B643" s="140">
        <v>46087</v>
      </c>
      <c r="C643" s="103">
        <v>46082</v>
      </c>
      <c r="D643" s="70" t="s">
        <v>2928</v>
      </c>
      <c r="E643" s="70" t="s">
        <v>3044</v>
      </c>
      <c r="F643" s="63" t="s">
        <v>6</v>
      </c>
      <c r="G643" s="69" t="s">
        <v>3049</v>
      </c>
      <c r="H643" s="70" t="s">
        <v>3050</v>
      </c>
    </row>
    <row r="644" spans="2:10" x14ac:dyDescent="0.3">
      <c r="B644" s="140">
        <v>46090</v>
      </c>
      <c r="C644" s="103">
        <v>46082</v>
      </c>
      <c r="D644" s="70" t="s">
        <v>2928</v>
      </c>
      <c r="E644" s="70" t="s">
        <v>3044</v>
      </c>
      <c r="F644" s="63" t="s">
        <v>6</v>
      </c>
      <c r="G644" s="69" t="s">
        <v>3051</v>
      </c>
      <c r="H644" s="70" t="s">
        <v>3052</v>
      </c>
    </row>
    <row r="645" spans="2:10" x14ac:dyDescent="0.3">
      <c r="B645" s="140">
        <v>46090</v>
      </c>
      <c r="C645" s="103">
        <v>46082</v>
      </c>
      <c r="D645" s="70" t="s">
        <v>2928</v>
      </c>
      <c r="E645" s="70" t="s">
        <v>3044</v>
      </c>
      <c r="F645" s="63" t="s">
        <v>6</v>
      </c>
      <c r="G645" s="67" t="s">
        <v>3045</v>
      </c>
      <c r="H645" s="68" t="s">
        <v>3046</v>
      </c>
    </row>
    <row r="646" spans="2:10" x14ac:dyDescent="0.3">
      <c r="B646" s="140">
        <v>46090</v>
      </c>
      <c r="C646" s="103">
        <v>46082</v>
      </c>
      <c r="D646" s="70" t="s">
        <v>2928</v>
      </c>
      <c r="E646" s="70" t="s">
        <v>3044</v>
      </c>
      <c r="F646" s="63" t="s">
        <v>6</v>
      </c>
      <c r="G646" s="69" t="s">
        <v>3047</v>
      </c>
      <c r="H646" s="70" t="s">
        <v>3048</v>
      </c>
    </row>
    <row r="647" spans="2:10" x14ac:dyDescent="0.3">
      <c r="B647" s="140">
        <v>46090</v>
      </c>
      <c r="C647" s="103">
        <v>46082</v>
      </c>
      <c r="D647" s="70" t="s">
        <v>2928</v>
      </c>
      <c r="E647" s="70" t="s">
        <v>3044</v>
      </c>
      <c r="F647" s="63" t="s">
        <v>6</v>
      </c>
      <c r="G647" s="69" t="s">
        <v>3049</v>
      </c>
      <c r="H647" s="70" t="s">
        <v>3050</v>
      </c>
    </row>
    <row r="648" spans="2:10" x14ac:dyDescent="0.3">
      <c r="B648" s="140">
        <v>46091</v>
      </c>
      <c r="C648" s="103">
        <v>46082</v>
      </c>
      <c r="D648" s="70" t="s">
        <v>2928</v>
      </c>
      <c r="E648" s="70" t="s">
        <v>3044</v>
      </c>
      <c r="F648" s="63" t="s">
        <v>6</v>
      </c>
      <c r="G648" s="69" t="s">
        <v>3051</v>
      </c>
      <c r="H648" s="70" t="s">
        <v>3052</v>
      </c>
    </row>
    <row r="649" spans="2:10" x14ac:dyDescent="0.3">
      <c r="B649" s="140">
        <v>46091</v>
      </c>
      <c r="C649" s="103">
        <v>46082</v>
      </c>
      <c r="D649" s="70" t="s">
        <v>2928</v>
      </c>
      <c r="E649" s="70" t="s">
        <v>3044</v>
      </c>
      <c r="F649" s="63" t="s">
        <v>6</v>
      </c>
      <c r="G649" s="67" t="s">
        <v>3155</v>
      </c>
      <c r="H649" s="68" t="s">
        <v>3156</v>
      </c>
    </row>
    <row r="650" spans="2:10" x14ac:dyDescent="0.3">
      <c r="B650" s="140">
        <v>46091</v>
      </c>
      <c r="C650" s="103">
        <v>46082</v>
      </c>
      <c r="D650" s="70" t="s">
        <v>2928</v>
      </c>
      <c r="E650" s="70" t="s">
        <v>3044</v>
      </c>
      <c r="F650" s="63" t="s">
        <v>6</v>
      </c>
      <c r="G650" s="67" t="s">
        <v>3045</v>
      </c>
      <c r="H650" s="68" t="s">
        <v>3046</v>
      </c>
    </row>
    <row r="651" spans="2:10" x14ac:dyDescent="0.3">
      <c r="B651" s="140">
        <v>46091</v>
      </c>
      <c r="C651" s="103">
        <v>46082</v>
      </c>
      <c r="D651" s="70" t="s">
        <v>2928</v>
      </c>
      <c r="E651" s="70" t="s">
        <v>3044</v>
      </c>
      <c r="F651" s="63" t="s">
        <v>6</v>
      </c>
      <c r="G651" s="69" t="s">
        <v>3047</v>
      </c>
      <c r="H651" s="70" t="s">
        <v>3048</v>
      </c>
    </row>
    <row r="652" spans="2:10" x14ac:dyDescent="0.3">
      <c r="B652" s="140">
        <v>46091</v>
      </c>
      <c r="C652" s="103">
        <v>46082</v>
      </c>
      <c r="D652" s="70" t="s">
        <v>2928</v>
      </c>
      <c r="E652" s="70" t="s">
        <v>3044</v>
      </c>
      <c r="F652" s="63" t="s">
        <v>6</v>
      </c>
      <c r="G652" s="69" t="s">
        <v>3049</v>
      </c>
      <c r="H652" s="70" t="s">
        <v>3050</v>
      </c>
    </row>
    <row r="653" spans="2:10" x14ac:dyDescent="0.3">
      <c r="B653" s="140">
        <v>46091</v>
      </c>
      <c r="C653" s="103">
        <v>46082</v>
      </c>
      <c r="D653" s="70" t="s">
        <v>2928</v>
      </c>
      <c r="E653" s="70" t="s">
        <v>3044</v>
      </c>
      <c r="F653" s="47" t="s">
        <v>6</v>
      </c>
      <c r="G653" s="67" t="s">
        <v>3146</v>
      </c>
      <c r="H653" s="67" t="s">
        <v>3147</v>
      </c>
    </row>
    <row r="654" spans="2:10" x14ac:dyDescent="0.3">
      <c r="B654" s="140">
        <v>46092</v>
      </c>
      <c r="C654" s="103">
        <v>46082</v>
      </c>
      <c r="D654" s="70" t="s">
        <v>2928</v>
      </c>
      <c r="E654" s="70" t="s">
        <v>3044</v>
      </c>
      <c r="F654" s="63" t="s">
        <v>6</v>
      </c>
      <c r="G654" s="69" t="s">
        <v>3051</v>
      </c>
      <c r="H654" s="342" t="s">
        <v>3052</v>
      </c>
      <c r="I654" s="344" t="s">
        <v>3320</v>
      </c>
      <c r="J654" s="344">
        <v>1</v>
      </c>
    </row>
    <row r="655" spans="2:10" x14ac:dyDescent="0.3">
      <c r="B655" s="140">
        <v>46092</v>
      </c>
      <c r="C655" s="103">
        <v>46082</v>
      </c>
      <c r="D655" s="70" t="s">
        <v>2928</v>
      </c>
      <c r="E655" s="70" t="s">
        <v>3044</v>
      </c>
      <c r="F655" s="63" t="s">
        <v>6</v>
      </c>
      <c r="G655" s="67" t="s">
        <v>3045</v>
      </c>
      <c r="H655" s="68" t="s">
        <v>3046</v>
      </c>
      <c r="I655" s="344" t="s">
        <v>3320</v>
      </c>
      <c r="J655" s="344">
        <v>4</v>
      </c>
    </row>
    <row r="656" spans="2:10" x14ac:dyDescent="0.3">
      <c r="B656" s="140">
        <v>46092</v>
      </c>
      <c r="C656" s="103">
        <v>46082</v>
      </c>
      <c r="D656" s="70" t="s">
        <v>2928</v>
      </c>
      <c r="E656" s="70" t="s">
        <v>3044</v>
      </c>
      <c r="F656" s="63" t="s">
        <v>6</v>
      </c>
      <c r="G656" s="69" t="s">
        <v>3047</v>
      </c>
      <c r="H656" s="70" t="s">
        <v>3048</v>
      </c>
      <c r="I656" s="344" t="s">
        <v>3320</v>
      </c>
      <c r="J656" s="423">
        <v>4</v>
      </c>
    </row>
    <row r="657" spans="2:10" x14ac:dyDescent="0.3">
      <c r="B657" s="140">
        <v>46092</v>
      </c>
      <c r="C657" s="103">
        <v>46082</v>
      </c>
      <c r="D657" s="70" t="s">
        <v>2928</v>
      </c>
      <c r="E657" s="70" t="s">
        <v>3044</v>
      </c>
      <c r="F657" s="63" t="s">
        <v>6</v>
      </c>
      <c r="G657" s="69" t="s">
        <v>3049</v>
      </c>
      <c r="H657" s="70" t="s">
        <v>3050</v>
      </c>
      <c r="I657" s="344" t="s">
        <v>3320</v>
      </c>
      <c r="J657" s="423">
        <v>2</v>
      </c>
    </row>
    <row r="658" spans="2:10" x14ac:dyDescent="0.3">
      <c r="B658" s="140">
        <v>46093</v>
      </c>
      <c r="C658" s="103">
        <v>46082</v>
      </c>
      <c r="D658" s="70" t="s">
        <v>2928</v>
      </c>
      <c r="E658" s="70" t="s">
        <v>3044</v>
      </c>
      <c r="F658" s="63" t="s">
        <v>6</v>
      </c>
      <c r="G658" s="69" t="s">
        <v>3051</v>
      </c>
      <c r="H658" s="70" t="s">
        <v>3052</v>
      </c>
      <c r="I658" s="344" t="s">
        <v>3320</v>
      </c>
      <c r="J658" s="344">
        <v>1</v>
      </c>
    </row>
    <row r="659" spans="2:10" x14ac:dyDescent="0.3">
      <c r="B659" s="140">
        <v>46093</v>
      </c>
      <c r="C659" s="103">
        <v>46082</v>
      </c>
      <c r="D659" s="70" t="s">
        <v>2928</v>
      </c>
      <c r="E659" s="70" t="s">
        <v>3044</v>
      </c>
      <c r="F659" s="63" t="s">
        <v>6</v>
      </c>
      <c r="G659" s="67" t="s">
        <v>3045</v>
      </c>
      <c r="H659" s="68" t="s">
        <v>3046</v>
      </c>
      <c r="I659" s="344" t="s">
        <v>3320</v>
      </c>
      <c r="J659" s="344">
        <v>4</v>
      </c>
    </row>
    <row r="660" spans="2:10" x14ac:dyDescent="0.3">
      <c r="B660" s="140">
        <v>46093</v>
      </c>
      <c r="C660" s="103">
        <v>46082</v>
      </c>
      <c r="D660" s="70" t="s">
        <v>2928</v>
      </c>
      <c r="E660" s="70" t="s">
        <v>3044</v>
      </c>
      <c r="F660" s="63" t="s">
        <v>6</v>
      </c>
      <c r="G660" s="69" t="s">
        <v>3047</v>
      </c>
      <c r="H660" s="70" t="s">
        <v>3048</v>
      </c>
      <c r="I660" s="344" t="s">
        <v>3320</v>
      </c>
      <c r="J660" s="423">
        <v>4</v>
      </c>
    </row>
    <row r="661" spans="2:10" x14ac:dyDescent="0.3">
      <c r="B661" s="140">
        <v>46093</v>
      </c>
      <c r="C661" s="103">
        <v>46082</v>
      </c>
      <c r="D661" s="70" t="s">
        <v>2928</v>
      </c>
      <c r="E661" s="70" t="s">
        <v>3044</v>
      </c>
      <c r="F661" s="63" t="s">
        <v>6</v>
      </c>
      <c r="G661" s="69" t="s">
        <v>3049</v>
      </c>
      <c r="H661" s="70" t="s">
        <v>3050</v>
      </c>
      <c r="I661" s="344" t="s">
        <v>3320</v>
      </c>
      <c r="J661" s="423">
        <v>2</v>
      </c>
    </row>
    <row r="662" spans="2:10" x14ac:dyDescent="0.3">
      <c r="B662" s="140">
        <v>46094</v>
      </c>
      <c r="C662" s="103">
        <v>46082</v>
      </c>
      <c r="D662" s="70" t="s">
        <v>2928</v>
      </c>
      <c r="E662" s="70" t="s">
        <v>3044</v>
      </c>
      <c r="F662" s="63" t="s">
        <v>6</v>
      </c>
      <c r="G662" s="69" t="s">
        <v>3051</v>
      </c>
      <c r="H662" s="70" t="s">
        <v>3052</v>
      </c>
      <c r="I662" s="344" t="s">
        <v>3320</v>
      </c>
      <c r="J662" s="344">
        <v>1</v>
      </c>
    </row>
    <row r="663" spans="2:10" x14ac:dyDescent="0.3">
      <c r="B663" s="140">
        <v>46094</v>
      </c>
      <c r="C663" s="103">
        <v>46082</v>
      </c>
      <c r="D663" s="70" t="s">
        <v>2928</v>
      </c>
      <c r="E663" s="70" t="s">
        <v>3044</v>
      </c>
      <c r="F663" s="63" t="s">
        <v>6</v>
      </c>
      <c r="G663" s="67" t="s">
        <v>3045</v>
      </c>
      <c r="H663" s="68" t="s">
        <v>3046</v>
      </c>
      <c r="I663" s="344" t="s">
        <v>3320</v>
      </c>
      <c r="J663" s="344">
        <v>4</v>
      </c>
    </row>
    <row r="664" spans="2:10" x14ac:dyDescent="0.3">
      <c r="B664" s="140">
        <v>46094</v>
      </c>
      <c r="C664" s="103">
        <v>46082</v>
      </c>
      <c r="D664" s="70" t="s">
        <v>2928</v>
      </c>
      <c r="E664" s="70" t="s">
        <v>3044</v>
      </c>
      <c r="F664" s="63" t="s">
        <v>6</v>
      </c>
      <c r="G664" s="69" t="s">
        <v>3047</v>
      </c>
      <c r="H664" s="70" t="s">
        <v>3048</v>
      </c>
      <c r="I664" s="344" t="s">
        <v>3320</v>
      </c>
      <c r="J664" s="423">
        <v>4</v>
      </c>
    </row>
    <row r="665" spans="2:10" x14ac:dyDescent="0.3">
      <c r="B665" s="140">
        <v>46094</v>
      </c>
      <c r="C665" s="103">
        <v>46082</v>
      </c>
      <c r="D665" s="70" t="s">
        <v>2928</v>
      </c>
      <c r="E665" s="70" t="s">
        <v>3044</v>
      </c>
      <c r="F665" s="63" t="s">
        <v>6</v>
      </c>
      <c r="G665" s="69" t="s">
        <v>3049</v>
      </c>
      <c r="H665" s="70" t="s">
        <v>3050</v>
      </c>
      <c r="I665" s="344" t="s">
        <v>3320</v>
      </c>
      <c r="J665" s="423">
        <v>2</v>
      </c>
    </row>
    <row r="666" spans="2:10" x14ac:dyDescent="0.3">
      <c r="B666" s="140">
        <v>46097</v>
      </c>
      <c r="C666" s="103">
        <v>46082</v>
      </c>
      <c r="D666" s="70" t="s">
        <v>2928</v>
      </c>
      <c r="E666" s="70" t="s">
        <v>3044</v>
      </c>
      <c r="F666" s="63" t="s">
        <v>6</v>
      </c>
      <c r="G666" s="69" t="s">
        <v>3051</v>
      </c>
      <c r="H666" s="70" t="s">
        <v>3052</v>
      </c>
      <c r="I666" s="344" t="s">
        <v>3320</v>
      </c>
      <c r="J666" s="344">
        <v>1</v>
      </c>
    </row>
    <row r="667" spans="2:10" x14ac:dyDescent="0.3">
      <c r="B667" s="140">
        <v>46097</v>
      </c>
      <c r="C667" s="103">
        <v>46082</v>
      </c>
      <c r="D667" s="70" t="s">
        <v>2928</v>
      </c>
      <c r="E667" s="70" t="s">
        <v>3044</v>
      </c>
      <c r="F667" s="63" t="s">
        <v>6</v>
      </c>
      <c r="G667" s="67" t="s">
        <v>3045</v>
      </c>
      <c r="H667" s="68" t="s">
        <v>3046</v>
      </c>
      <c r="I667" s="344" t="s">
        <v>3320</v>
      </c>
      <c r="J667" s="344">
        <v>4</v>
      </c>
    </row>
    <row r="668" spans="2:10" x14ac:dyDescent="0.3">
      <c r="B668" s="140">
        <v>46097</v>
      </c>
      <c r="C668" s="103">
        <v>46082</v>
      </c>
      <c r="D668" s="70" t="s">
        <v>2928</v>
      </c>
      <c r="E668" s="70" t="s">
        <v>3044</v>
      </c>
      <c r="F668" s="63" t="s">
        <v>6</v>
      </c>
      <c r="G668" s="69" t="s">
        <v>3047</v>
      </c>
      <c r="H668" s="70" t="s">
        <v>3048</v>
      </c>
      <c r="I668" s="344" t="s">
        <v>3320</v>
      </c>
      <c r="J668" s="423">
        <v>4</v>
      </c>
    </row>
    <row r="669" spans="2:10" x14ac:dyDescent="0.3">
      <c r="B669" s="140">
        <v>46097</v>
      </c>
      <c r="C669" s="103">
        <v>46082</v>
      </c>
      <c r="D669" s="70" t="s">
        <v>2928</v>
      </c>
      <c r="E669" s="70" t="s">
        <v>3044</v>
      </c>
      <c r="F669" s="63" t="s">
        <v>6</v>
      </c>
      <c r="G669" s="69" t="s">
        <v>3049</v>
      </c>
      <c r="H669" s="70" t="s">
        <v>3050</v>
      </c>
      <c r="I669" s="344" t="s">
        <v>3320</v>
      </c>
      <c r="J669" s="423">
        <v>2</v>
      </c>
    </row>
    <row r="670" spans="2:10" x14ac:dyDescent="0.3">
      <c r="B670" s="140">
        <v>46098</v>
      </c>
      <c r="C670" s="103">
        <v>46082</v>
      </c>
      <c r="D670" s="70" t="s">
        <v>2928</v>
      </c>
      <c r="E670" s="70" t="s">
        <v>3044</v>
      </c>
      <c r="F670" s="63" t="s">
        <v>6</v>
      </c>
      <c r="G670" s="69" t="s">
        <v>3051</v>
      </c>
      <c r="H670" s="70" t="s">
        <v>3052</v>
      </c>
      <c r="I670" s="344" t="s">
        <v>3320</v>
      </c>
      <c r="J670" s="344">
        <v>1</v>
      </c>
    </row>
    <row r="671" spans="2:10" x14ac:dyDescent="0.3">
      <c r="B671" s="140">
        <v>46098</v>
      </c>
      <c r="C671" s="103">
        <v>46082</v>
      </c>
      <c r="D671" s="70" t="s">
        <v>2928</v>
      </c>
      <c r="E671" s="70" t="s">
        <v>3044</v>
      </c>
      <c r="F671" s="63" t="s">
        <v>6</v>
      </c>
      <c r="G671" s="69" t="s">
        <v>3157</v>
      </c>
      <c r="H671" s="70" t="s">
        <v>3158</v>
      </c>
      <c r="I671" s="344" t="s">
        <v>3320</v>
      </c>
      <c r="J671" s="344">
        <v>1</v>
      </c>
    </row>
    <row r="672" spans="2:10" x14ac:dyDescent="0.3">
      <c r="B672" s="140">
        <v>46098</v>
      </c>
      <c r="C672" s="103">
        <v>46082</v>
      </c>
      <c r="D672" s="70" t="s">
        <v>2928</v>
      </c>
      <c r="E672" s="70" t="s">
        <v>3044</v>
      </c>
      <c r="F672" s="63" t="s">
        <v>6</v>
      </c>
      <c r="G672" s="67" t="s">
        <v>3045</v>
      </c>
      <c r="H672" s="68" t="s">
        <v>3046</v>
      </c>
      <c r="I672" s="344" t="s">
        <v>3320</v>
      </c>
      <c r="J672" s="423">
        <v>4</v>
      </c>
    </row>
    <row r="673" spans="2:10" x14ac:dyDescent="0.3">
      <c r="B673" s="140">
        <v>46098</v>
      </c>
      <c r="C673" s="103">
        <v>46082</v>
      </c>
      <c r="D673" s="70" t="s">
        <v>2928</v>
      </c>
      <c r="E673" s="70" t="s">
        <v>3044</v>
      </c>
      <c r="F673" s="63" t="s">
        <v>6</v>
      </c>
      <c r="G673" s="69" t="s">
        <v>3047</v>
      </c>
      <c r="H673" s="70" t="s">
        <v>3048</v>
      </c>
      <c r="I673" s="344" t="s">
        <v>3320</v>
      </c>
      <c r="J673" s="423">
        <v>2</v>
      </c>
    </row>
    <row r="674" spans="2:10" x14ac:dyDescent="0.3">
      <c r="B674" s="140">
        <v>46098</v>
      </c>
      <c r="C674" s="103">
        <v>46082</v>
      </c>
      <c r="D674" s="70" t="s">
        <v>2928</v>
      </c>
      <c r="E674" s="70" t="s">
        <v>3044</v>
      </c>
      <c r="F674" s="63" t="s">
        <v>6</v>
      </c>
      <c r="G674" s="69" t="s">
        <v>3049</v>
      </c>
      <c r="H674" s="70" t="s">
        <v>3050</v>
      </c>
      <c r="I674" s="344" t="s">
        <v>3320</v>
      </c>
      <c r="J674" s="423">
        <v>2</v>
      </c>
    </row>
    <row r="675" spans="2:10" x14ac:dyDescent="0.3">
      <c r="B675" s="140">
        <v>46098</v>
      </c>
      <c r="C675" s="103">
        <v>46082</v>
      </c>
      <c r="D675" s="70" t="s">
        <v>2928</v>
      </c>
      <c r="E675" s="70" t="s">
        <v>3044</v>
      </c>
      <c r="F675" s="63" t="s">
        <v>6</v>
      </c>
      <c r="G675" s="69" t="s">
        <v>3159</v>
      </c>
      <c r="H675" s="70" t="s">
        <v>3160</v>
      </c>
      <c r="I675" s="344" t="s">
        <v>3321</v>
      </c>
      <c r="J675" s="423">
        <v>2</v>
      </c>
    </row>
    <row r="676" spans="2:10" x14ac:dyDescent="0.3">
      <c r="B676" s="140">
        <v>46099</v>
      </c>
      <c r="C676" s="103">
        <v>46082</v>
      </c>
      <c r="D676" s="70" t="s">
        <v>2928</v>
      </c>
      <c r="E676" s="70" t="s">
        <v>3044</v>
      </c>
      <c r="F676" s="63" t="s">
        <v>6</v>
      </c>
      <c r="G676" s="69" t="s">
        <v>3051</v>
      </c>
      <c r="H676" s="70" t="s">
        <v>3052</v>
      </c>
      <c r="I676" s="344" t="s">
        <v>3320</v>
      </c>
      <c r="J676" s="344">
        <v>1</v>
      </c>
    </row>
    <row r="677" spans="2:10" x14ac:dyDescent="0.3">
      <c r="B677" s="140">
        <v>46099</v>
      </c>
      <c r="C677" s="103">
        <v>46082</v>
      </c>
      <c r="D677" s="70" t="s">
        <v>2928</v>
      </c>
      <c r="E677" s="70" t="s">
        <v>3044</v>
      </c>
      <c r="F677" s="63" t="s">
        <v>6</v>
      </c>
      <c r="G677" s="69" t="s">
        <v>3161</v>
      </c>
      <c r="H677" s="70" t="s">
        <v>3162</v>
      </c>
      <c r="I677" s="344" t="s">
        <v>3320</v>
      </c>
      <c r="J677" s="344">
        <v>1</v>
      </c>
    </row>
    <row r="678" spans="2:10" x14ac:dyDescent="0.3">
      <c r="B678" s="140">
        <v>46099</v>
      </c>
      <c r="C678" s="103">
        <v>46082</v>
      </c>
      <c r="D678" s="70" t="s">
        <v>2928</v>
      </c>
      <c r="E678" s="70" t="s">
        <v>3044</v>
      </c>
      <c r="F678" s="63" t="s">
        <v>6</v>
      </c>
      <c r="G678" s="67" t="s">
        <v>3045</v>
      </c>
      <c r="H678" s="68" t="s">
        <v>3046</v>
      </c>
      <c r="I678" s="344" t="s">
        <v>3320</v>
      </c>
      <c r="J678" s="423">
        <v>4</v>
      </c>
    </row>
    <row r="679" spans="2:10" x14ac:dyDescent="0.3">
      <c r="B679" s="140">
        <v>46099</v>
      </c>
      <c r="C679" s="103">
        <v>46082</v>
      </c>
      <c r="D679" s="70" t="s">
        <v>2928</v>
      </c>
      <c r="E679" s="70" t="s">
        <v>3044</v>
      </c>
      <c r="F679" s="63" t="s">
        <v>6</v>
      </c>
      <c r="G679" s="69" t="s">
        <v>3047</v>
      </c>
      <c r="H679" s="70" t="s">
        <v>3048</v>
      </c>
      <c r="I679" s="344" t="s">
        <v>3320</v>
      </c>
      <c r="J679" s="423">
        <v>2</v>
      </c>
    </row>
    <row r="680" spans="2:10" x14ac:dyDescent="0.3">
      <c r="B680" s="140">
        <v>46099</v>
      </c>
      <c r="C680" s="103">
        <v>46082</v>
      </c>
      <c r="D680" s="70" t="s">
        <v>2928</v>
      </c>
      <c r="E680" s="70" t="s">
        <v>3044</v>
      </c>
      <c r="F680" s="63" t="s">
        <v>6</v>
      </c>
      <c r="G680" s="69" t="s">
        <v>3049</v>
      </c>
      <c r="H680" s="70" t="s">
        <v>3050</v>
      </c>
      <c r="I680" s="344" t="s">
        <v>3320</v>
      </c>
      <c r="J680" s="423">
        <v>2</v>
      </c>
    </row>
    <row r="681" spans="2:10" x14ac:dyDescent="0.3">
      <c r="B681" s="140">
        <v>46099</v>
      </c>
      <c r="C681" s="103">
        <v>46082</v>
      </c>
      <c r="D681" s="70" t="s">
        <v>2928</v>
      </c>
      <c r="E681" s="70" t="s">
        <v>3044</v>
      </c>
      <c r="F681" s="63" t="s">
        <v>6</v>
      </c>
      <c r="G681" s="69" t="s">
        <v>3159</v>
      </c>
      <c r="H681" s="70" t="s">
        <v>3160</v>
      </c>
      <c r="I681" s="344" t="s">
        <v>3321</v>
      </c>
      <c r="J681" s="423">
        <v>2</v>
      </c>
    </row>
    <row r="682" spans="2:10" x14ac:dyDescent="0.3">
      <c r="B682" s="140">
        <v>46100</v>
      </c>
      <c r="C682" s="103">
        <v>46082</v>
      </c>
      <c r="D682" s="70" t="s">
        <v>2928</v>
      </c>
      <c r="E682" s="70" t="s">
        <v>3044</v>
      </c>
      <c r="F682" s="63" t="s">
        <v>6</v>
      </c>
      <c r="G682" s="69" t="s">
        <v>3051</v>
      </c>
      <c r="H682" s="70" t="s">
        <v>3052</v>
      </c>
      <c r="I682" s="344" t="s">
        <v>3320</v>
      </c>
      <c r="J682" s="344">
        <v>1</v>
      </c>
    </row>
    <row r="683" spans="2:10" x14ac:dyDescent="0.3">
      <c r="B683" s="140">
        <v>46100</v>
      </c>
      <c r="C683" s="103">
        <v>46082</v>
      </c>
      <c r="D683" s="70" t="s">
        <v>2928</v>
      </c>
      <c r="E683" s="70" t="s">
        <v>3044</v>
      </c>
      <c r="F683" s="63" t="s">
        <v>6</v>
      </c>
      <c r="G683" s="67" t="s">
        <v>3045</v>
      </c>
      <c r="H683" s="68" t="s">
        <v>3046</v>
      </c>
      <c r="I683" s="344" t="s">
        <v>3320</v>
      </c>
      <c r="J683" s="344">
        <v>4</v>
      </c>
    </row>
    <row r="684" spans="2:10" x14ac:dyDescent="0.3">
      <c r="B684" s="140">
        <v>46100</v>
      </c>
      <c r="C684" s="103">
        <v>46082</v>
      </c>
      <c r="D684" s="70" t="s">
        <v>2928</v>
      </c>
      <c r="E684" s="70" t="s">
        <v>3044</v>
      </c>
      <c r="F684" s="63" t="s">
        <v>6</v>
      </c>
      <c r="G684" s="69" t="s">
        <v>3047</v>
      </c>
      <c r="H684" s="70" t="s">
        <v>3048</v>
      </c>
      <c r="I684" s="344" t="s">
        <v>3320</v>
      </c>
      <c r="J684" s="423">
        <v>4</v>
      </c>
    </row>
    <row r="685" spans="2:10" x14ac:dyDescent="0.3">
      <c r="B685" s="140">
        <v>46100</v>
      </c>
      <c r="C685" s="103">
        <v>46082</v>
      </c>
      <c r="D685" s="70" t="s">
        <v>2928</v>
      </c>
      <c r="E685" s="70" t="s">
        <v>3044</v>
      </c>
      <c r="F685" s="63" t="s">
        <v>6</v>
      </c>
      <c r="G685" s="69" t="s">
        <v>3049</v>
      </c>
      <c r="H685" s="70" t="s">
        <v>3050</v>
      </c>
      <c r="I685" s="344" t="s">
        <v>3320</v>
      </c>
      <c r="J685" s="423">
        <v>2</v>
      </c>
    </row>
    <row r="686" spans="2:10" x14ac:dyDescent="0.3">
      <c r="B686" s="140">
        <v>46100</v>
      </c>
      <c r="C686" s="103">
        <v>46082</v>
      </c>
      <c r="D686" s="70" t="s">
        <v>2928</v>
      </c>
      <c r="E686" s="70" t="s">
        <v>3044</v>
      </c>
      <c r="F686" s="63" t="s">
        <v>6</v>
      </c>
      <c r="G686" s="69" t="s">
        <v>3159</v>
      </c>
      <c r="H686" s="70" t="s">
        <v>3163</v>
      </c>
      <c r="I686" s="344" t="s">
        <v>3321</v>
      </c>
      <c r="J686" s="423">
        <v>2</v>
      </c>
    </row>
    <row r="687" spans="2:10" x14ac:dyDescent="0.3">
      <c r="B687" s="140">
        <v>46100</v>
      </c>
      <c r="C687" s="103">
        <v>46082</v>
      </c>
      <c r="D687" s="70" t="s">
        <v>2928</v>
      </c>
      <c r="E687" s="70" t="s">
        <v>3044</v>
      </c>
      <c r="F687" s="63" t="s">
        <v>6</v>
      </c>
      <c r="G687" s="69" t="s">
        <v>3164</v>
      </c>
      <c r="H687" s="70" t="s">
        <v>3165</v>
      </c>
      <c r="I687" s="344" t="s">
        <v>3320</v>
      </c>
      <c r="J687" s="344">
        <v>1</v>
      </c>
    </row>
    <row r="688" spans="2:10" x14ac:dyDescent="0.3">
      <c r="B688" s="140">
        <v>46101</v>
      </c>
      <c r="C688" s="103">
        <v>46082</v>
      </c>
      <c r="D688" s="70" t="s">
        <v>2928</v>
      </c>
      <c r="E688" s="70" t="s">
        <v>3044</v>
      </c>
      <c r="F688" s="63" t="s">
        <v>6</v>
      </c>
      <c r="G688" s="69" t="s">
        <v>3051</v>
      </c>
      <c r="H688" s="70" t="s">
        <v>3052</v>
      </c>
      <c r="I688" s="344" t="s">
        <v>3320</v>
      </c>
      <c r="J688" s="344">
        <v>1</v>
      </c>
    </row>
    <row r="689" spans="2:10" x14ac:dyDescent="0.3">
      <c r="B689" s="140">
        <v>46101</v>
      </c>
      <c r="C689" s="103">
        <v>46082</v>
      </c>
      <c r="D689" s="70" t="s">
        <v>2928</v>
      </c>
      <c r="E689" s="70" t="s">
        <v>3044</v>
      </c>
      <c r="F689" s="63" t="s">
        <v>6</v>
      </c>
      <c r="G689" s="69" t="s">
        <v>3161</v>
      </c>
      <c r="H689" s="70" t="s">
        <v>3162</v>
      </c>
      <c r="I689" s="344" t="s">
        <v>3320</v>
      </c>
      <c r="J689" s="344">
        <v>1</v>
      </c>
    </row>
    <row r="690" spans="2:10" x14ac:dyDescent="0.3">
      <c r="B690" s="140">
        <v>46101</v>
      </c>
      <c r="C690" s="103">
        <v>46082</v>
      </c>
      <c r="D690" s="70" t="s">
        <v>2928</v>
      </c>
      <c r="E690" s="70" t="s">
        <v>3044</v>
      </c>
      <c r="F690" s="63" t="s">
        <v>6</v>
      </c>
      <c r="G690" s="67" t="s">
        <v>3045</v>
      </c>
      <c r="H690" s="68" t="s">
        <v>3046</v>
      </c>
      <c r="I690" s="344" t="s">
        <v>3320</v>
      </c>
      <c r="J690" s="423">
        <v>4</v>
      </c>
    </row>
    <row r="691" spans="2:10" x14ac:dyDescent="0.3">
      <c r="B691" s="140">
        <v>46101</v>
      </c>
      <c r="C691" s="103">
        <v>46082</v>
      </c>
      <c r="D691" s="70" t="s">
        <v>2928</v>
      </c>
      <c r="E691" s="70" t="s">
        <v>3044</v>
      </c>
      <c r="F691" s="63" t="s">
        <v>6</v>
      </c>
      <c r="G691" s="69" t="s">
        <v>3047</v>
      </c>
      <c r="H691" s="70" t="s">
        <v>3048</v>
      </c>
      <c r="I691" s="344" t="s">
        <v>3320</v>
      </c>
      <c r="J691" s="423">
        <v>2</v>
      </c>
    </row>
    <row r="692" spans="2:10" x14ac:dyDescent="0.3">
      <c r="B692" s="140">
        <v>46101</v>
      </c>
      <c r="C692" s="103">
        <v>46082</v>
      </c>
      <c r="D692" s="70" t="s">
        <v>2928</v>
      </c>
      <c r="E692" s="70" t="s">
        <v>3044</v>
      </c>
      <c r="F692" s="63" t="s">
        <v>6</v>
      </c>
      <c r="G692" s="69" t="s">
        <v>3049</v>
      </c>
      <c r="H692" s="70" t="s">
        <v>3050</v>
      </c>
      <c r="I692" s="344" t="s">
        <v>3320</v>
      </c>
      <c r="J692" s="423">
        <v>2</v>
      </c>
    </row>
    <row r="693" spans="2:10" x14ac:dyDescent="0.3">
      <c r="B693" s="140">
        <v>46101</v>
      </c>
      <c r="C693" s="103">
        <v>46082</v>
      </c>
      <c r="D693" s="70" t="s">
        <v>2928</v>
      </c>
      <c r="E693" s="70" t="s">
        <v>3044</v>
      </c>
      <c r="F693" s="63" t="s">
        <v>6</v>
      </c>
      <c r="G693" s="69" t="s">
        <v>3159</v>
      </c>
      <c r="H693" s="70" t="s">
        <v>3163</v>
      </c>
      <c r="I693" s="344" t="s">
        <v>3320</v>
      </c>
      <c r="J693" s="344">
        <v>1</v>
      </c>
    </row>
    <row r="694" spans="2:10" x14ac:dyDescent="0.3">
      <c r="B694" s="262">
        <v>46104</v>
      </c>
      <c r="C694" s="263">
        <v>46082</v>
      </c>
      <c r="D694" s="264" t="s">
        <v>2928</v>
      </c>
      <c r="E694" s="264" t="s">
        <v>3044</v>
      </c>
      <c r="F694" s="265" t="s">
        <v>6</v>
      </c>
      <c r="G694" s="266" t="s">
        <v>2949</v>
      </c>
      <c r="H694" s="266" t="s">
        <v>2950</v>
      </c>
      <c r="I694" s="344" t="s">
        <v>3320</v>
      </c>
      <c r="J694" s="344">
        <v>1</v>
      </c>
    </row>
    <row r="695" spans="2:10" x14ac:dyDescent="0.3">
      <c r="B695" s="262">
        <v>46104</v>
      </c>
      <c r="C695" s="263">
        <v>46082</v>
      </c>
      <c r="D695" s="264" t="s">
        <v>2928</v>
      </c>
      <c r="E695" s="264" t="s">
        <v>3044</v>
      </c>
      <c r="F695" s="107" t="s">
        <v>325</v>
      </c>
      <c r="G695" s="270" t="s">
        <v>3240</v>
      </c>
      <c r="H695" s="268" t="s">
        <v>3241</v>
      </c>
      <c r="I695" s="344" t="s">
        <v>3320</v>
      </c>
      <c r="J695" s="344">
        <v>1</v>
      </c>
    </row>
    <row r="696" spans="2:10" x14ac:dyDescent="0.3">
      <c r="B696" s="262">
        <v>46104</v>
      </c>
      <c r="C696" s="263">
        <v>46082</v>
      </c>
      <c r="D696" s="264" t="s">
        <v>2928</v>
      </c>
      <c r="E696" s="264" t="s">
        <v>3044</v>
      </c>
      <c r="F696" s="267" t="s">
        <v>6</v>
      </c>
      <c r="G696" s="266" t="s">
        <v>3045</v>
      </c>
      <c r="H696" s="268" t="s">
        <v>3046</v>
      </c>
      <c r="I696" s="344" t="s">
        <v>3320</v>
      </c>
      <c r="J696" s="423">
        <v>4</v>
      </c>
    </row>
    <row r="697" spans="2:10" x14ac:dyDescent="0.3">
      <c r="B697" s="262">
        <v>46104</v>
      </c>
      <c r="C697" s="263">
        <v>46082</v>
      </c>
      <c r="D697" s="264" t="s">
        <v>2928</v>
      </c>
      <c r="E697" s="264" t="s">
        <v>3044</v>
      </c>
      <c r="F697" s="267" t="s">
        <v>6</v>
      </c>
      <c r="G697" s="269" t="s">
        <v>3047</v>
      </c>
      <c r="H697" s="264" t="s">
        <v>3048</v>
      </c>
      <c r="I697" s="344" t="s">
        <v>3320</v>
      </c>
      <c r="J697" s="423">
        <v>2</v>
      </c>
    </row>
    <row r="698" spans="2:10" x14ac:dyDescent="0.3">
      <c r="B698" s="262">
        <v>46104</v>
      </c>
      <c r="C698" s="263">
        <v>46082</v>
      </c>
      <c r="D698" s="264" t="s">
        <v>2928</v>
      </c>
      <c r="E698" s="264" t="s">
        <v>3044</v>
      </c>
      <c r="F698" s="267" t="s">
        <v>6</v>
      </c>
      <c r="G698" s="274" t="s">
        <v>3049</v>
      </c>
      <c r="H698" s="275" t="s">
        <v>3050</v>
      </c>
      <c r="I698" s="344" t="s">
        <v>3320</v>
      </c>
      <c r="J698" s="423">
        <v>2</v>
      </c>
    </row>
    <row r="699" spans="2:10" x14ac:dyDescent="0.3">
      <c r="B699" s="262">
        <v>46104</v>
      </c>
      <c r="C699" s="263">
        <v>46082</v>
      </c>
      <c r="D699" s="264" t="s">
        <v>2928</v>
      </c>
      <c r="E699" s="264" t="s">
        <v>3044</v>
      </c>
      <c r="F699" s="271" t="s">
        <v>325</v>
      </c>
      <c r="G699" s="273" t="s">
        <v>3243</v>
      </c>
      <c r="H699" s="272" t="s">
        <v>3244</v>
      </c>
      <c r="I699" s="344" t="s">
        <v>3320</v>
      </c>
      <c r="J699" s="344">
        <v>1</v>
      </c>
    </row>
    <row r="700" spans="2:10" x14ac:dyDescent="0.3">
      <c r="B700" s="262">
        <v>46104</v>
      </c>
      <c r="C700" s="263">
        <v>46082</v>
      </c>
      <c r="D700" s="264" t="s">
        <v>2928</v>
      </c>
      <c r="E700" s="264" t="s">
        <v>3044</v>
      </c>
      <c r="F700" s="271" t="s">
        <v>325</v>
      </c>
      <c r="G700" s="277" t="s">
        <v>3245</v>
      </c>
      <c r="H700" s="276" t="s">
        <v>3246</v>
      </c>
      <c r="I700" s="344" t="s">
        <v>3320</v>
      </c>
      <c r="J700" s="344">
        <v>1</v>
      </c>
    </row>
    <row r="701" spans="2:10" x14ac:dyDescent="0.3">
      <c r="B701" s="262">
        <v>46104</v>
      </c>
      <c r="C701" s="263">
        <v>46082</v>
      </c>
      <c r="D701" s="264" t="s">
        <v>2928</v>
      </c>
      <c r="E701" s="264" t="s">
        <v>3044</v>
      </c>
      <c r="F701" s="271" t="s">
        <v>325</v>
      </c>
      <c r="G701" s="272" t="s">
        <v>3247</v>
      </c>
      <c r="H701" s="264" t="s">
        <v>3248</v>
      </c>
      <c r="I701" s="344" t="s">
        <v>3320</v>
      </c>
      <c r="J701" s="344">
        <v>1</v>
      </c>
    </row>
    <row r="702" spans="2:10" x14ac:dyDescent="0.3">
      <c r="B702" s="262">
        <v>46104</v>
      </c>
      <c r="C702" s="263">
        <v>46082</v>
      </c>
      <c r="D702" s="264" t="s">
        <v>2928</v>
      </c>
      <c r="E702" s="264" t="s">
        <v>3044</v>
      </c>
      <c r="F702" s="271" t="s">
        <v>325</v>
      </c>
      <c r="G702" s="272" t="s">
        <v>3249</v>
      </c>
      <c r="H702" s="264" t="s">
        <v>3250</v>
      </c>
      <c r="I702" s="344" t="s">
        <v>3320</v>
      </c>
      <c r="J702" s="344">
        <v>1</v>
      </c>
    </row>
    <row r="703" spans="2:10" x14ac:dyDescent="0.3">
      <c r="B703" s="262">
        <v>46105</v>
      </c>
      <c r="C703" s="263">
        <v>46082</v>
      </c>
      <c r="D703" s="264" t="s">
        <v>2928</v>
      </c>
      <c r="E703" s="264" t="s">
        <v>3044</v>
      </c>
      <c r="F703" s="265" t="s">
        <v>6</v>
      </c>
      <c r="G703" s="266" t="s">
        <v>2949</v>
      </c>
      <c r="H703" s="266" t="s">
        <v>2950</v>
      </c>
      <c r="I703" s="344" t="s">
        <v>3320</v>
      </c>
      <c r="J703" s="344">
        <v>1</v>
      </c>
    </row>
    <row r="704" spans="2:10" x14ac:dyDescent="0.3">
      <c r="B704" s="262">
        <v>46105</v>
      </c>
      <c r="C704" s="263">
        <v>46082</v>
      </c>
      <c r="D704" s="264" t="s">
        <v>2928</v>
      </c>
      <c r="E704" s="264" t="s">
        <v>3044</v>
      </c>
      <c r="F704" s="265" t="s">
        <v>6</v>
      </c>
      <c r="G704" s="270" t="s">
        <v>3317</v>
      </c>
      <c r="H704" s="268" t="s">
        <v>3318</v>
      </c>
      <c r="I704" s="344" t="s">
        <v>3320</v>
      </c>
      <c r="J704" s="344">
        <v>1</v>
      </c>
    </row>
    <row r="705" spans="2:10" x14ac:dyDescent="0.3">
      <c r="B705" s="262">
        <v>46105</v>
      </c>
      <c r="C705" s="263">
        <v>46082</v>
      </c>
      <c r="D705" s="264" t="s">
        <v>2928</v>
      </c>
      <c r="E705" s="264" t="s">
        <v>3044</v>
      </c>
      <c r="F705" s="267" t="s">
        <v>6</v>
      </c>
      <c r="G705" s="266" t="s">
        <v>3045</v>
      </c>
      <c r="H705" s="268" t="s">
        <v>3046</v>
      </c>
      <c r="I705" s="344" t="s">
        <v>3320</v>
      </c>
      <c r="J705" s="423">
        <v>4</v>
      </c>
    </row>
    <row r="706" spans="2:10" x14ac:dyDescent="0.3">
      <c r="B706" s="338">
        <v>46105</v>
      </c>
      <c r="C706" s="339">
        <v>46082</v>
      </c>
      <c r="D706" s="275" t="s">
        <v>2928</v>
      </c>
      <c r="E706" s="275" t="s">
        <v>3044</v>
      </c>
      <c r="F706" s="340" t="s">
        <v>6</v>
      </c>
      <c r="G706" s="274" t="s">
        <v>3047</v>
      </c>
      <c r="H706" s="275" t="s">
        <v>3048</v>
      </c>
      <c r="I706" s="344" t="s">
        <v>3320</v>
      </c>
      <c r="J706" s="423">
        <v>2</v>
      </c>
    </row>
    <row r="707" spans="2:10" x14ac:dyDescent="0.3">
      <c r="B707" s="341">
        <v>46105</v>
      </c>
      <c r="C707" s="341">
        <v>46082</v>
      </c>
      <c r="D707" s="272" t="s">
        <v>2928</v>
      </c>
      <c r="E707" s="272" t="s">
        <v>3044</v>
      </c>
      <c r="F707" s="267" t="s">
        <v>6</v>
      </c>
      <c r="G707" s="272" t="s">
        <v>3049</v>
      </c>
      <c r="H707" s="272" t="s">
        <v>3050</v>
      </c>
      <c r="I707" s="344" t="s">
        <v>3320</v>
      </c>
      <c r="J707" s="423">
        <v>2</v>
      </c>
    </row>
    <row r="708" spans="2:10" x14ac:dyDescent="0.3">
      <c r="B708" s="262">
        <v>46106</v>
      </c>
      <c r="C708" s="263">
        <v>46082</v>
      </c>
      <c r="D708" s="264" t="s">
        <v>2928</v>
      </c>
      <c r="E708" s="264" t="s">
        <v>3044</v>
      </c>
      <c r="F708" s="265" t="s">
        <v>6</v>
      </c>
      <c r="G708" s="266" t="s">
        <v>2949</v>
      </c>
      <c r="H708" s="383" t="s">
        <v>2950</v>
      </c>
      <c r="I708" s="344" t="s">
        <v>3320</v>
      </c>
      <c r="J708" s="344">
        <v>1</v>
      </c>
    </row>
    <row r="709" spans="2:10" x14ac:dyDescent="0.3">
      <c r="B709" s="262">
        <v>46104</v>
      </c>
      <c r="C709" s="263">
        <v>46082</v>
      </c>
      <c r="D709" s="264" t="s">
        <v>2928</v>
      </c>
      <c r="E709" s="264" t="s">
        <v>3044</v>
      </c>
      <c r="F709" s="271" t="s">
        <v>325</v>
      </c>
      <c r="G709" s="272" t="s">
        <v>3394</v>
      </c>
      <c r="H709" s="382" t="s">
        <v>3395</v>
      </c>
      <c r="I709" s="344" t="s">
        <v>3320</v>
      </c>
      <c r="J709" s="344">
        <v>1</v>
      </c>
    </row>
    <row r="710" spans="2:10" x14ac:dyDescent="0.3">
      <c r="B710" s="262">
        <v>46106</v>
      </c>
      <c r="C710" s="263">
        <v>46082</v>
      </c>
      <c r="D710" s="264" t="s">
        <v>2928</v>
      </c>
      <c r="E710" s="264" t="s">
        <v>3044</v>
      </c>
      <c r="F710" s="267" t="s">
        <v>6</v>
      </c>
      <c r="G710" s="266" t="s">
        <v>3045</v>
      </c>
      <c r="H710" s="384" t="s">
        <v>3046</v>
      </c>
      <c r="I710" s="344" t="s">
        <v>3320</v>
      </c>
      <c r="J710" s="423">
        <v>4</v>
      </c>
    </row>
    <row r="711" spans="2:10" x14ac:dyDescent="0.3">
      <c r="B711" s="262">
        <v>46106</v>
      </c>
      <c r="C711" s="339">
        <v>46082</v>
      </c>
      <c r="D711" s="275" t="s">
        <v>2928</v>
      </c>
      <c r="E711" s="275" t="s">
        <v>3044</v>
      </c>
      <c r="F711" s="340" t="s">
        <v>6</v>
      </c>
      <c r="G711" s="274" t="s">
        <v>3047</v>
      </c>
      <c r="H711" s="385" t="s">
        <v>3048</v>
      </c>
      <c r="I711" s="344" t="s">
        <v>3320</v>
      </c>
      <c r="J711" s="423">
        <v>2</v>
      </c>
    </row>
    <row r="712" spans="2:10" x14ac:dyDescent="0.3">
      <c r="B712" s="262">
        <v>46106</v>
      </c>
      <c r="C712" s="341">
        <v>46082</v>
      </c>
      <c r="D712" s="272" t="s">
        <v>2928</v>
      </c>
      <c r="E712" s="272" t="s">
        <v>3044</v>
      </c>
      <c r="F712" s="267" t="s">
        <v>6</v>
      </c>
      <c r="G712" s="272" t="s">
        <v>3049</v>
      </c>
      <c r="H712" s="272" t="s">
        <v>3050</v>
      </c>
      <c r="I712" s="344" t="s">
        <v>3320</v>
      </c>
      <c r="J712" s="423">
        <v>2</v>
      </c>
    </row>
    <row r="713" spans="2:10" x14ac:dyDescent="0.3">
      <c r="B713" s="262">
        <v>46107</v>
      </c>
      <c r="C713" s="263">
        <v>46082</v>
      </c>
      <c r="D713" s="264" t="s">
        <v>2928</v>
      </c>
      <c r="E713" s="264" t="s">
        <v>3044</v>
      </c>
      <c r="F713" s="265" t="s">
        <v>6</v>
      </c>
      <c r="G713" s="266" t="s">
        <v>2949</v>
      </c>
      <c r="H713" s="383" t="s">
        <v>2950</v>
      </c>
      <c r="I713" s="344" t="s">
        <v>3320</v>
      </c>
      <c r="J713" s="344">
        <v>1</v>
      </c>
    </row>
    <row r="714" spans="2:10" x14ac:dyDescent="0.3">
      <c r="B714" s="262">
        <v>46107</v>
      </c>
      <c r="C714" s="263">
        <v>46082</v>
      </c>
      <c r="D714" s="264" t="s">
        <v>2928</v>
      </c>
      <c r="E714" s="264" t="s">
        <v>3044</v>
      </c>
      <c r="F714" s="271" t="s">
        <v>325</v>
      </c>
      <c r="G714" s="272" t="s">
        <v>3451</v>
      </c>
      <c r="H714" s="382" t="s">
        <v>3452</v>
      </c>
      <c r="I714" s="344" t="s">
        <v>3320</v>
      </c>
      <c r="J714" s="344">
        <v>1</v>
      </c>
    </row>
    <row r="715" spans="2:10" x14ac:dyDescent="0.3">
      <c r="B715" s="262">
        <v>46107</v>
      </c>
      <c r="C715" s="263">
        <v>46082</v>
      </c>
      <c r="D715" s="264" t="s">
        <v>2928</v>
      </c>
      <c r="E715" s="264" t="s">
        <v>3044</v>
      </c>
      <c r="F715" s="267" t="s">
        <v>6</v>
      </c>
      <c r="G715" s="266" t="s">
        <v>3045</v>
      </c>
      <c r="H715" s="384" t="s">
        <v>3046</v>
      </c>
      <c r="I715" s="344" t="s">
        <v>3320</v>
      </c>
      <c r="J715" s="423">
        <v>4</v>
      </c>
    </row>
    <row r="716" spans="2:10" x14ac:dyDescent="0.3">
      <c r="B716" s="262">
        <v>46107</v>
      </c>
      <c r="C716" s="339">
        <v>46082</v>
      </c>
      <c r="D716" s="275" t="s">
        <v>2928</v>
      </c>
      <c r="E716" s="275" t="s">
        <v>3044</v>
      </c>
      <c r="F716" s="340" t="s">
        <v>6</v>
      </c>
      <c r="G716" s="274" t="s">
        <v>3047</v>
      </c>
      <c r="H716" s="385" t="s">
        <v>3048</v>
      </c>
      <c r="I716" s="344" t="s">
        <v>3320</v>
      </c>
      <c r="J716" s="423">
        <v>2</v>
      </c>
    </row>
    <row r="717" spans="2:10" x14ac:dyDescent="0.3">
      <c r="B717" s="262">
        <v>46107</v>
      </c>
      <c r="C717" s="341">
        <v>46082</v>
      </c>
      <c r="D717" s="272" t="s">
        <v>2928</v>
      </c>
      <c r="E717" s="272" t="s">
        <v>3044</v>
      </c>
      <c r="F717" s="267" t="s">
        <v>6</v>
      </c>
      <c r="G717" s="272" t="s">
        <v>3049</v>
      </c>
      <c r="H717" s="272" t="s">
        <v>3050</v>
      </c>
      <c r="I717" s="344" t="s">
        <v>3320</v>
      </c>
      <c r="J717" s="423">
        <v>2</v>
      </c>
    </row>
    <row r="718" spans="2:10" x14ac:dyDescent="0.3">
      <c r="B718" s="262">
        <v>46107</v>
      </c>
      <c r="C718" s="263">
        <v>46082</v>
      </c>
      <c r="D718" s="264" t="s">
        <v>2928</v>
      </c>
      <c r="E718" s="264" t="s">
        <v>3044</v>
      </c>
      <c r="F718" s="271" t="s">
        <v>325</v>
      </c>
      <c r="G718" s="272" t="s">
        <v>3249</v>
      </c>
      <c r="H718" s="264" t="s">
        <v>3453</v>
      </c>
      <c r="I718" s="344" t="s">
        <v>3320</v>
      </c>
      <c r="J718" s="344">
        <v>1</v>
      </c>
    </row>
    <row r="719" spans="2:10" x14ac:dyDescent="0.3">
      <c r="B719" s="262">
        <v>46107</v>
      </c>
      <c r="C719" s="263">
        <v>46082</v>
      </c>
      <c r="D719" s="264" t="s">
        <v>2928</v>
      </c>
      <c r="E719" s="264" t="s">
        <v>3044</v>
      </c>
      <c r="F719" s="64" t="s">
        <v>4</v>
      </c>
      <c r="G719" s="272" t="s">
        <v>3454</v>
      </c>
      <c r="H719" s="382" t="s">
        <v>3455</v>
      </c>
      <c r="I719" s="344" t="s">
        <v>3283</v>
      </c>
      <c r="J719" s="344">
        <v>1</v>
      </c>
    </row>
    <row r="720" spans="2:10" x14ac:dyDescent="0.3">
      <c r="B720" s="262">
        <v>46108</v>
      </c>
      <c r="C720" s="263">
        <v>46082</v>
      </c>
      <c r="D720" s="264" t="s">
        <v>2928</v>
      </c>
      <c r="E720" s="264" t="s">
        <v>3044</v>
      </c>
      <c r="F720" s="265" t="s">
        <v>6</v>
      </c>
      <c r="G720" s="266" t="s">
        <v>2949</v>
      </c>
      <c r="H720" s="383" t="s">
        <v>2950</v>
      </c>
      <c r="I720" s="344" t="s">
        <v>3320</v>
      </c>
      <c r="J720" s="344">
        <v>1</v>
      </c>
    </row>
    <row r="721" spans="2:10" x14ac:dyDescent="0.3">
      <c r="B721" s="262">
        <v>46108</v>
      </c>
      <c r="C721" s="263">
        <v>46082</v>
      </c>
      <c r="D721" s="264" t="s">
        <v>2928</v>
      </c>
      <c r="E721" s="264" t="s">
        <v>3044</v>
      </c>
      <c r="F721" s="271" t="s">
        <v>325</v>
      </c>
      <c r="G721" s="272" t="s">
        <v>3517</v>
      </c>
      <c r="H721" s="382" t="s">
        <v>3452</v>
      </c>
      <c r="I721" s="344" t="s">
        <v>3320</v>
      </c>
      <c r="J721" s="344">
        <v>1</v>
      </c>
    </row>
    <row r="722" spans="2:10" x14ac:dyDescent="0.3">
      <c r="B722" s="262">
        <v>46108</v>
      </c>
      <c r="C722" s="263">
        <v>46082</v>
      </c>
      <c r="D722" s="264" t="s">
        <v>2928</v>
      </c>
      <c r="E722" s="264" t="s">
        <v>3044</v>
      </c>
      <c r="F722" s="267" t="s">
        <v>6</v>
      </c>
      <c r="G722" s="266" t="s">
        <v>3045</v>
      </c>
      <c r="H722" s="384" t="s">
        <v>3046</v>
      </c>
      <c r="I722" s="344" t="s">
        <v>3320</v>
      </c>
      <c r="J722" s="423">
        <v>4</v>
      </c>
    </row>
    <row r="723" spans="2:10" x14ac:dyDescent="0.3">
      <c r="B723" s="262">
        <v>46108</v>
      </c>
      <c r="C723" s="339">
        <v>46082</v>
      </c>
      <c r="D723" s="275" t="s">
        <v>2928</v>
      </c>
      <c r="E723" s="275" t="s">
        <v>3044</v>
      </c>
      <c r="F723" s="340" t="s">
        <v>6</v>
      </c>
      <c r="G723" s="274" t="s">
        <v>3047</v>
      </c>
      <c r="H723" s="385" t="s">
        <v>3048</v>
      </c>
      <c r="I723" s="344" t="s">
        <v>3320</v>
      </c>
      <c r="J723" s="423">
        <v>2</v>
      </c>
    </row>
    <row r="724" spans="2:10" x14ac:dyDescent="0.3">
      <c r="B724" s="262">
        <v>46108</v>
      </c>
      <c r="C724" s="341">
        <v>46082</v>
      </c>
      <c r="D724" s="272" t="s">
        <v>2928</v>
      </c>
      <c r="E724" s="272" t="s">
        <v>3044</v>
      </c>
      <c r="F724" s="267" t="s">
        <v>6</v>
      </c>
      <c r="G724" s="272" t="s">
        <v>3049</v>
      </c>
      <c r="H724" s="272" t="s">
        <v>3050</v>
      </c>
      <c r="I724" s="344" t="s">
        <v>3320</v>
      </c>
      <c r="J724" s="423">
        <v>2</v>
      </c>
    </row>
  </sheetData>
  <autoFilter ref="B1:H1" xr:uid="{BAAFBCA4-1152-4FB7-9000-5381BB7DE9CC}"/>
  <conditionalFormatting sqref="F1:F9992">
    <cfRule type="cellIs" dxfId="21" priority="1" operator="equal">
      <formula>"WARNING"</formula>
    </cfRule>
    <cfRule type="cellIs" dxfId="20" priority="2" operator="equal">
      <formula>"REQ"</formula>
    </cfRule>
    <cfRule type="cellIs" dxfId="19" priority="3" operator="equal">
      <formula>"INC"</formula>
    </cfRule>
  </conditionalFormatting>
  <pageMargins left="0.3" right="0.3" top="0.3" bottom="0.3" header="0" footer="0"/>
  <pageSetup scale="53" fitToHeight="0" orientation="landscape"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FBCA4-1152-4FB7-9000-5381BB7DE9CC}">
  <sheetPr codeName="Hoja12">
    <tabColor theme="7" tint="0.39997558519241921"/>
    <pageSetUpPr fitToPage="1"/>
  </sheetPr>
  <dimension ref="A1:M507"/>
  <sheetViews>
    <sheetView showGridLines="0" topLeftCell="B1" zoomScale="90" zoomScaleNormal="90" workbookViewId="0">
      <pane ySplit="1" topLeftCell="A390" activePane="bottomLeft" state="frozen"/>
      <selection pane="bottomLeft" activeCell="G421" sqref="G421"/>
    </sheetView>
  </sheetViews>
  <sheetFormatPr baseColWidth="10" defaultColWidth="11" defaultRowHeight="17.25" x14ac:dyDescent="0.3"/>
  <cols>
    <col min="1" max="1" width="3.375" style="1" customWidth="1"/>
    <col min="2" max="2" width="13.375" style="11" customWidth="1"/>
    <col min="3" max="3" width="16.875" style="11" customWidth="1"/>
    <col min="4" max="4" width="29.125" style="2" customWidth="1"/>
    <col min="5" max="5" width="20.875" style="2" customWidth="1"/>
    <col min="6" max="6" width="14.625" style="11" bestFit="1" customWidth="1"/>
    <col min="7" max="7" width="61.75" style="2" customWidth="1"/>
    <col min="8" max="8" width="102.5" style="2" customWidth="1"/>
    <col min="9" max="9" width="13.625" style="1" customWidth="1"/>
    <col min="10" max="13" width="11" style="1" customWidth="1"/>
    <col min="14" max="14" width="11" style="2" customWidth="1"/>
    <col min="15" max="16384" width="11" style="2"/>
  </cols>
  <sheetData>
    <row r="1" spans="1:13" s="4" customFormat="1" ht="35.1" customHeight="1" x14ac:dyDescent="0.25">
      <c r="A1" s="3"/>
      <c r="B1" s="8" t="s">
        <v>16</v>
      </c>
      <c r="C1" s="8" t="s">
        <v>17</v>
      </c>
      <c r="D1" s="8" t="s">
        <v>18</v>
      </c>
      <c r="E1" s="8" t="s">
        <v>19</v>
      </c>
      <c r="F1" s="8" t="s">
        <v>20</v>
      </c>
      <c r="G1" s="8" t="s">
        <v>21</v>
      </c>
      <c r="H1" s="8" t="s">
        <v>22</v>
      </c>
      <c r="I1" s="280" t="s">
        <v>3266</v>
      </c>
      <c r="J1" s="280" t="s">
        <v>3269</v>
      </c>
      <c r="K1" s="3"/>
      <c r="L1" s="3"/>
      <c r="M1" s="3"/>
    </row>
    <row r="2" spans="1:13" customFormat="1" ht="15.75" x14ac:dyDescent="0.25">
      <c r="B2" s="48">
        <v>45735</v>
      </c>
      <c r="C2" s="49">
        <v>45717</v>
      </c>
      <c r="D2" s="26" t="s">
        <v>2811</v>
      </c>
      <c r="E2" s="26" t="s">
        <v>3166</v>
      </c>
      <c r="F2" s="47" t="s">
        <v>6</v>
      </c>
      <c r="G2" s="26" t="s">
        <v>2812</v>
      </c>
      <c r="H2" s="26" t="s">
        <v>2813</v>
      </c>
    </row>
    <row r="3" spans="1:13" customFormat="1" ht="15.75" x14ac:dyDescent="0.25">
      <c r="B3" s="44">
        <v>45735</v>
      </c>
      <c r="C3" s="45">
        <v>45717</v>
      </c>
      <c r="D3" s="29" t="s">
        <v>2811</v>
      </c>
      <c r="E3" s="29" t="s">
        <v>3166</v>
      </c>
      <c r="F3" s="47" t="s">
        <v>6</v>
      </c>
      <c r="G3" s="29" t="s">
        <v>2814</v>
      </c>
      <c r="H3" s="29" t="s">
        <v>2815</v>
      </c>
    </row>
    <row r="4" spans="1:13" customFormat="1" ht="15.75" x14ac:dyDescent="0.25">
      <c r="B4" s="44">
        <v>45735</v>
      </c>
      <c r="C4" s="45">
        <v>45717</v>
      </c>
      <c r="D4" s="29" t="s">
        <v>2811</v>
      </c>
      <c r="E4" s="29" t="s">
        <v>3166</v>
      </c>
      <c r="F4" s="47" t="s">
        <v>6</v>
      </c>
      <c r="G4" s="29" t="s">
        <v>2816</v>
      </c>
      <c r="H4" s="29" t="s">
        <v>2817</v>
      </c>
    </row>
    <row r="5" spans="1:13" customFormat="1" ht="15.75" x14ac:dyDescent="0.25">
      <c r="B5" s="44">
        <v>45735</v>
      </c>
      <c r="C5" s="45">
        <v>45717</v>
      </c>
      <c r="D5" s="29" t="s">
        <v>2811</v>
      </c>
      <c r="E5" s="29" t="s">
        <v>3166</v>
      </c>
      <c r="F5" s="47" t="s">
        <v>6</v>
      </c>
      <c r="G5" s="29" t="s">
        <v>2818</v>
      </c>
      <c r="H5" s="29" t="s">
        <v>2819</v>
      </c>
    </row>
    <row r="6" spans="1:13" customFormat="1" ht="15.75" x14ac:dyDescent="0.25">
      <c r="B6" s="44">
        <v>45736</v>
      </c>
      <c r="C6" s="45">
        <v>45717</v>
      </c>
      <c r="D6" s="29" t="s">
        <v>2811</v>
      </c>
      <c r="E6" s="29" t="s">
        <v>3166</v>
      </c>
      <c r="F6" s="47" t="s">
        <v>6</v>
      </c>
      <c r="G6" s="29" t="s">
        <v>2812</v>
      </c>
      <c r="H6" s="29" t="s">
        <v>2813</v>
      </c>
    </row>
    <row r="7" spans="1:13" customFormat="1" ht="15.75" x14ac:dyDescent="0.25">
      <c r="B7" s="44">
        <v>45736</v>
      </c>
      <c r="C7" s="45">
        <v>45717</v>
      </c>
      <c r="D7" s="29" t="s">
        <v>2811</v>
      </c>
      <c r="E7" s="29" t="s">
        <v>3166</v>
      </c>
      <c r="F7" s="47" t="s">
        <v>6</v>
      </c>
      <c r="G7" s="29" t="s">
        <v>2814</v>
      </c>
      <c r="H7" s="29" t="s">
        <v>2815</v>
      </c>
    </row>
    <row r="8" spans="1:13" customFormat="1" ht="15.75" x14ac:dyDescent="0.25">
      <c r="B8" s="44">
        <v>45736</v>
      </c>
      <c r="C8" s="45">
        <v>45717</v>
      </c>
      <c r="D8" s="29" t="s">
        <v>2811</v>
      </c>
      <c r="E8" s="29" t="s">
        <v>3166</v>
      </c>
      <c r="F8" s="47" t="s">
        <v>6</v>
      </c>
      <c r="G8" s="29" t="s">
        <v>2816</v>
      </c>
      <c r="H8" s="29" t="s">
        <v>2817</v>
      </c>
    </row>
    <row r="9" spans="1:13" customFormat="1" ht="15.75" x14ac:dyDescent="0.25">
      <c r="B9" s="44">
        <v>45736</v>
      </c>
      <c r="C9" s="45">
        <v>45717</v>
      </c>
      <c r="D9" s="29" t="s">
        <v>2811</v>
      </c>
      <c r="E9" s="29" t="s">
        <v>3166</v>
      </c>
      <c r="F9" s="47" t="s">
        <v>6</v>
      </c>
      <c r="G9" s="29" t="s">
        <v>2818</v>
      </c>
      <c r="H9" s="29" t="s">
        <v>2819</v>
      </c>
    </row>
    <row r="10" spans="1:13" customFormat="1" ht="15.75" x14ac:dyDescent="0.25">
      <c r="B10" s="44">
        <v>45737</v>
      </c>
      <c r="C10" s="45">
        <v>45717</v>
      </c>
      <c r="D10" s="29" t="s">
        <v>2811</v>
      </c>
      <c r="E10" s="29" t="s">
        <v>3166</v>
      </c>
      <c r="F10" s="47" t="s">
        <v>6</v>
      </c>
      <c r="G10" s="29" t="s">
        <v>2812</v>
      </c>
      <c r="H10" s="29" t="s">
        <v>2813</v>
      </c>
    </row>
    <row r="11" spans="1:13" customFormat="1" ht="15.75" x14ac:dyDescent="0.25">
      <c r="B11" s="44">
        <v>45737</v>
      </c>
      <c r="C11" s="45">
        <v>45717</v>
      </c>
      <c r="D11" s="29" t="s">
        <v>2811</v>
      </c>
      <c r="E11" s="29" t="s">
        <v>3166</v>
      </c>
      <c r="F11" s="47" t="s">
        <v>6</v>
      </c>
      <c r="G11" s="29" t="s">
        <v>2814</v>
      </c>
      <c r="H11" s="29" t="s">
        <v>2815</v>
      </c>
    </row>
    <row r="12" spans="1:13" x14ac:dyDescent="0.3">
      <c r="B12" s="44">
        <v>45737</v>
      </c>
      <c r="C12" s="45">
        <v>45717</v>
      </c>
      <c r="D12" s="29" t="s">
        <v>2811</v>
      </c>
      <c r="E12" s="29" t="s">
        <v>3166</v>
      </c>
      <c r="F12" s="47" t="s">
        <v>6</v>
      </c>
      <c r="G12" s="29" t="s">
        <v>2816</v>
      </c>
      <c r="H12" s="29" t="s">
        <v>2817</v>
      </c>
    </row>
    <row r="13" spans="1:13" x14ac:dyDescent="0.3">
      <c r="B13" s="44">
        <v>45737</v>
      </c>
      <c r="C13" s="45">
        <v>45717</v>
      </c>
      <c r="D13" s="29" t="s">
        <v>2811</v>
      </c>
      <c r="E13" s="29" t="s">
        <v>3166</v>
      </c>
      <c r="F13" s="47" t="s">
        <v>6</v>
      </c>
      <c r="G13" s="29" t="s">
        <v>2818</v>
      </c>
      <c r="H13" s="29" t="s">
        <v>2819</v>
      </c>
    </row>
    <row r="14" spans="1:13" x14ac:dyDescent="0.3">
      <c r="B14" s="44">
        <v>45740</v>
      </c>
      <c r="C14" s="45">
        <v>45717</v>
      </c>
      <c r="D14" s="29" t="s">
        <v>2811</v>
      </c>
      <c r="E14" s="29" t="s">
        <v>3166</v>
      </c>
      <c r="F14" s="47" t="s">
        <v>6</v>
      </c>
      <c r="G14" s="29" t="s">
        <v>2812</v>
      </c>
      <c r="H14" s="29" t="s">
        <v>2813</v>
      </c>
    </row>
    <row r="15" spans="1:13" x14ac:dyDescent="0.3">
      <c r="B15" s="44">
        <v>45740</v>
      </c>
      <c r="C15" s="45">
        <v>45717</v>
      </c>
      <c r="D15" s="29" t="s">
        <v>2811</v>
      </c>
      <c r="E15" s="29" t="s">
        <v>3166</v>
      </c>
      <c r="F15" s="47" t="s">
        <v>6</v>
      </c>
      <c r="G15" s="29" t="s">
        <v>2814</v>
      </c>
      <c r="H15" s="29" t="s">
        <v>2815</v>
      </c>
    </row>
    <row r="16" spans="1:13" x14ac:dyDescent="0.3">
      <c r="B16" s="44">
        <v>45740</v>
      </c>
      <c r="C16" s="45">
        <v>45717</v>
      </c>
      <c r="D16" s="29" t="s">
        <v>2811</v>
      </c>
      <c r="E16" s="29" t="s">
        <v>3166</v>
      </c>
      <c r="F16" s="47" t="s">
        <v>6</v>
      </c>
      <c r="G16" s="29" t="s">
        <v>2816</v>
      </c>
      <c r="H16" s="29" t="s">
        <v>2817</v>
      </c>
    </row>
    <row r="17" spans="2:8" x14ac:dyDescent="0.3">
      <c r="B17" s="44">
        <v>45740</v>
      </c>
      <c r="C17" s="45">
        <v>45717</v>
      </c>
      <c r="D17" s="29" t="s">
        <v>2811</v>
      </c>
      <c r="E17" s="29" t="s">
        <v>3166</v>
      </c>
      <c r="F17" s="47" t="s">
        <v>6</v>
      </c>
      <c r="G17" s="29" t="s">
        <v>2818</v>
      </c>
      <c r="H17" s="29" t="s">
        <v>2819</v>
      </c>
    </row>
    <row r="18" spans="2:8" x14ac:dyDescent="0.3">
      <c r="B18" s="44">
        <v>45740</v>
      </c>
      <c r="C18" s="45">
        <v>45717</v>
      </c>
      <c r="D18" s="29" t="s">
        <v>2811</v>
      </c>
      <c r="E18" s="29" t="s">
        <v>3166</v>
      </c>
      <c r="F18" s="47" t="s">
        <v>6</v>
      </c>
      <c r="G18" s="29" t="s">
        <v>2820</v>
      </c>
      <c r="H18" s="29" t="s">
        <v>2821</v>
      </c>
    </row>
    <row r="19" spans="2:8" x14ac:dyDescent="0.3">
      <c r="B19" s="44">
        <v>45741</v>
      </c>
      <c r="C19" s="45">
        <v>45717</v>
      </c>
      <c r="D19" s="29" t="s">
        <v>2811</v>
      </c>
      <c r="E19" s="29" t="s">
        <v>3166</v>
      </c>
      <c r="F19" s="47" t="s">
        <v>6</v>
      </c>
      <c r="G19" s="29" t="s">
        <v>2812</v>
      </c>
      <c r="H19" s="29" t="s">
        <v>2813</v>
      </c>
    </row>
    <row r="20" spans="2:8" x14ac:dyDescent="0.3">
      <c r="B20" s="44">
        <v>45741</v>
      </c>
      <c r="C20" s="45">
        <v>45717</v>
      </c>
      <c r="D20" s="29" t="s">
        <v>2811</v>
      </c>
      <c r="E20" s="29" t="s">
        <v>3166</v>
      </c>
      <c r="F20" s="47" t="s">
        <v>6</v>
      </c>
      <c r="G20" s="29" t="s">
        <v>2814</v>
      </c>
      <c r="H20" s="29" t="s">
        <v>2815</v>
      </c>
    </row>
    <row r="21" spans="2:8" x14ac:dyDescent="0.3">
      <c r="B21" s="44">
        <v>45741</v>
      </c>
      <c r="C21" s="45">
        <v>45717</v>
      </c>
      <c r="D21" s="29" t="s">
        <v>2811</v>
      </c>
      <c r="E21" s="29" t="s">
        <v>3166</v>
      </c>
      <c r="F21" s="47" t="s">
        <v>6</v>
      </c>
      <c r="G21" s="29" t="s">
        <v>2816</v>
      </c>
      <c r="H21" s="29" t="s">
        <v>2817</v>
      </c>
    </row>
    <row r="22" spans="2:8" x14ac:dyDescent="0.3">
      <c r="B22" s="44">
        <v>45741</v>
      </c>
      <c r="C22" s="45">
        <v>45717</v>
      </c>
      <c r="D22" s="29" t="s">
        <v>2811</v>
      </c>
      <c r="E22" s="29" t="s">
        <v>3166</v>
      </c>
      <c r="F22" s="47" t="s">
        <v>6</v>
      </c>
      <c r="G22" s="29" t="s">
        <v>2818</v>
      </c>
      <c r="H22" s="29" t="s">
        <v>2819</v>
      </c>
    </row>
    <row r="23" spans="2:8" x14ac:dyDescent="0.3">
      <c r="B23" s="44">
        <v>45741</v>
      </c>
      <c r="C23" s="45">
        <v>45717</v>
      </c>
      <c r="D23" s="29" t="s">
        <v>2811</v>
      </c>
      <c r="E23" s="29" t="s">
        <v>3166</v>
      </c>
      <c r="F23" s="47" t="s">
        <v>6</v>
      </c>
      <c r="G23" s="29" t="s">
        <v>2820</v>
      </c>
      <c r="H23" s="29" t="s">
        <v>2821</v>
      </c>
    </row>
    <row r="24" spans="2:8" x14ac:dyDescent="0.3">
      <c r="B24" s="44">
        <v>45742</v>
      </c>
      <c r="C24" s="45">
        <v>45717</v>
      </c>
      <c r="D24" s="29" t="s">
        <v>2811</v>
      </c>
      <c r="E24" s="29" t="s">
        <v>3166</v>
      </c>
      <c r="F24" s="47" t="s">
        <v>6</v>
      </c>
      <c r="G24" s="29" t="s">
        <v>2812</v>
      </c>
      <c r="H24" s="29" t="s">
        <v>2813</v>
      </c>
    </row>
    <row r="25" spans="2:8" x14ac:dyDescent="0.3">
      <c r="B25" s="44">
        <v>45742</v>
      </c>
      <c r="C25" s="45">
        <v>45717</v>
      </c>
      <c r="D25" s="29" t="s">
        <v>2811</v>
      </c>
      <c r="E25" s="29" t="s">
        <v>3166</v>
      </c>
      <c r="F25" s="47" t="s">
        <v>6</v>
      </c>
      <c r="G25" s="29" t="s">
        <v>2814</v>
      </c>
      <c r="H25" s="29" t="s">
        <v>2815</v>
      </c>
    </row>
    <row r="26" spans="2:8" x14ac:dyDescent="0.3">
      <c r="B26" s="44">
        <v>45742</v>
      </c>
      <c r="C26" s="45">
        <v>45717</v>
      </c>
      <c r="D26" s="29" t="s">
        <v>2811</v>
      </c>
      <c r="E26" s="29" t="s">
        <v>3166</v>
      </c>
      <c r="F26" s="47" t="s">
        <v>6</v>
      </c>
      <c r="G26" s="29" t="s">
        <v>2816</v>
      </c>
      <c r="H26" s="29" t="s">
        <v>2817</v>
      </c>
    </row>
    <row r="27" spans="2:8" x14ac:dyDescent="0.3">
      <c r="B27" s="44">
        <v>45742</v>
      </c>
      <c r="C27" s="45">
        <v>45717</v>
      </c>
      <c r="D27" s="29" t="s">
        <v>2811</v>
      </c>
      <c r="E27" s="29" t="s">
        <v>3166</v>
      </c>
      <c r="F27" s="47" t="s">
        <v>6</v>
      </c>
      <c r="G27" s="29" t="s">
        <v>2818</v>
      </c>
      <c r="H27" s="29" t="s">
        <v>2819</v>
      </c>
    </row>
    <row r="28" spans="2:8" x14ac:dyDescent="0.3">
      <c r="B28" s="44">
        <v>45742</v>
      </c>
      <c r="C28" s="45">
        <v>45717</v>
      </c>
      <c r="D28" s="29" t="s">
        <v>2811</v>
      </c>
      <c r="E28" s="29" t="s">
        <v>3166</v>
      </c>
      <c r="F28" s="47" t="s">
        <v>6</v>
      </c>
      <c r="G28" s="29" t="s">
        <v>2820</v>
      </c>
      <c r="H28" s="29" t="s">
        <v>2821</v>
      </c>
    </row>
    <row r="29" spans="2:8" x14ac:dyDescent="0.3">
      <c r="B29" s="44">
        <v>45743</v>
      </c>
      <c r="C29" s="45">
        <v>45717</v>
      </c>
      <c r="D29" s="29" t="s">
        <v>2811</v>
      </c>
      <c r="E29" s="29" t="s">
        <v>3166</v>
      </c>
      <c r="F29" s="47" t="s">
        <v>6</v>
      </c>
      <c r="G29" s="29" t="s">
        <v>2812</v>
      </c>
      <c r="H29" s="29" t="s">
        <v>2813</v>
      </c>
    </row>
    <row r="30" spans="2:8" x14ac:dyDescent="0.3">
      <c r="B30" s="44">
        <v>45743</v>
      </c>
      <c r="C30" s="45">
        <v>45717</v>
      </c>
      <c r="D30" s="29" t="s">
        <v>2811</v>
      </c>
      <c r="E30" s="29" t="s">
        <v>3166</v>
      </c>
      <c r="F30" s="47" t="s">
        <v>6</v>
      </c>
      <c r="G30" s="29" t="s">
        <v>2814</v>
      </c>
      <c r="H30" s="29" t="s">
        <v>2815</v>
      </c>
    </row>
    <row r="31" spans="2:8" x14ac:dyDescent="0.3">
      <c r="B31" s="44">
        <v>45743</v>
      </c>
      <c r="C31" s="45">
        <v>45717</v>
      </c>
      <c r="D31" s="29" t="s">
        <v>2811</v>
      </c>
      <c r="E31" s="29" t="s">
        <v>3166</v>
      </c>
      <c r="F31" s="47" t="s">
        <v>6</v>
      </c>
      <c r="G31" s="29" t="s">
        <v>2816</v>
      </c>
      <c r="H31" s="29" t="s">
        <v>2817</v>
      </c>
    </row>
    <row r="32" spans="2:8" x14ac:dyDescent="0.3">
      <c r="B32" s="44">
        <v>45743</v>
      </c>
      <c r="C32" s="45">
        <v>45717</v>
      </c>
      <c r="D32" s="29" t="s">
        <v>2811</v>
      </c>
      <c r="E32" s="29" t="s">
        <v>3166</v>
      </c>
      <c r="F32" s="47" t="s">
        <v>6</v>
      </c>
      <c r="G32" s="29" t="s">
        <v>2818</v>
      </c>
      <c r="H32" s="29" t="s">
        <v>2819</v>
      </c>
    </row>
    <row r="33" spans="2:8" x14ac:dyDescent="0.3">
      <c r="B33" s="44">
        <v>45743</v>
      </c>
      <c r="C33" s="45">
        <v>45717</v>
      </c>
      <c r="D33" s="29" t="s">
        <v>2811</v>
      </c>
      <c r="E33" s="29" t="s">
        <v>3166</v>
      </c>
      <c r="F33" s="47" t="s">
        <v>6</v>
      </c>
      <c r="G33" s="29" t="s">
        <v>2822</v>
      </c>
      <c r="H33" s="29" t="s">
        <v>2823</v>
      </c>
    </row>
    <row r="34" spans="2:8" x14ac:dyDescent="0.3">
      <c r="B34" s="44">
        <v>45744</v>
      </c>
      <c r="C34" s="45">
        <v>45717</v>
      </c>
      <c r="D34" s="29" t="s">
        <v>2811</v>
      </c>
      <c r="E34" s="29" t="s">
        <v>3166</v>
      </c>
      <c r="F34" s="47" t="s">
        <v>6</v>
      </c>
      <c r="G34" s="29" t="s">
        <v>2812</v>
      </c>
      <c r="H34" s="29" t="s">
        <v>2813</v>
      </c>
    </row>
    <row r="35" spans="2:8" x14ac:dyDescent="0.3">
      <c r="B35" s="44">
        <v>45744</v>
      </c>
      <c r="C35" s="45">
        <v>45717</v>
      </c>
      <c r="D35" s="29" t="s">
        <v>2811</v>
      </c>
      <c r="E35" s="29" t="s">
        <v>3166</v>
      </c>
      <c r="F35" s="47" t="s">
        <v>6</v>
      </c>
      <c r="G35" s="29" t="s">
        <v>2814</v>
      </c>
      <c r="H35" s="29" t="s">
        <v>2815</v>
      </c>
    </row>
    <row r="36" spans="2:8" x14ac:dyDescent="0.3">
      <c r="B36" s="44">
        <v>45744</v>
      </c>
      <c r="C36" s="45">
        <v>45717</v>
      </c>
      <c r="D36" s="29" t="s">
        <v>2811</v>
      </c>
      <c r="E36" s="29" t="s">
        <v>3166</v>
      </c>
      <c r="F36" s="47" t="s">
        <v>6</v>
      </c>
      <c r="G36" s="29" t="s">
        <v>2816</v>
      </c>
      <c r="H36" s="29" t="s">
        <v>2817</v>
      </c>
    </row>
    <row r="37" spans="2:8" x14ac:dyDescent="0.3">
      <c r="B37" s="44">
        <v>45744</v>
      </c>
      <c r="C37" s="45">
        <v>45717</v>
      </c>
      <c r="D37" s="29" t="s">
        <v>2811</v>
      </c>
      <c r="E37" s="29" t="s">
        <v>3166</v>
      </c>
      <c r="F37" s="47" t="s">
        <v>6</v>
      </c>
      <c r="G37" s="29" t="s">
        <v>2818</v>
      </c>
      <c r="H37" s="29" t="s">
        <v>2819</v>
      </c>
    </row>
    <row r="38" spans="2:8" x14ac:dyDescent="0.3">
      <c r="B38" s="44">
        <v>45747</v>
      </c>
      <c r="C38" s="45">
        <v>45717</v>
      </c>
      <c r="D38" s="29" t="s">
        <v>2811</v>
      </c>
      <c r="E38" s="29" t="s">
        <v>3166</v>
      </c>
      <c r="F38" s="47" t="s">
        <v>6</v>
      </c>
      <c r="G38" s="29" t="s">
        <v>2812</v>
      </c>
      <c r="H38" s="29" t="s">
        <v>2813</v>
      </c>
    </row>
    <row r="39" spans="2:8" x14ac:dyDescent="0.3">
      <c r="B39" s="44">
        <v>45747</v>
      </c>
      <c r="C39" s="45">
        <v>45717</v>
      </c>
      <c r="D39" s="29" t="s">
        <v>2811</v>
      </c>
      <c r="E39" s="29" t="s">
        <v>3166</v>
      </c>
      <c r="F39" s="47" t="s">
        <v>6</v>
      </c>
      <c r="G39" s="29" t="s">
        <v>2814</v>
      </c>
      <c r="H39" s="29" t="s">
        <v>2815</v>
      </c>
    </row>
    <row r="40" spans="2:8" x14ac:dyDescent="0.3">
      <c r="B40" s="44">
        <v>45747</v>
      </c>
      <c r="C40" s="45">
        <v>45717</v>
      </c>
      <c r="D40" s="29" t="s">
        <v>2811</v>
      </c>
      <c r="E40" s="29" t="s">
        <v>3166</v>
      </c>
      <c r="F40" s="47" t="s">
        <v>6</v>
      </c>
      <c r="G40" s="29" t="s">
        <v>2816</v>
      </c>
      <c r="H40" s="29" t="s">
        <v>2817</v>
      </c>
    </row>
    <row r="41" spans="2:8" x14ac:dyDescent="0.3">
      <c r="B41" s="44">
        <v>45747</v>
      </c>
      <c r="C41" s="45">
        <v>45717</v>
      </c>
      <c r="D41" s="29" t="s">
        <v>2811</v>
      </c>
      <c r="E41" s="29" t="s">
        <v>3166</v>
      </c>
      <c r="F41" s="47" t="s">
        <v>6</v>
      </c>
      <c r="G41" s="29" t="s">
        <v>2818</v>
      </c>
      <c r="H41" s="29" t="s">
        <v>2819</v>
      </c>
    </row>
    <row r="42" spans="2:8" x14ac:dyDescent="0.3">
      <c r="B42" s="44">
        <v>45747</v>
      </c>
      <c r="C42" s="45">
        <v>45778</v>
      </c>
      <c r="D42" s="29" t="s">
        <v>2811</v>
      </c>
      <c r="E42" s="29" t="s">
        <v>3166</v>
      </c>
      <c r="F42" s="47" t="s">
        <v>6</v>
      </c>
      <c r="G42" s="29" t="s">
        <v>3167</v>
      </c>
      <c r="H42" s="51" t="s">
        <v>3168</v>
      </c>
    </row>
    <row r="43" spans="2:8" x14ac:dyDescent="0.3">
      <c r="B43" s="44">
        <v>45747</v>
      </c>
      <c r="C43" s="45">
        <v>45778</v>
      </c>
      <c r="D43" s="29" t="s">
        <v>2811</v>
      </c>
      <c r="E43" s="29" t="s">
        <v>3166</v>
      </c>
      <c r="F43" s="47" t="s">
        <v>6</v>
      </c>
      <c r="G43" s="29" t="s">
        <v>3169</v>
      </c>
      <c r="H43" s="52" t="s">
        <v>3170</v>
      </c>
    </row>
    <row r="44" spans="2:8" x14ac:dyDescent="0.3">
      <c r="B44" s="44">
        <v>45748</v>
      </c>
      <c r="C44" s="45">
        <v>45748</v>
      </c>
      <c r="D44" s="29" t="s">
        <v>2811</v>
      </c>
      <c r="E44" s="29" t="s">
        <v>3166</v>
      </c>
      <c r="F44" s="47" t="s">
        <v>6</v>
      </c>
      <c r="G44" s="29" t="s">
        <v>2812</v>
      </c>
      <c r="H44" s="29" t="s">
        <v>2813</v>
      </c>
    </row>
    <row r="45" spans="2:8" x14ac:dyDescent="0.3">
      <c r="B45" s="44">
        <v>45748</v>
      </c>
      <c r="C45" s="45">
        <v>45748</v>
      </c>
      <c r="D45" s="29" t="s">
        <v>2811</v>
      </c>
      <c r="E45" s="29" t="s">
        <v>3166</v>
      </c>
      <c r="F45" s="47" t="s">
        <v>6</v>
      </c>
      <c r="G45" s="29" t="s">
        <v>2814</v>
      </c>
      <c r="H45" s="29" t="s">
        <v>2815</v>
      </c>
    </row>
    <row r="46" spans="2:8" x14ac:dyDescent="0.3">
      <c r="B46" s="44">
        <v>45748</v>
      </c>
      <c r="C46" s="45">
        <v>45748</v>
      </c>
      <c r="D46" s="29" t="s">
        <v>2811</v>
      </c>
      <c r="E46" s="29" t="s">
        <v>3166</v>
      </c>
      <c r="F46" s="47" t="s">
        <v>6</v>
      </c>
      <c r="G46" s="29" t="s">
        <v>2816</v>
      </c>
      <c r="H46" s="29" t="s">
        <v>2817</v>
      </c>
    </row>
    <row r="47" spans="2:8" x14ac:dyDescent="0.3">
      <c r="B47" s="44">
        <v>45748</v>
      </c>
      <c r="C47" s="45">
        <v>45748</v>
      </c>
      <c r="D47" s="29" t="s">
        <v>2811</v>
      </c>
      <c r="E47" s="29" t="s">
        <v>3166</v>
      </c>
      <c r="F47" s="47" t="s">
        <v>6</v>
      </c>
      <c r="G47" s="29" t="s">
        <v>2818</v>
      </c>
      <c r="H47" s="29" t="s">
        <v>2819</v>
      </c>
    </row>
    <row r="48" spans="2:8" x14ac:dyDescent="0.3">
      <c r="B48" s="44">
        <v>45749</v>
      </c>
      <c r="C48" s="45">
        <v>45748</v>
      </c>
      <c r="D48" s="29" t="s">
        <v>2811</v>
      </c>
      <c r="E48" s="29" t="s">
        <v>3166</v>
      </c>
      <c r="F48" s="47" t="s">
        <v>6</v>
      </c>
      <c r="G48" s="29" t="s">
        <v>2812</v>
      </c>
      <c r="H48" s="29" t="s">
        <v>2813</v>
      </c>
    </row>
    <row r="49" spans="2:8" x14ac:dyDescent="0.3">
      <c r="B49" s="44">
        <v>45749</v>
      </c>
      <c r="C49" s="45">
        <v>45748</v>
      </c>
      <c r="D49" s="29" t="s">
        <v>2811</v>
      </c>
      <c r="E49" s="29" t="s">
        <v>3166</v>
      </c>
      <c r="F49" s="47" t="s">
        <v>6</v>
      </c>
      <c r="G49" s="29" t="s">
        <v>2814</v>
      </c>
      <c r="H49" s="29" t="s">
        <v>2815</v>
      </c>
    </row>
    <row r="50" spans="2:8" x14ac:dyDescent="0.3">
      <c r="B50" s="44">
        <v>45749</v>
      </c>
      <c r="C50" s="45">
        <v>45748</v>
      </c>
      <c r="D50" s="29" t="s">
        <v>2811</v>
      </c>
      <c r="E50" s="29" t="s">
        <v>3166</v>
      </c>
      <c r="F50" s="47" t="s">
        <v>6</v>
      </c>
      <c r="G50" s="29" t="s">
        <v>2816</v>
      </c>
      <c r="H50" s="29" t="s">
        <v>2817</v>
      </c>
    </row>
    <row r="51" spans="2:8" x14ac:dyDescent="0.3">
      <c r="B51" s="44">
        <v>45749</v>
      </c>
      <c r="C51" s="45">
        <v>45748</v>
      </c>
      <c r="D51" s="29" t="s">
        <v>2811</v>
      </c>
      <c r="E51" s="29" t="s">
        <v>3166</v>
      </c>
      <c r="F51" s="47" t="s">
        <v>6</v>
      </c>
      <c r="G51" s="29" t="s">
        <v>2818</v>
      </c>
      <c r="H51" s="29" t="s">
        <v>2819</v>
      </c>
    </row>
    <row r="52" spans="2:8" x14ac:dyDescent="0.3">
      <c r="B52" s="44">
        <v>45750</v>
      </c>
      <c r="C52" s="45">
        <v>45748</v>
      </c>
      <c r="D52" s="29" t="s">
        <v>2811</v>
      </c>
      <c r="E52" s="29" t="s">
        <v>3166</v>
      </c>
      <c r="F52" s="47" t="s">
        <v>6</v>
      </c>
      <c r="G52" s="29" t="s">
        <v>2812</v>
      </c>
      <c r="H52" s="29" t="s">
        <v>2813</v>
      </c>
    </row>
    <row r="53" spans="2:8" x14ac:dyDescent="0.3">
      <c r="B53" s="44">
        <v>45750</v>
      </c>
      <c r="C53" s="45">
        <v>45748</v>
      </c>
      <c r="D53" s="29" t="s">
        <v>2811</v>
      </c>
      <c r="E53" s="29" t="s">
        <v>3166</v>
      </c>
      <c r="F53" s="47" t="s">
        <v>6</v>
      </c>
      <c r="G53" s="29" t="s">
        <v>2814</v>
      </c>
      <c r="H53" s="29" t="s">
        <v>2815</v>
      </c>
    </row>
    <row r="54" spans="2:8" x14ac:dyDescent="0.3">
      <c r="B54" s="44">
        <v>45750</v>
      </c>
      <c r="C54" s="45">
        <v>45748</v>
      </c>
      <c r="D54" s="29" t="s">
        <v>2811</v>
      </c>
      <c r="E54" s="29" t="s">
        <v>3166</v>
      </c>
      <c r="F54" s="47" t="s">
        <v>6</v>
      </c>
      <c r="G54" s="29" t="s">
        <v>2816</v>
      </c>
      <c r="H54" s="29" t="s">
        <v>2817</v>
      </c>
    </row>
    <row r="55" spans="2:8" x14ac:dyDescent="0.3">
      <c r="B55" s="44">
        <v>45750</v>
      </c>
      <c r="C55" s="45">
        <v>45748</v>
      </c>
      <c r="D55" s="29" t="s">
        <v>2811</v>
      </c>
      <c r="E55" s="29" t="s">
        <v>3166</v>
      </c>
      <c r="F55" s="47" t="s">
        <v>6</v>
      </c>
      <c r="G55" s="29" t="s">
        <v>2818</v>
      </c>
      <c r="H55" s="29" t="s">
        <v>2819</v>
      </c>
    </row>
    <row r="56" spans="2:8" x14ac:dyDescent="0.3">
      <c r="B56" s="44">
        <v>45750</v>
      </c>
      <c r="C56" s="45">
        <v>45748</v>
      </c>
      <c r="D56" s="29" t="s">
        <v>2811</v>
      </c>
      <c r="E56" s="29" t="s">
        <v>3166</v>
      </c>
      <c r="F56" s="19" t="s">
        <v>4</v>
      </c>
      <c r="G56" s="29" t="s">
        <v>3171</v>
      </c>
      <c r="H56" s="29" t="s">
        <v>3172</v>
      </c>
    </row>
    <row r="57" spans="2:8" x14ac:dyDescent="0.3">
      <c r="B57" s="44">
        <v>45751</v>
      </c>
      <c r="C57" s="45">
        <v>45748</v>
      </c>
      <c r="D57" s="29" t="s">
        <v>2811</v>
      </c>
      <c r="E57" s="29" t="s">
        <v>3166</v>
      </c>
      <c r="F57" s="47" t="s">
        <v>6</v>
      </c>
      <c r="G57" s="29" t="s">
        <v>2812</v>
      </c>
      <c r="H57" s="29" t="s">
        <v>2813</v>
      </c>
    </row>
    <row r="58" spans="2:8" x14ac:dyDescent="0.3">
      <c r="B58" s="44">
        <v>45751</v>
      </c>
      <c r="C58" s="45">
        <v>45748</v>
      </c>
      <c r="D58" s="29" t="s">
        <v>2811</v>
      </c>
      <c r="E58" s="29" t="s">
        <v>3166</v>
      </c>
      <c r="F58" s="47" t="s">
        <v>6</v>
      </c>
      <c r="G58" s="29" t="s">
        <v>2814</v>
      </c>
      <c r="H58" s="29" t="s">
        <v>2815</v>
      </c>
    </row>
    <row r="59" spans="2:8" x14ac:dyDescent="0.3">
      <c r="B59" s="44">
        <v>45751</v>
      </c>
      <c r="C59" s="45">
        <v>45748</v>
      </c>
      <c r="D59" s="29" t="s">
        <v>2811</v>
      </c>
      <c r="E59" s="29" t="s">
        <v>3166</v>
      </c>
      <c r="F59" s="47" t="s">
        <v>6</v>
      </c>
      <c r="G59" s="29" t="s">
        <v>2816</v>
      </c>
      <c r="H59" s="29" t="s">
        <v>2817</v>
      </c>
    </row>
    <row r="60" spans="2:8" x14ac:dyDescent="0.3">
      <c r="B60" s="44">
        <v>45751</v>
      </c>
      <c r="C60" s="45">
        <v>45748</v>
      </c>
      <c r="D60" s="29" t="s">
        <v>2811</v>
      </c>
      <c r="E60" s="29" t="s">
        <v>3166</v>
      </c>
      <c r="F60" s="47" t="s">
        <v>6</v>
      </c>
      <c r="G60" s="29" t="s">
        <v>2818</v>
      </c>
      <c r="H60" s="29" t="s">
        <v>2819</v>
      </c>
    </row>
    <row r="61" spans="2:8" x14ac:dyDescent="0.3">
      <c r="B61" s="44">
        <v>45751</v>
      </c>
      <c r="C61" s="45">
        <v>45748</v>
      </c>
      <c r="D61" s="29" t="s">
        <v>2811</v>
      </c>
      <c r="E61" s="29" t="s">
        <v>3166</v>
      </c>
      <c r="F61" s="19" t="s">
        <v>4</v>
      </c>
      <c r="G61" s="29" t="s">
        <v>3173</v>
      </c>
      <c r="H61" s="29" t="s">
        <v>3174</v>
      </c>
    </row>
    <row r="62" spans="2:8" x14ac:dyDescent="0.3">
      <c r="B62" s="44">
        <v>45751</v>
      </c>
      <c r="C62" s="45">
        <v>45748</v>
      </c>
      <c r="D62" s="29" t="s">
        <v>2811</v>
      </c>
      <c r="E62" s="29" t="s">
        <v>3166</v>
      </c>
      <c r="F62" s="47" t="s">
        <v>6</v>
      </c>
      <c r="G62" s="29" t="s">
        <v>3175</v>
      </c>
      <c r="H62" s="29" t="s">
        <v>3176</v>
      </c>
    </row>
    <row r="63" spans="2:8" x14ac:dyDescent="0.3">
      <c r="B63" s="44">
        <v>45752</v>
      </c>
      <c r="C63" s="45">
        <v>45748</v>
      </c>
      <c r="D63" s="29" t="s">
        <v>2811</v>
      </c>
      <c r="E63" s="29" t="s">
        <v>3166</v>
      </c>
      <c r="F63" s="47" t="s">
        <v>6</v>
      </c>
      <c r="G63" s="29" t="s">
        <v>2824</v>
      </c>
      <c r="H63" s="29" t="s">
        <v>2825</v>
      </c>
    </row>
    <row r="64" spans="2:8" x14ac:dyDescent="0.3">
      <c r="B64" s="44">
        <v>45753</v>
      </c>
      <c r="C64" s="45">
        <v>45748</v>
      </c>
      <c r="D64" s="29" t="s">
        <v>2811</v>
      </c>
      <c r="E64" s="29" t="s">
        <v>3166</v>
      </c>
      <c r="F64" s="47" t="s">
        <v>6</v>
      </c>
      <c r="G64" s="29" t="s">
        <v>81</v>
      </c>
      <c r="H64" s="29" t="s">
        <v>2826</v>
      </c>
    </row>
    <row r="65" spans="2:8" x14ac:dyDescent="0.3">
      <c r="B65" s="44">
        <v>45754</v>
      </c>
      <c r="C65" s="45">
        <v>45748</v>
      </c>
      <c r="D65" s="29" t="s">
        <v>2811</v>
      </c>
      <c r="E65" s="29" t="s">
        <v>3166</v>
      </c>
      <c r="F65" s="47" t="s">
        <v>6</v>
      </c>
      <c r="G65" s="29" t="s">
        <v>2812</v>
      </c>
      <c r="H65" s="29" t="s">
        <v>2813</v>
      </c>
    </row>
    <row r="66" spans="2:8" x14ac:dyDescent="0.3">
      <c r="B66" s="44">
        <v>45754</v>
      </c>
      <c r="C66" s="45">
        <v>45748</v>
      </c>
      <c r="D66" s="29" t="s">
        <v>2811</v>
      </c>
      <c r="E66" s="29" t="s">
        <v>3166</v>
      </c>
      <c r="F66" s="47" t="s">
        <v>6</v>
      </c>
      <c r="G66" s="29" t="s">
        <v>2814</v>
      </c>
      <c r="H66" s="29" t="s">
        <v>2815</v>
      </c>
    </row>
    <row r="67" spans="2:8" x14ac:dyDescent="0.3">
      <c r="B67" s="44">
        <v>45754</v>
      </c>
      <c r="C67" s="45">
        <v>45748</v>
      </c>
      <c r="D67" s="29" t="s">
        <v>2811</v>
      </c>
      <c r="E67" s="29" t="s">
        <v>3166</v>
      </c>
      <c r="F67" s="47" t="s">
        <v>6</v>
      </c>
      <c r="G67" s="29" t="s">
        <v>2816</v>
      </c>
      <c r="H67" s="29" t="s">
        <v>2817</v>
      </c>
    </row>
    <row r="68" spans="2:8" x14ac:dyDescent="0.3">
      <c r="B68" s="44">
        <v>45754</v>
      </c>
      <c r="C68" s="45">
        <v>45748</v>
      </c>
      <c r="D68" s="29" t="s">
        <v>2811</v>
      </c>
      <c r="E68" s="29" t="s">
        <v>3166</v>
      </c>
      <c r="F68" s="47" t="s">
        <v>6</v>
      </c>
      <c r="G68" s="29" t="s">
        <v>2818</v>
      </c>
      <c r="H68" s="29" t="s">
        <v>2819</v>
      </c>
    </row>
    <row r="69" spans="2:8" x14ac:dyDescent="0.3">
      <c r="B69" s="44">
        <v>45754</v>
      </c>
      <c r="C69" s="45">
        <v>45748</v>
      </c>
      <c r="D69" s="29" t="s">
        <v>2811</v>
      </c>
      <c r="E69" s="29" t="s">
        <v>3166</v>
      </c>
      <c r="F69" s="47" t="s">
        <v>6</v>
      </c>
      <c r="G69" s="29" t="s">
        <v>2827</v>
      </c>
      <c r="H69" s="29" t="s">
        <v>2828</v>
      </c>
    </row>
    <row r="70" spans="2:8" x14ac:dyDescent="0.3">
      <c r="B70" s="44">
        <v>45755</v>
      </c>
      <c r="C70" s="45">
        <v>45748</v>
      </c>
      <c r="D70" s="29" t="s">
        <v>2811</v>
      </c>
      <c r="E70" s="29" t="s">
        <v>3166</v>
      </c>
      <c r="F70" s="47" t="s">
        <v>6</v>
      </c>
      <c r="G70" s="29" t="s">
        <v>2812</v>
      </c>
      <c r="H70" s="29" t="s">
        <v>2813</v>
      </c>
    </row>
    <row r="71" spans="2:8" x14ac:dyDescent="0.3">
      <c r="B71" s="44">
        <v>45755</v>
      </c>
      <c r="C71" s="45">
        <v>45748</v>
      </c>
      <c r="D71" s="29" t="s">
        <v>2811</v>
      </c>
      <c r="E71" s="29" t="s">
        <v>3166</v>
      </c>
      <c r="F71" s="47" t="s">
        <v>6</v>
      </c>
      <c r="G71" s="29" t="s">
        <v>2814</v>
      </c>
      <c r="H71" s="29" t="s">
        <v>2815</v>
      </c>
    </row>
    <row r="72" spans="2:8" x14ac:dyDescent="0.3">
      <c r="B72" s="44">
        <v>45755</v>
      </c>
      <c r="C72" s="45">
        <v>45748</v>
      </c>
      <c r="D72" s="29" t="s">
        <v>2811</v>
      </c>
      <c r="E72" s="29" t="s">
        <v>3166</v>
      </c>
      <c r="F72" s="47" t="s">
        <v>6</v>
      </c>
      <c r="G72" s="29" t="s">
        <v>2816</v>
      </c>
      <c r="H72" s="29" t="s">
        <v>2817</v>
      </c>
    </row>
    <row r="73" spans="2:8" x14ac:dyDescent="0.3">
      <c r="B73" s="44">
        <v>45755</v>
      </c>
      <c r="C73" s="45">
        <v>45748</v>
      </c>
      <c r="D73" s="29" t="s">
        <v>2811</v>
      </c>
      <c r="E73" s="29" t="s">
        <v>3166</v>
      </c>
      <c r="F73" s="47" t="s">
        <v>6</v>
      </c>
      <c r="G73" s="29" t="s">
        <v>2818</v>
      </c>
      <c r="H73" s="29" t="s">
        <v>2819</v>
      </c>
    </row>
    <row r="74" spans="2:8" x14ac:dyDescent="0.3">
      <c r="B74" s="44">
        <v>45755</v>
      </c>
      <c r="C74" s="45">
        <v>45748</v>
      </c>
      <c r="D74" s="29" t="s">
        <v>2811</v>
      </c>
      <c r="E74" s="29" t="s">
        <v>3166</v>
      </c>
      <c r="F74" s="47" t="s">
        <v>6</v>
      </c>
      <c r="G74" s="29" t="s">
        <v>2827</v>
      </c>
      <c r="H74" s="29" t="s">
        <v>2829</v>
      </c>
    </row>
    <row r="75" spans="2:8" x14ac:dyDescent="0.3">
      <c r="B75" s="44">
        <v>45756</v>
      </c>
      <c r="C75" s="45">
        <v>45748</v>
      </c>
      <c r="D75" s="29" t="s">
        <v>2811</v>
      </c>
      <c r="E75" s="29" t="s">
        <v>3166</v>
      </c>
      <c r="F75" s="47" t="s">
        <v>6</v>
      </c>
      <c r="G75" s="29" t="s">
        <v>2812</v>
      </c>
      <c r="H75" s="29" t="s">
        <v>2813</v>
      </c>
    </row>
    <row r="76" spans="2:8" x14ac:dyDescent="0.3">
      <c r="B76" s="44">
        <v>45756</v>
      </c>
      <c r="C76" s="45">
        <v>45748</v>
      </c>
      <c r="D76" s="29" t="s">
        <v>2811</v>
      </c>
      <c r="E76" s="29" t="s">
        <v>3166</v>
      </c>
      <c r="F76" s="47" t="s">
        <v>6</v>
      </c>
      <c r="G76" s="29" t="s">
        <v>2814</v>
      </c>
      <c r="H76" s="29" t="s">
        <v>2815</v>
      </c>
    </row>
    <row r="77" spans="2:8" x14ac:dyDescent="0.3">
      <c r="B77" s="44">
        <v>45756</v>
      </c>
      <c r="C77" s="45">
        <v>45748</v>
      </c>
      <c r="D77" s="29" t="s">
        <v>2811</v>
      </c>
      <c r="E77" s="29" t="s">
        <v>3166</v>
      </c>
      <c r="F77" s="47" t="s">
        <v>6</v>
      </c>
      <c r="G77" s="29" t="s">
        <v>2816</v>
      </c>
      <c r="H77" s="29" t="s">
        <v>2817</v>
      </c>
    </row>
    <row r="78" spans="2:8" x14ac:dyDescent="0.3">
      <c r="B78" s="44">
        <v>45756</v>
      </c>
      <c r="C78" s="45">
        <v>45748</v>
      </c>
      <c r="D78" s="29" t="s">
        <v>2811</v>
      </c>
      <c r="E78" s="29" t="s">
        <v>3166</v>
      </c>
      <c r="F78" s="47" t="s">
        <v>6</v>
      </c>
      <c r="G78" s="29" t="s">
        <v>2818</v>
      </c>
      <c r="H78" s="29" t="s">
        <v>2819</v>
      </c>
    </row>
    <row r="79" spans="2:8" x14ac:dyDescent="0.3">
      <c r="B79" s="44">
        <v>45757</v>
      </c>
      <c r="C79" s="45">
        <v>45748</v>
      </c>
      <c r="D79" s="29" t="s">
        <v>2811</v>
      </c>
      <c r="E79" s="29" t="s">
        <v>3166</v>
      </c>
      <c r="F79" s="47" t="s">
        <v>6</v>
      </c>
      <c r="G79" s="29" t="s">
        <v>2812</v>
      </c>
      <c r="H79" s="29" t="s">
        <v>2813</v>
      </c>
    </row>
    <row r="80" spans="2:8" x14ac:dyDescent="0.3">
      <c r="B80" s="44">
        <v>45757</v>
      </c>
      <c r="C80" s="45">
        <v>45748</v>
      </c>
      <c r="D80" s="29" t="s">
        <v>2811</v>
      </c>
      <c r="E80" s="29" t="s">
        <v>3166</v>
      </c>
      <c r="F80" s="47" t="s">
        <v>6</v>
      </c>
      <c r="G80" s="29" t="s">
        <v>2814</v>
      </c>
      <c r="H80" s="29" t="s">
        <v>2815</v>
      </c>
    </row>
    <row r="81" spans="2:8" x14ac:dyDescent="0.3">
      <c r="B81" s="44">
        <v>45757</v>
      </c>
      <c r="C81" s="45">
        <v>45748</v>
      </c>
      <c r="D81" s="29" t="s">
        <v>2811</v>
      </c>
      <c r="E81" s="29" t="s">
        <v>3166</v>
      </c>
      <c r="F81" s="47" t="s">
        <v>6</v>
      </c>
      <c r="G81" s="29" t="s">
        <v>2816</v>
      </c>
      <c r="H81" s="29" t="s">
        <v>2817</v>
      </c>
    </row>
    <row r="82" spans="2:8" x14ac:dyDescent="0.3">
      <c r="B82" s="44">
        <v>45757</v>
      </c>
      <c r="C82" s="45">
        <v>45748</v>
      </c>
      <c r="D82" s="29" t="s">
        <v>2811</v>
      </c>
      <c r="E82" s="29" t="s">
        <v>3166</v>
      </c>
      <c r="F82" s="47" t="s">
        <v>6</v>
      </c>
      <c r="G82" s="29" t="s">
        <v>2818</v>
      </c>
      <c r="H82" s="29" t="s">
        <v>2819</v>
      </c>
    </row>
    <row r="83" spans="2:8" x14ac:dyDescent="0.3">
      <c r="B83" s="44">
        <v>45758</v>
      </c>
      <c r="C83" s="45">
        <v>45748</v>
      </c>
      <c r="D83" s="29" t="s">
        <v>2811</v>
      </c>
      <c r="E83" s="29" t="s">
        <v>3166</v>
      </c>
      <c r="F83" s="47" t="s">
        <v>6</v>
      </c>
      <c r="G83" s="29" t="s">
        <v>2812</v>
      </c>
      <c r="H83" s="29" t="s">
        <v>2813</v>
      </c>
    </row>
    <row r="84" spans="2:8" x14ac:dyDescent="0.3">
      <c r="B84" s="44">
        <v>45758</v>
      </c>
      <c r="C84" s="45">
        <v>45748</v>
      </c>
      <c r="D84" s="29" t="s">
        <v>2811</v>
      </c>
      <c r="E84" s="29" t="s">
        <v>3166</v>
      </c>
      <c r="F84" s="47" t="s">
        <v>6</v>
      </c>
      <c r="G84" s="29" t="s">
        <v>2814</v>
      </c>
      <c r="H84" s="29" t="s">
        <v>2815</v>
      </c>
    </row>
    <row r="85" spans="2:8" x14ac:dyDescent="0.3">
      <c r="B85" s="44">
        <v>45758</v>
      </c>
      <c r="C85" s="45">
        <v>45748</v>
      </c>
      <c r="D85" s="29" t="s">
        <v>2811</v>
      </c>
      <c r="E85" s="29" t="s">
        <v>3166</v>
      </c>
      <c r="F85" s="47" t="s">
        <v>6</v>
      </c>
      <c r="G85" s="29" t="s">
        <v>2816</v>
      </c>
      <c r="H85" s="29" t="s">
        <v>2817</v>
      </c>
    </row>
    <row r="86" spans="2:8" x14ac:dyDescent="0.3">
      <c r="B86" s="44">
        <v>45758</v>
      </c>
      <c r="C86" s="45">
        <v>45748</v>
      </c>
      <c r="D86" s="29" t="s">
        <v>2811</v>
      </c>
      <c r="E86" s="29" t="s">
        <v>3166</v>
      </c>
      <c r="F86" s="47" t="s">
        <v>6</v>
      </c>
      <c r="G86" s="29" t="s">
        <v>2818</v>
      </c>
      <c r="H86" s="29" t="s">
        <v>2819</v>
      </c>
    </row>
    <row r="87" spans="2:8" x14ac:dyDescent="0.3">
      <c r="B87" s="44">
        <v>45761</v>
      </c>
      <c r="C87" s="45">
        <v>45748</v>
      </c>
      <c r="D87" s="29" t="s">
        <v>2811</v>
      </c>
      <c r="E87" s="29" t="s">
        <v>3166</v>
      </c>
      <c r="F87" s="47" t="s">
        <v>6</v>
      </c>
      <c r="G87" s="29" t="s">
        <v>2812</v>
      </c>
      <c r="H87" s="29" t="s">
        <v>2813</v>
      </c>
    </row>
    <row r="88" spans="2:8" x14ac:dyDescent="0.3">
      <c r="B88" s="44">
        <v>45761</v>
      </c>
      <c r="C88" s="45">
        <v>45748</v>
      </c>
      <c r="D88" s="29" t="s">
        <v>2830</v>
      </c>
      <c r="E88" s="29" t="s">
        <v>3166</v>
      </c>
      <c r="F88" s="47" t="s">
        <v>6</v>
      </c>
      <c r="G88" s="29" t="s">
        <v>3177</v>
      </c>
      <c r="H88" s="29" t="s">
        <v>2832</v>
      </c>
    </row>
    <row r="89" spans="2:8" x14ac:dyDescent="0.3">
      <c r="B89" s="44">
        <v>45761</v>
      </c>
      <c r="C89" s="45">
        <v>45748</v>
      </c>
      <c r="D89" s="29" t="s">
        <v>2811</v>
      </c>
      <c r="E89" s="29" t="s">
        <v>3166</v>
      </c>
      <c r="F89" s="47" t="s">
        <v>6</v>
      </c>
      <c r="G89" s="29" t="s">
        <v>2814</v>
      </c>
      <c r="H89" s="29" t="s">
        <v>2815</v>
      </c>
    </row>
    <row r="90" spans="2:8" x14ac:dyDescent="0.3">
      <c r="B90" s="44">
        <v>45761</v>
      </c>
      <c r="C90" s="45">
        <v>45748</v>
      </c>
      <c r="D90" s="29" t="s">
        <v>2811</v>
      </c>
      <c r="E90" s="29" t="s">
        <v>3166</v>
      </c>
      <c r="F90" s="47" t="s">
        <v>6</v>
      </c>
      <c r="G90" s="29" t="s">
        <v>2816</v>
      </c>
      <c r="H90" s="29" t="s">
        <v>2817</v>
      </c>
    </row>
    <row r="91" spans="2:8" x14ac:dyDescent="0.3">
      <c r="B91" s="44">
        <v>45761</v>
      </c>
      <c r="C91" s="45">
        <v>45748</v>
      </c>
      <c r="D91" s="29" t="s">
        <v>2811</v>
      </c>
      <c r="E91" s="29" t="s">
        <v>3166</v>
      </c>
      <c r="F91" s="47" t="s">
        <v>6</v>
      </c>
      <c r="G91" s="29" t="s">
        <v>2818</v>
      </c>
      <c r="H91" s="29" t="s">
        <v>2819</v>
      </c>
    </row>
    <row r="92" spans="2:8" x14ac:dyDescent="0.3">
      <c r="B92" s="44">
        <v>45761</v>
      </c>
      <c r="C92" s="45">
        <v>45748</v>
      </c>
      <c r="D92" s="29" t="s">
        <v>2811</v>
      </c>
      <c r="E92" s="29" t="s">
        <v>3166</v>
      </c>
      <c r="F92" s="19" t="s">
        <v>4</v>
      </c>
      <c r="G92" s="29" t="s">
        <v>3178</v>
      </c>
      <c r="H92" s="50" t="s">
        <v>3179</v>
      </c>
    </row>
    <row r="93" spans="2:8" x14ac:dyDescent="0.3">
      <c r="B93" s="44">
        <v>45762</v>
      </c>
      <c r="C93" s="45">
        <v>45748</v>
      </c>
      <c r="D93" s="29" t="s">
        <v>2811</v>
      </c>
      <c r="E93" s="29" t="s">
        <v>3166</v>
      </c>
      <c r="F93" s="47" t="s">
        <v>6</v>
      </c>
      <c r="G93" s="29" t="s">
        <v>2812</v>
      </c>
      <c r="H93" s="29" t="s">
        <v>2813</v>
      </c>
    </row>
    <row r="94" spans="2:8" x14ac:dyDescent="0.3">
      <c r="B94" s="44">
        <v>45762</v>
      </c>
      <c r="C94" s="45">
        <v>45748</v>
      </c>
      <c r="D94" s="29" t="s">
        <v>2811</v>
      </c>
      <c r="E94" s="29" t="s">
        <v>3166</v>
      </c>
      <c r="F94" s="47" t="s">
        <v>6</v>
      </c>
      <c r="G94" s="29" t="s">
        <v>2814</v>
      </c>
      <c r="H94" s="29" t="s">
        <v>2815</v>
      </c>
    </row>
    <row r="95" spans="2:8" x14ac:dyDescent="0.3">
      <c r="B95" s="44">
        <v>45762</v>
      </c>
      <c r="C95" s="45">
        <v>45748</v>
      </c>
      <c r="D95" s="29" t="s">
        <v>2811</v>
      </c>
      <c r="E95" s="29" t="s">
        <v>3166</v>
      </c>
      <c r="F95" s="47" t="s">
        <v>6</v>
      </c>
      <c r="G95" s="29" t="s">
        <v>2816</v>
      </c>
      <c r="H95" s="29" t="s">
        <v>2817</v>
      </c>
    </row>
    <row r="96" spans="2:8" x14ac:dyDescent="0.3">
      <c r="B96" s="44">
        <v>45762</v>
      </c>
      <c r="C96" s="45">
        <v>45748</v>
      </c>
      <c r="D96" s="29" t="s">
        <v>2811</v>
      </c>
      <c r="E96" s="29" t="s">
        <v>3166</v>
      </c>
      <c r="F96" s="47" t="s">
        <v>6</v>
      </c>
      <c r="G96" s="29" t="s">
        <v>2818</v>
      </c>
      <c r="H96" s="29" t="s">
        <v>2819</v>
      </c>
    </row>
    <row r="97" spans="2:8" x14ac:dyDescent="0.3">
      <c r="B97" s="44">
        <v>45762</v>
      </c>
      <c r="C97" s="45">
        <v>45748</v>
      </c>
      <c r="D97" s="29" t="s">
        <v>2811</v>
      </c>
      <c r="E97" s="29" t="s">
        <v>3166</v>
      </c>
      <c r="F97" s="47" t="s">
        <v>6</v>
      </c>
      <c r="G97" s="29" t="s">
        <v>2812</v>
      </c>
      <c r="H97" s="29" t="s">
        <v>2813</v>
      </c>
    </row>
    <row r="98" spans="2:8" x14ac:dyDescent="0.3">
      <c r="B98" s="46">
        <v>45763</v>
      </c>
      <c r="C98" s="45">
        <v>45748</v>
      </c>
      <c r="D98" s="5" t="s">
        <v>2811</v>
      </c>
      <c r="E98" s="29" t="s">
        <v>3166</v>
      </c>
      <c r="F98" s="47" t="s">
        <v>6</v>
      </c>
      <c r="G98" s="5" t="s">
        <v>2812</v>
      </c>
      <c r="H98" s="5" t="s">
        <v>2813</v>
      </c>
    </row>
    <row r="99" spans="2:8" x14ac:dyDescent="0.3">
      <c r="B99" s="46">
        <v>45763</v>
      </c>
      <c r="C99" s="45">
        <v>45748</v>
      </c>
      <c r="D99" s="5" t="s">
        <v>2811</v>
      </c>
      <c r="E99" s="29" t="s">
        <v>3166</v>
      </c>
      <c r="F99" s="47" t="s">
        <v>6</v>
      </c>
      <c r="G99" s="5" t="s">
        <v>2814</v>
      </c>
      <c r="H99" s="5" t="s">
        <v>2815</v>
      </c>
    </row>
    <row r="100" spans="2:8" x14ac:dyDescent="0.3">
      <c r="B100" s="46">
        <v>45763</v>
      </c>
      <c r="C100" s="45">
        <v>45748</v>
      </c>
      <c r="D100" s="5" t="s">
        <v>2811</v>
      </c>
      <c r="E100" s="29" t="s">
        <v>3166</v>
      </c>
      <c r="F100" s="47" t="s">
        <v>6</v>
      </c>
      <c r="G100" s="5" t="s">
        <v>2816</v>
      </c>
      <c r="H100" s="5" t="s">
        <v>2817</v>
      </c>
    </row>
    <row r="101" spans="2:8" x14ac:dyDescent="0.3">
      <c r="B101" s="46">
        <v>45763</v>
      </c>
      <c r="C101" s="45">
        <v>45748</v>
      </c>
      <c r="D101" s="5" t="s">
        <v>2811</v>
      </c>
      <c r="E101" s="29" t="s">
        <v>3166</v>
      </c>
      <c r="F101" s="47" t="s">
        <v>6</v>
      </c>
      <c r="G101" s="5" t="s">
        <v>2818</v>
      </c>
      <c r="H101" s="5" t="s">
        <v>2819</v>
      </c>
    </row>
    <row r="102" spans="2:8" x14ac:dyDescent="0.3">
      <c r="B102" s="46">
        <v>45764</v>
      </c>
      <c r="C102" s="45">
        <v>45748</v>
      </c>
      <c r="D102" s="5" t="s">
        <v>2811</v>
      </c>
      <c r="E102" s="29" t="s">
        <v>3166</v>
      </c>
      <c r="F102" s="47" t="s">
        <v>6</v>
      </c>
      <c r="G102" s="5" t="s">
        <v>2812</v>
      </c>
      <c r="H102" s="5" t="s">
        <v>2813</v>
      </c>
    </row>
    <row r="103" spans="2:8" x14ac:dyDescent="0.3">
      <c r="B103" s="46">
        <v>45764</v>
      </c>
      <c r="C103" s="45">
        <v>45748</v>
      </c>
      <c r="D103" s="5" t="s">
        <v>2811</v>
      </c>
      <c r="E103" s="29" t="s">
        <v>3166</v>
      </c>
      <c r="F103" s="47" t="s">
        <v>6</v>
      </c>
      <c r="G103" s="5" t="s">
        <v>2814</v>
      </c>
      <c r="H103" s="5" t="s">
        <v>2815</v>
      </c>
    </row>
    <row r="104" spans="2:8" x14ac:dyDescent="0.3">
      <c r="B104" s="46">
        <v>45764</v>
      </c>
      <c r="C104" s="45">
        <v>45748</v>
      </c>
      <c r="D104" s="5" t="s">
        <v>2811</v>
      </c>
      <c r="E104" s="29" t="s">
        <v>3166</v>
      </c>
      <c r="F104" s="47" t="s">
        <v>6</v>
      </c>
      <c r="G104" s="5" t="s">
        <v>2816</v>
      </c>
      <c r="H104" s="5" t="s">
        <v>2817</v>
      </c>
    </row>
    <row r="105" spans="2:8" x14ac:dyDescent="0.3">
      <c r="B105" s="46">
        <v>45764</v>
      </c>
      <c r="C105" s="45">
        <v>45748</v>
      </c>
      <c r="D105" s="5" t="s">
        <v>2811</v>
      </c>
      <c r="E105" s="29" t="s">
        <v>3166</v>
      </c>
      <c r="F105" s="47" t="s">
        <v>6</v>
      </c>
      <c r="G105" s="5" t="s">
        <v>2818</v>
      </c>
      <c r="H105" s="5" t="s">
        <v>2819</v>
      </c>
    </row>
    <row r="106" spans="2:8" x14ac:dyDescent="0.3">
      <c r="B106" s="46">
        <v>45768</v>
      </c>
      <c r="C106" s="45">
        <v>45748</v>
      </c>
      <c r="D106" s="5" t="s">
        <v>2811</v>
      </c>
      <c r="E106" s="29" t="s">
        <v>3166</v>
      </c>
      <c r="F106" s="47" t="s">
        <v>6</v>
      </c>
      <c r="G106" s="5" t="s">
        <v>2812</v>
      </c>
      <c r="H106" s="5" t="s">
        <v>2813</v>
      </c>
    </row>
    <row r="107" spans="2:8" x14ac:dyDescent="0.3">
      <c r="B107" s="46">
        <v>45768</v>
      </c>
      <c r="C107" s="45">
        <v>45748</v>
      </c>
      <c r="D107" s="5" t="s">
        <v>2811</v>
      </c>
      <c r="E107" s="29" t="s">
        <v>3166</v>
      </c>
      <c r="F107" s="47" t="s">
        <v>6</v>
      </c>
      <c r="G107" s="5" t="s">
        <v>2814</v>
      </c>
      <c r="H107" s="5" t="s">
        <v>2815</v>
      </c>
    </row>
    <row r="108" spans="2:8" x14ac:dyDescent="0.3">
      <c r="B108" s="46">
        <v>45768</v>
      </c>
      <c r="C108" s="45">
        <v>45748</v>
      </c>
      <c r="D108" s="5" t="s">
        <v>2811</v>
      </c>
      <c r="E108" s="29" t="s">
        <v>3166</v>
      </c>
      <c r="F108" s="47" t="s">
        <v>6</v>
      </c>
      <c r="G108" s="5" t="s">
        <v>2816</v>
      </c>
      <c r="H108" s="5" t="s">
        <v>2817</v>
      </c>
    </row>
    <row r="109" spans="2:8" x14ac:dyDescent="0.3">
      <c r="B109" s="46">
        <v>45768</v>
      </c>
      <c r="C109" s="45">
        <v>45748</v>
      </c>
      <c r="D109" s="5" t="s">
        <v>2811</v>
      </c>
      <c r="E109" s="29" t="s">
        <v>3166</v>
      </c>
      <c r="F109" s="47" t="s">
        <v>6</v>
      </c>
      <c r="G109" s="5" t="s">
        <v>2818</v>
      </c>
      <c r="H109" s="5" t="s">
        <v>2819</v>
      </c>
    </row>
    <row r="110" spans="2:8" x14ac:dyDescent="0.3">
      <c r="B110" s="46">
        <v>45769</v>
      </c>
      <c r="C110" s="45">
        <v>45748</v>
      </c>
      <c r="D110" s="5" t="s">
        <v>2811</v>
      </c>
      <c r="E110" s="29" t="s">
        <v>3166</v>
      </c>
      <c r="F110" s="47" t="s">
        <v>6</v>
      </c>
      <c r="G110" s="5" t="s">
        <v>2812</v>
      </c>
      <c r="H110" s="5" t="s">
        <v>2813</v>
      </c>
    </row>
    <row r="111" spans="2:8" x14ac:dyDescent="0.3">
      <c r="B111" s="46">
        <v>45769</v>
      </c>
      <c r="C111" s="45">
        <v>45748</v>
      </c>
      <c r="D111" s="5" t="s">
        <v>2811</v>
      </c>
      <c r="E111" s="29" t="s">
        <v>3166</v>
      </c>
      <c r="F111" s="47" t="s">
        <v>6</v>
      </c>
      <c r="G111" s="5" t="s">
        <v>2814</v>
      </c>
      <c r="H111" s="5" t="s">
        <v>2815</v>
      </c>
    </row>
    <row r="112" spans="2:8" x14ac:dyDescent="0.3">
      <c r="B112" s="46">
        <v>45769</v>
      </c>
      <c r="C112" s="45">
        <v>45748</v>
      </c>
      <c r="D112" s="5" t="s">
        <v>2811</v>
      </c>
      <c r="E112" s="29" t="s">
        <v>3166</v>
      </c>
      <c r="F112" s="47" t="s">
        <v>6</v>
      </c>
      <c r="G112" s="5" t="s">
        <v>2816</v>
      </c>
      <c r="H112" s="5" t="s">
        <v>2817</v>
      </c>
    </row>
    <row r="113" spans="2:8" x14ac:dyDescent="0.3">
      <c r="B113" s="46">
        <v>45769</v>
      </c>
      <c r="C113" s="45">
        <v>45748</v>
      </c>
      <c r="D113" s="5" t="s">
        <v>2811</v>
      </c>
      <c r="E113" s="29" t="s">
        <v>3166</v>
      </c>
      <c r="F113" s="47" t="s">
        <v>6</v>
      </c>
      <c r="G113" s="5" t="s">
        <v>2818</v>
      </c>
      <c r="H113" s="5" t="s">
        <v>2819</v>
      </c>
    </row>
    <row r="114" spans="2:8" x14ac:dyDescent="0.3">
      <c r="B114" s="46">
        <v>45770</v>
      </c>
      <c r="C114" s="45">
        <v>45748</v>
      </c>
      <c r="D114" s="5" t="s">
        <v>2811</v>
      </c>
      <c r="E114" s="29" t="s">
        <v>3166</v>
      </c>
      <c r="F114" s="47" t="s">
        <v>6</v>
      </c>
      <c r="G114" s="5" t="s">
        <v>2812</v>
      </c>
      <c r="H114" s="5" t="s">
        <v>2813</v>
      </c>
    </row>
    <row r="115" spans="2:8" x14ac:dyDescent="0.3">
      <c r="B115" s="46">
        <v>45770</v>
      </c>
      <c r="C115" s="45">
        <v>45748</v>
      </c>
      <c r="D115" s="5" t="s">
        <v>2811</v>
      </c>
      <c r="E115" s="29" t="s">
        <v>3166</v>
      </c>
      <c r="F115" s="47" t="s">
        <v>6</v>
      </c>
      <c r="G115" s="5" t="s">
        <v>2814</v>
      </c>
      <c r="H115" s="5" t="s">
        <v>2815</v>
      </c>
    </row>
    <row r="116" spans="2:8" x14ac:dyDescent="0.3">
      <c r="B116" s="46">
        <v>45770</v>
      </c>
      <c r="C116" s="45">
        <v>45748</v>
      </c>
      <c r="D116" s="5" t="s">
        <v>2811</v>
      </c>
      <c r="E116" s="29" t="s">
        <v>3166</v>
      </c>
      <c r="F116" s="47" t="s">
        <v>6</v>
      </c>
      <c r="G116" s="5" t="s">
        <v>2816</v>
      </c>
      <c r="H116" s="5" t="s">
        <v>2817</v>
      </c>
    </row>
    <row r="117" spans="2:8" x14ac:dyDescent="0.3">
      <c r="B117" s="46">
        <v>45770</v>
      </c>
      <c r="C117" s="45">
        <v>45748</v>
      </c>
      <c r="D117" s="5" t="s">
        <v>2811</v>
      </c>
      <c r="E117" s="29" t="s">
        <v>3166</v>
      </c>
      <c r="F117" s="47" t="s">
        <v>6</v>
      </c>
      <c r="G117" s="5" t="s">
        <v>2818</v>
      </c>
      <c r="H117" s="5" t="s">
        <v>2819</v>
      </c>
    </row>
    <row r="118" spans="2:8" x14ac:dyDescent="0.3">
      <c r="B118" s="46">
        <v>45771</v>
      </c>
      <c r="C118" s="45">
        <v>45748</v>
      </c>
      <c r="D118" s="5" t="s">
        <v>2811</v>
      </c>
      <c r="E118" s="29" t="s">
        <v>3166</v>
      </c>
      <c r="F118" s="47" t="s">
        <v>6</v>
      </c>
      <c r="G118" s="5" t="s">
        <v>2812</v>
      </c>
      <c r="H118" s="5" t="s">
        <v>2813</v>
      </c>
    </row>
    <row r="119" spans="2:8" x14ac:dyDescent="0.3">
      <c r="B119" s="46">
        <v>45771</v>
      </c>
      <c r="C119" s="45">
        <v>45748</v>
      </c>
      <c r="D119" s="5" t="s">
        <v>2811</v>
      </c>
      <c r="E119" s="29" t="s">
        <v>3166</v>
      </c>
      <c r="F119" s="47" t="s">
        <v>6</v>
      </c>
      <c r="G119" s="5" t="s">
        <v>2814</v>
      </c>
      <c r="H119" s="5" t="s">
        <v>2815</v>
      </c>
    </row>
    <row r="120" spans="2:8" x14ac:dyDescent="0.3">
      <c r="B120" s="46">
        <v>45771</v>
      </c>
      <c r="C120" s="45">
        <v>45748</v>
      </c>
      <c r="D120" s="5" t="s">
        <v>2811</v>
      </c>
      <c r="E120" s="29" t="s">
        <v>3166</v>
      </c>
      <c r="F120" s="47" t="s">
        <v>6</v>
      </c>
      <c r="G120" s="5" t="s">
        <v>2816</v>
      </c>
      <c r="H120" s="5" t="s">
        <v>2817</v>
      </c>
    </row>
    <row r="121" spans="2:8" x14ac:dyDescent="0.3">
      <c r="B121" s="46">
        <v>45771</v>
      </c>
      <c r="C121" s="45">
        <v>45748</v>
      </c>
      <c r="D121" s="5" t="s">
        <v>2811</v>
      </c>
      <c r="E121" s="29" t="s">
        <v>3166</v>
      </c>
      <c r="F121" s="47" t="s">
        <v>6</v>
      </c>
      <c r="G121" s="5" t="s">
        <v>2818</v>
      </c>
      <c r="H121" s="5" t="s">
        <v>2819</v>
      </c>
    </row>
    <row r="122" spans="2:8" x14ac:dyDescent="0.3">
      <c r="B122" s="46">
        <v>45772</v>
      </c>
      <c r="C122" s="45">
        <v>45748</v>
      </c>
      <c r="D122" s="5" t="s">
        <v>2811</v>
      </c>
      <c r="E122" s="29" t="s">
        <v>3166</v>
      </c>
      <c r="F122" s="47" t="s">
        <v>6</v>
      </c>
      <c r="G122" s="5" t="s">
        <v>2812</v>
      </c>
      <c r="H122" s="5" t="s">
        <v>2813</v>
      </c>
    </row>
    <row r="123" spans="2:8" x14ac:dyDescent="0.3">
      <c r="B123" s="46">
        <v>45772</v>
      </c>
      <c r="C123" s="45">
        <v>45748</v>
      </c>
      <c r="D123" s="5" t="s">
        <v>2811</v>
      </c>
      <c r="E123" s="29" t="s">
        <v>3166</v>
      </c>
      <c r="F123" s="47" t="s">
        <v>6</v>
      </c>
      <c r="G123" s="5" t="s">
        <v>2814</v>
      </c>
      <c r="H123" s="5" t="s">
        <v>2815</v>
      </c>
    </row>
    <row r="124" spans="2:8" x14ac:dyDescent="0.3">
      <c r="B124" s="46">
        <v>45772</v>
      </c>
      <c r="C124" s="45">
        <v>45748</v>
      </c>
      <c r="D124" s="5" t="s">
        <v>2811</v>
      </c>
      <c r="E124" s="29" t="s">
        <v>3166</v>
      </c>
      <c r="F124" s="47" t="s">
        <v>6</v>
      </c>
      <c r="G124" s="5" t="s">
        <v>2816</v>
      </c>
      <c r="H124" s="5" t="s">
        <v>2817</v>
      </c>
    </row>
    <row r="125" spans="2:8" x14ac:dyDescent="0.3">
      <c r="B125" s="46">
        <v>45772</v>
      </c>
      <c r="C125" s="45">
        <v>45748</v>
      </c>
      <c r="D125" s="5" t="s">
        <v>2811</v>
      </c>
      <c r="E125" s="29" t="s">
        <v>3166</v>
      </c>
      <c r="F125" s="47" t="s">
        <v>6</v>
      </c>
      <c r="G125" s="5" t="s">
        <v>2818</v>
      </c>
      <c r="H125" s="5" t="s">
        <v>2819</v>
      </c>
    </row>
    <row r="126" spans="2:8" x14ac:dyDescent="0.3">
      <c r="B126" s="46">
        <v>45775</v>
      </c>
      <c r="C126" s="45">
        <v>45748</v>
      </c>
      <c r="D126" s="5" t="s">
        <v>2811</v>
      </c>
      <c r="E126" s="29" t="s">
        <v>3166</v>
      </c>
      <c r="F126" s="47" t="s">
        <v>6</v>
      </c>
      <c r="G126" s="5" t="s">
        <v>2812</v>
      </c>
      <c r="H126" s="5" t="s">
        <v>2813</v>
      </c>
    </row>
    <row r="127" spans="2:8" x14ac:dyDescent="0.3">
      <c r="B127" s="46">
        <v>45775</v>
      </c>
      <c r="C127" s="45">
        <v>45748</v>
      </c>
      <c r="D127" s="5" t="s">
        <v>2811</v>
      </c>
      <c r="E127" s="29" t="s">
        <v>3166</v>
      </c>
      <c r="F127" s="47" t="s">
        <v>6</v>
      </c>
      <c r="G127" s="5" t="s">
        <v>2814</v>
      </c>
      <c r="H127" s="5" t="s">
        <v>2815</v>
      </c>
    </row>
    <row r="128" spans="2:8" x14ac:dyDescent="0.3">
      <c r="B128" s="46">
        <v>45775</v>
      </c>
      <c r="C128" s="45">
        <v>45748</v>
      </c>
      <c r="D128" s="5" t="s">
        <v>2811</v>
      </c>
      <c r="E128" s="29" t="s">
        <v>3166</v>
      </c>
      <c r="F128" s="47" t="s">
        <v>6</v>
      </c>
      <c r="G128" s="5" t="s">
        <v>2816</v>
      </c>
      <c r="H128" s="5" t="s">
        <v>2817</v>
      </c>
    </row>
    <row r="129" spans="2:8" x14ac:dyDescent="0.3">
      <c r="B129" s="46">
        <v>45775</v>
      </c>
      <c r="C129" s="45">
        <v>45748</v>
      </c>
      <c r="D129" s="5" t="s">
        <v>2811</v>
      </c>
      <c r="E129" s="29" t="s">
        <v>3166</v>
      </c>
      <c r="F129" s="47" t="s">
        <v>6</v>
      </c>
      <c r="G129" s="5" t="s">
        <v>2818</v>
      </c>
      <c r="H129" s="5" t="s">
        <v>2819</v>
      </c>
    </row>
    <row r="130" spans="2:8" x14ac:dyDescent="0.3">
      <c r="B130" s="46">
        <v>45776</v>
      </c>
      <c r="C130" s="45">
        <v>45748</v>
      </c>
      <c r="D130" s="5" t="s">
        <v>2811</v>
      </c>
      <c r="E130" s="29" t="s">
        <v>3166</v>
      </c>
      <c r="F130" s="47" t="s">
        <v>6</v>
      </c>
      <c r="G130" s="5" t="s">
        <v>2812</v>
      </c>
      <c r="H130" s="5" t="s">
        <v>2813</v>
      </c>
    </row>
    <row r="131" spans="2:8" x14ac:dyDescent="0.3">
      <c r="B131" s="46">
        <v>45776</v>
      </c>
      <c r="C131" s="45">
        <v>45748</v>
      </c>
      <c r="D131" s="5" t="s">
        <v>2811</v>
      </c>
      <c r="E131" s="29" t="s">
        <v>3166</v>
      </c>
      <c r="F131" s="47" t="s">
        <v>6</v>
      </c>
      <c r="G131" s="5" t="s">
        <v>2814</v>
      </c>
      <c r="H131" s="5" t="s">
        <v>2815</v>
      </c>
    </row>
    <row r="132" spans="2:8" x14ac:dyDescent="0.3">
      <c r="B132" s="46">
        <v>45776</v>
      </c>
      <c r="C132" s="45">
        <v>45748</v>
      </c>
      <c r="D132" s="5" t="s">
        <v>2811</v>
      </c>
      <c r="E132" s="29" t="s">
        <v>3166</v>
      </c>
      <c r="F132" s="47" t="s">
        <v>6</v>
      </c>
      <c r="G132" s="5" t="s">
        <v>2816</v>
      </c>
      <c r="H132" s="5" t="s">
        <v>2817</v>
      </c>
    </row>
    <row r="133" spans="2:8" x14ac:dyDescent="0.3">
      <c r="B133" s="46">
        <v>45776</v>
      </c>
      <c r="C133" s="45">
        <v>45748</v>
      </c>
      <c r="D133" s="5" t="s">
        <v>2811</v>
      </c>
      <c r="E133" s="29" t="s">
        <v>3166</v>
      </c>
      <c r="F133" s="47" t="s">
        <v>6</v>
      </c>
      <c r="G133" s="5" t="s">
        <v>2818</v>
      </c>
      <c r="H133" s="5" t="s">
        <v>2819</v>
      </c>
    </row>
    <row r="134" spans="2:8" x14ac:dyDescent="0.3">
      <c r="B134" s="46">
        <v>45777</v>
      </c>
      <c r="C134" s="45">
        <v>45748</v>
      </c>
      <c r="D134" s="5" t="s">
        <v>2811</v>
      </c>
      <c r="E134" s="29" t="s">
        <v>3166</v>
      </c>
      <c r="F134" s="47" t="s">
        <v>6</v>
      </c>
      <c r="G134" s="5" t="s">
        <v>2812</v>
      </c>
      <c r="H134" s="5" t="s">
        <v>2813</v>
      </c>
    </row>
    <row r="135" spans="2:8" x14ac:dyDescent="0.3">
      <c r="B135" s="46">
        <v>45777</v>
      </c>
      <c r="C135" s="45">
        <v>45748</v>
      </c>
      <c r="D135" s="5" t="s">
        <v>2811</v>
      </c>
      <c r="E135" s="29" t="s">
        <v>3166</v>
      </c>
      <c r="F135" s="47" t="s">
        <v>6</v>
      </c>
      <c r="G135" s="5" t="s">
        <v>2814</v>
      </c>
      <c r="H135" s="5" t="s">
        <v>2815</v>
      </c>
    </row>
    <row r="136" spans="2:8" x14ac:dyDescent="0.3">
      <c r="B136" s="46">
        <v>45777</v>
      </c>
      <c r="C136" s="45">
        <v>45748</v>
      </c>
      <c r="D136" s="5" t="s">
        <v>2811</v>
      </c>
      <c r="E136" s="29" t="s">
        <v>3166</v>
      </c>
      <c r="F136" s="47" t="s">
        <v>6</v>
      </c>
      <c r="G136" s="5" t="s">
        <v>2816</v>
      </c>
      <c r="H136" s="5" t="s">
        <v>2817</v>
      </c>
    </row>
    <row r="137" spans="2:8" x14ac:dyDescent="0.3">
      <c r="B137" s="46">
        <v>45777</v>
      </c>
      <c r="C137" s="45">
        <v>45748</v>
      </c>
      <c r="D137" s="5" t="s">
        <v>2811</v>
      </c>
      <c r="E137" s="29" t="s">
        <v>3166</v>
      </c>
      <c r="F137" s="47" t="s">
        <v>6</v>
      </c>
      <c r="G137" s="5" t="s">
        <v>2818</v>
      </c>
      <c r="H137" s="5" t="s">
        <v>2819</v>
      </c>
    </row>
    <row r="138" spans="2:8" x14ac:dyDescent="0.3">
      <c r="B138" s="46">
        <v>45779</v>
      </c>
      <c r="C138" s="45">
        <v>45779</v>
      </c>
      <c r="D138" s="5" t="s">
        <v>2811</v>
      </c>
      <c r="E138" s="29" t="s">
        <v>3166</v>
      </c>
      <c r="F138" s="47" t="s">
        <v>6</v>
      </c>
      <c r="G138" s="5" t="s">
        <v>2812</v>
      </c>
      <c r="H138" s="5" t="s">
        <v>2813</v>
      </c>
    </row>
    <row r="139" spans="2:8" x14ac:dyDescent="0.3">
      <c r="B139" s="46">
        <v>45779</v>
      </c>
      <c r="C139" s="45">
        <v>45779</v>
      </c>
      <c r="D139" s="5" t="s">
        <v>2811</v>
      </c>
      <c r="E139" s="29" t="s">
        <v>3166</v>
      </c>
      <c r="F139" s="47" t="s">
        <v>6</v>
      </c>
      <c r="G139" s="5" t="s">
        <v>2814</v>
      </c>
      <c r="H139" s="5" t="s">
        <v>2815</v>
      </c>
    </row>
    <row r="140" spans="2:8" x14ac:dyDescent="0.3">
      <c r="B140" s="46">
        <v>45779</v>
      </c>
      <c r="C140" s="45">
        <v>45779</v>
      </c>
      <c r="D140" s="5" t="s">
        <v>2811</v>
      </c>
      <c r="E140" s="29" t="s">
        <v>3166</v>
      </c>
      <c r="F140" s="47" t="s">
        <v>6</v>
      </c>
      <c r="G140" s="5" t="s">
        <v>2816</v>
      </c>
      <c r="H140" s="5" t="s">
        <v>2817</v>
      </c>
    </row>
    <row r="141" spans="2:8" x14ac:dyDescent="0.3">
      <c r="B141" s="46">
        <v>45779</v>
      </c>
      <c r="C141" s="45">
        <v>45779</v>
      </c>
      <c r="D141" s="5" t="s">
        <v>2811</v>
      </c>
      <c r="E141" s="29" t="s">
        <v>3166</v>
      </c>
      <c r="F141" s="47" t="s">
        <v>6</v>
      </c>
      <c r="G141" s="5" t="s">
        <v>2818</v>
      </c>
      <c r="H141" s="5" t="s">
        <v>2819</v>
      </c>
    </row>
    <row r="142" spans="2:8" x14ac:dyDescent="0.3">
      <c r="B142" s="46">
        <v>45782</v>
      </c>
      <c r="C142" s="45">
        <v>45779</v>
      </c>
      <c r="D142" s="5" t="s">
        <v>2811</v>
      </c>
      <c r="E142" s="29" t="s">
        <v>3166</v>
      </c>
      <c r="F142" s="47" t="s">
        <v>6</v>
      </c>
      <c r="G142" s="5" t="s">
        <v>2812</v>
      </c>
      <c r="H142" s="5" t="s">
        <v>2813</v>
      </c>
    </row>
    <row r="143" spans="2:8" x14ac:dyDescent="0.3">
      <c r="B143" s="46">
        <v>45782</v>
      </c>
      <c r="C143" s="45">
        <v>45779</v>
      </c>
      <c r="D143" s="5" t="s">
        <v>2811</v>
      </c>
      <c r="E143" s="29" t="s">
        <v>3166</v>
      </c>
      <c r="F143" s="47" t="s">
        <v>6</v>
      </c>
      <c r="G143" s="5" t="s">
        <v>2814</v>
      </c>
      <c r="H143" s="5" t="s">
        <v>2815</v>
      </c>
    </row>
    <row r="144" spans="2:8" x14ac:dyDescent="0.3">
      <c r="B144" s="46">
        <v>45782</v>
      </c>
      <c r="C144" s="45">
        <v>45779</v>
      </c>
      <c r="D144" s="5" t="s">
        <v>2811</v>
      </c>
      <c r="E144" s="29" t="s">
        <v>3166</v>
      </c>
      <c r="F144" s="47" t="s">
        <v>6</v>
      </c>
      <c r="G144" s="5" t="s">
        <v>2816</v>
      </c>
      <c r="H144" s="5" t="s">
        <v>2817</v>
      </c>
    </row>
    <row r="145" spans="2:8" x14ac:dyDescent="0.3">
      <c r="B145" s="46">
        <v>45782</v>
      </c>
      <c r="C145" s="45">
        <v>45779</v>
      </c>
      <c r="D145" s="5" t="s">
        <v>2811</v>
      </c>
      <c r="E145" s="29" t="s">
        <v>3166</v>
      </c>
      <c r="F145" s="47" t="s">
        <v>6</v>
      </c>
      <c r="G145" s="5" t="s">
        <v>2818</v>
      </c>
      <c r="H145" s="5" t="s">
        <v>2819</v>
      </c>
    </row>
    <row r="146" spans="2:8" x14ac:dyDescent="0.3">
      <c r="B146" s="46">
        <v>45783</v>
      </c>
      <c r="C146" s="45">
        <v>45779</v>
      </c>
      <c r="D146" s="5" t="s">
        <v>2811</v>
      </c>
      <c r="E146" s="29" t="s">
        <v>3166</v>
      </c>
      <c r="F146" s="47" t="s">
        <v>6</v>
      </c>
      <c r="G146" s="5" t="s">
        <v>2812</v>
      </c>
      <c r="H146" s="5" t="s">
        <v>2813</v>
      </c>
    </row>
    <row r="147" spans="2:8" x14ac:dyDescent="0.3">
      <c r="B147" s="46">
        <v>45783</v>
      </c>
      <c r="C147" s="45">
        <v>45779</v>
      </c>
      <c r="D147" s="5" t="s">
        <v>2811</v>
      </c>
      <c r="E147" s="29" t="s">
        <v>3166</v>
      </c>
      <c r="F147" s="47" t="s">
        <v>6</v>
      </c>
      <c r="G147" s="5" t="s">
        <v>2814</v>
      </c>
      <c r="H147" s="5" t="s">
        <v>2815</v>
      </c>
    </row>
    <row r="148" spans="2:8" x14ac:dyDescent="0.3">
      <c r="B148" s="46">
        <v>45783</v>
      </c>
      <c r="C148" s="45">
        <v>45779</v>
      </c>
      <c r="D148" s="5" t="s">
        <v>2811</v>
      </c>
      <c r="E148" s="29" t="s">
        <v>3166</v>
      </c>
      <c r="F148" s="47" t="s">
        <v>6</v>
      </c>
      <c r="G148" s="5" t="s">
        <v>2816</v>
      </c>
      <c r="H148" s="5" t="s">
        <v>2817</v>
      </c>
    </row>
    <row r="149" spans="2:8" x14ac:dyDescent="0.3">
      <c r="B149" s="46">
        <v>45783</v>
      </c>
      <c r="C149" s="45">
        <v>45779</v>
      </c>
      <c r="D149" s="5" t="s">
        <v>2811</v>
      </c>
      <c r="E149" s="29" t="s">
        <v>3166</v>
      </c>
      <c r="F149" s="47" t="s">
        <v>6</v>
      </c>
      <c r="G149" s="5" t="s">
        <v>2818</v>
      </c>
      <c r="H149" s="5" t="s">
        <v>2819</v>
      </c>
    </row>
    <row r="150" spans="2:8" x14ac:dyDescent="0.3">
      <c r="B150" s="46">
        <v>45784</v>
      </c>
      <c r="C150" s="45">
        <v>45779</v>
      </c>
      <c r="D150" s="5" t="s">
        <v>2811</v>
      </c>
      <c r="E150" s="29" t="s">
        <v>3166</v>
      </c>
      <c r="F150" s="47" t="s">
        <v>6</v>
      </c>
      <c r="G150" s="5" t="s">
        <v>2812</v>
      </c>
      <c r="H150" s="5" t="s">
        <v>2813</v>
      </c>
    </row>
    <row r="151" spans="2:8" x14ac:dyDescent="0.3">
      <c r="B151" s="46">
        <v>45784</v>
      </c>
      <c r="C151" s="45">
        <v>45779</v>
      </c>
      <c r="D151" s="5" t="s">
        <v>2811</v>
      </c>
      <c r="E151" s="29" t="s">
        <v>3166</v>
      </c>
      <c r="F151" s="47" t="s">
        <v>6</v>
      </c>
      <c r="G151" s="5" t="s">
        <v>2814</v>
      </c>
      <c r="H151" s="5" t="s">
        <v>2815</v>
      </c>
    </row>
    <row r="152" spans="2:8" x14ac:dyDescent="0.3">
      <c r="B152" s="46">
        <v>45784</v>
      </c>
      <c r="C152" s="45">
        <v>45779</v>
      </c>
      <c r="D152" s="5" t="s">
        <v>2811</v>
      </c>
      <c r="E152" s="29" t="s">
        <v>3166</v>
      </c>
      <c r="F152" s="47" t="s">
        <v>6</v>
      </c>
      <c r="G152" s="5" t="s">
        <v>2816</v>
      </c>
      <c r="H152" s="5" t="s">
        <v>2817</v>
      </c>
    </row>
    <row r="153" spans="2:8" x14ac:dyDescent="0.3">
      <c r="B153" s="46">
        <v>45784</v>
      </c>
      <c r="C153" s="45">
        <v>45779</v>
      </c>
      <c r="D153" s="5" t="s">
        <v>2811</v>
      </c>
      <c r="E153" s="29" t="s">
        <v>3166</v>
      </c>
      <c r="F153" s="47" t="s">
        <v>6</v>
      </c>
      <c r="G153" s="5" t="s">
        <v>2818</v>
      </c>
      <c r="H153" s="5" t="s">
        <v>2819</v>
      </c>
    </row>
    <row r="154" spans="2:8" x14ac:dyDescent="0.3">
      <c r="B154" s="46">
        <v>45784</v>
      </c>
      <c r="C154" s="45">
        <v>45779</v>
      </c>
      <c r="D154" s="5" t="s">
        <v>2811</v>
      </c>
      <c r="E154" s="29" t="s">
        <v>3166</v>
      </c>
      <c r="F154" s="19" t="s">
        <v>4</v>
      </c>
      <c r="G154" s="5" t="s">
        <v>3180</v>
      </c>
      <c r="H154" s="5" t="s">
        <v>3181</v>
      </c>
    </row>
    <row r="155" spans="2:8" x14ac:dyDescent="0.3">
      <c r="B155" s="46">
        <v>45785</v>
      </c>
      <c r="C155" s="45">
        <v>45779</v>
      </c>
      <c r="D155" s="5" t="s">
        <v>2811</v>
      </c>
      <c r="E155" s="29" t="s">
        <v>3166</v>
      </c>
      <c r="F155" s="47" t="s">
        <v>6</v>
      </c>
      <c r="G155" s="5" t="s">
        <v>2812</v>
      </c>
      <c r="H155" s="5" t="s">
        <v>2813</v>
      </c>
    </row>
    <row r="156" spans="2:8" x14ac:dyDescent="0.3">
      <c r="B156" s="46">
        <v>45785</v>
      </c>
      <c r="C156" s="45">
        <v>45779</v>
      </c>
      <c r="D156" s="5" t="s">
        <v>2811</v>
      </c>
      <c r="E156" s="29" t="s">
        <v>3166</v>
      </c>
      <c r="F156" s="47" t="s">
        <v>6</v>
      </c>
      <c r="G156" s="5" t="s">
        <v>2814</v>
      </c>
      <c r="H156" s="5" t="s">
        <v>2815</v>
      </c>
    </row>
    <row r="157" spans="2:8" x14ac:dyDescent="0.3">
      <c r="B157" s="46">
        <v>45785</v>
      </c>
      <c r="C157" s="45">
        <v>45779</v>
      </c>
      <c r="D157" s="5" t="s">
        <v>2811</v>
      </c>
      <c r="E157" s="29" t="s">
        <v>3166</v>
      </c>
      <c r="F157" s="47" t="s">
        <v>6</v>
      </c>
      <c r="G157" s="5" t="s">
        <v>2816</v>
      </c>
      <c r="H157" s="5" t="s">
        <v>2817</v>
      </c>
    </row>
    <row r="158" spans="2:8" x14ac:dyDescent="0.3">
      <c r="B158" s="46">
        <v>45785</v>
      </c>
      <c r="C158" s="45">
        <v>45779</v>
      </c>
      <c r="D158" s="5" t="s">
        <v>2811</v>
      </c>
      <c r="E158" s="29" t="s">
        <v>3166</v>
      </c>
      <c r="F158" s="47" t="s">
        <v>6</v>
      </c>
      <c r="G158" s="5" t="s">
        <v>2818</v>
      </c>
      <c r="H158" s="5" t="s">
        <v>2819</v>
      </c>
    </row>
    <row r="159" spans="2:8" x14ac:dyDescent="0.3">
      <c r="B159" s="46">
        <v>45785</v>
      </c>
      <c r="C159" s="45">
        <v>45778</v>
      </c>
      <c r="D159" s="5" t="s">
        <v>2811</v>
      </c>
      <c r="E159" s="29" t="s">
        <v>3166</v>
      </c>
      <c r="F159" s="19" t="s">
        <v>4</v>
      </c>
      <c r="G159" s="5" t="s">
        <v>3182</v>
      </c>
      <c r="H159" s="5" t="s">
        <v>3183</v>
      </c>
    </row>
    <row r="160" spans="2:8" x14ac:dyDescent="0.3">
      <c r="B160" s="46">
        <v>45785</v>
      </c>
      <c r="C160" s="45">
        <v>45778</v>
      </c>
      <c r="D160" s="5" t="s">
        <v>2811</v>
      </c>
      <c r="E160" s="29" t="s">
        <v>3166</v>
      </c>
      <c r="F160" s="19" t="s">
        <v>4</v>
      </c>
      <c r="G160" s="5" t="s">
        <v>3184</v>
      </c>
      <c r="H160" s="5" t="s">
        <v>3185</v>
      </c>
    </row>
    <row r="161" spans="2:8" x14ac:dyDescent="0.3">
      <c r="B161" s="46">
        <v>45785</v>
      </c>
      <c r="C161" s="45">
        <v>45778</v>
      </c>
      <c r="D161" s="5" t="s">
        <v>2811</v>
      </c>
      <c r="E161" s="29" t="s">
        <v>3166</v>
      </c>
      <c r="F161" s="19" t="s">
        <v>4</v>
      </c>
      <c r="G161" s="5" t="s">
        <v>3186</v>
      </c>
      <c r="H161" s="5" t="s">
        <v>3187</v>
      </c>
    </row>
    <row r="162" spans="2:8" x14ac:dyDescent="0.3">
      <c r="B162" s="46">
        <v>45786</v>
      </c>
      <c r="C162" s="45">
        <v>45779</v>
      </c>
      <c r="D162" s="5" t="s">
        <v>2811</v>
      </c>
      <c r="E162" s="29" t="s">
        <v>3166</v>
      </c>
      <c r="F162" s="47" t="s">
        <v>6</v>
      </c>
      <c r="G162" s="5" t="s">
        <v>2812</v>
      </c>
      <c r="H162" s="5" t="s">
        <v>2813</v>
      </c>
    </row>
    <row r="163" spans="2:8" x14ac:dyDescent="0.3">
      <c r="B163" s="46">
        <v>45786</v>
      </c>
      <c r="C163" s="45">
        <v>45779</v>
      </c>
      <c r="D163" s="5" t="s">
        <v>2811</v>
      </c>
      <c r="E163" s="29" t="s">
        <v>3166</v>
      </c>
      <c r="F163" s="47" t="s">
        <v>6</v>
      </c>
      <c r="G163" s="5" t="s">
        <v>2814</v>
      </c>
      <c r="H163" s="5" t="s">
        <v>2815</v>
      </c>
    </row>
    <row r="164" spans="2:8" x14ac:dyDescent="0.3">
      <c r="B164" s="46">
        <v>45786</v>
      </c>
      <c r="C164" s="45">
        <v>45779</v>
      </c>
      <c r="D164" s="5" t="s">
        <v>2811</v>
      </c>
      <c r="E164" s="29" t="s">
        <v>3166</v>
      </c>
      <c r="F164" s="47" t="s">
        <v>6</v>
      </c>
      <c r="G164" s="5" t="s">
        <v>2816</v>
      </c>
      <c r="H164" s="5" t="s">
        <v>2817</v>
      </c>
    </row>
    <row r="165" spans="2:8" x14ac:dyDescent="0.3">
      <c r="B165" s="46">
        <v>45786</v>
      </c>
      <c r="C165" s="45">
        <v>45779</v>
      </c>
      <c r="D165" s="5" t="s">
        <v>2811</v>
      </c>
      <c r="E165" s="29" t="s">
        <v>3166</v>
      </c>
      <c r="F165" s="47" t="s">
        <v>6</v>
      </c>
      <c r="G165" s="5" t="s">
        <v>2818</v>
      </c>
      <c r="H165" s="5" t="s">
        <v>2819</v>
      </c>
    </row>
    <row r="166" spans="2:8" x14ac:dyDescent="0.3">
      <c r="B166" s="46">
        <v>45786</v>
      </c>
      <c r="C166" s="45">
        <v>45779</v>
      </c>
      <c r="D166" s="5" t="s">
        <v>2811</v>
      </c>
      <c r="E166" s="29" t="s">
        <v>3166</v>
      </c>
      <c r="F166" s="19" t="s">
        <v>4</v>
      </c>
      <c r="G166" s="5" t="s">
        <v>3188</v>
      </c>
      <c r="H166" s="5" t="s">
        <v>3189</v>
      </c>
    </row>
    <row r="167" spans="2:8" x14ac:dyDescent="0.3">
      <c r="B167" s="46">
        <v>45786</v>
      </c>
      <c r="C167" s="45">
        <v>45779</v>
      </c>
      <c r="D167" s="5" t="s">
        <v>2811</v>
      </c>
      <c r="E167" s="29" t="s">
        <v>3166</v>
      </c>
      <c r="F167" s="47" t="s">
        <v>6</v>
      </c>
      <c r="G167" s="29" t="s">
        <v>2837</v>
      </c>
      <c r="H167" s="5" t="s">
        <v>3190</v>
      </c>
    </row>
    <row r="168" spans="2:8" x14ac:dyDescent="0.3">
      <c r="B168" s="46">
        <v>45787</v>
      </c>
      <c r="C168" s="45">
        <v>45778</v>
      </c>
      <c r="D168" s="5" t="s">
        <v>2811</v>
      </c>
      <c r="E168" s="29" t="s">
        <v>3166</v>
      </c>
      <c r="F168" s="47" t="s">
        <v>6</v>
      </c>
      <c r="G168" s="5" t="s">
        <v>3191</v>
      </c>
      <c r="H168" s="5" t="s">
        <v>3190</v>
      </c>
    </row>
    <row r="169" spans="2:8" x14ac:dyDescent="0.3">
      <c r="B169" s="46">
        <v>45788</v>
      </c>
      <c r="C169" s="45">
        <v>45778</v>
      </c>
      <c r="D169" s="5" t="s">
        <v>2811</v>
      </c>
      <c r="E169" s="29" t="s">
        <v>3166</v>
      </c>
      <c r="F169" s="47" t="s">
        <v>6</v>
      </c>
      <c r="G169" s="5" t="s">
        <v>3191</v>
      </c>
      <c r="H169" s="5" t="s">
        <v>3190</v>
      </c>
    </row>
    <row r="170" spans="2:8" x14ac:dyDescent="0.3">
      <c r="B170" s="46">
        <v>45789</v>
      </c>
      <c r="C170" s="45">
        <v>45779</v>
      </c>
      <c r="D170" s="5" t="s">
        <v>2811</v>
      </c>
      <c r="E170" s="29" t="s">
        <v>3166</v>
      </c>
      <c r="F170" s="47" t="s">
        <v>6</v>
      </c>
      <c r="G170" s="5" t="s">
        <v>2814</v>
      </c>
      <c r="H170" s="5" t="s">
        <v>2815</v>
      </c>
    </row>
    <row r="171" spans="2:8" x14ac:dyDescent="0.3">
      <c r="B171" s="46">
        <v>45789</v>
      </c>
      <c r="C171" s="45">
        <v>45779</v>
      </c>
      <c r="D171" s="5" t="s">
        <v>2811</v>
      </c>
      <c r="E171" s="29" t="s">
        <v>3166</v>
      </c>
      <c r="F171" s="47" t="s">
        <v>6</v>
      </c>
      <c r="G171" s="5" t="s">
        <v>2816</v>
      </c>
      <c r="H171" s="5" t="s">
        <v>2817</v>
      </c>
    </row>
    <row r="172" spans="2:8" x14ac:dyDescent="0.3">
      <c r="B172" s="46">
        <v>45789</v>
      </c>
      <c r="C172" s="45">
        <v>45779</v>
      </c>
      <c r="D172" s="5" t="s">
        <v>2811</v>
      </c>
      <c r="E172" s="29" t="s">
        <v>3166</v>
      </c>
      <c r="F172" s="47" t="s">
        <v>6</v>
      </c>
      <c r="G172" s="5" t="s">
        <v>2818</v>
      </c>
      <c r="H172" s="5" t="s">
        <v>2819</v>
      </c>
    </row>
    <row r="173" spans="2:8" x14ac:dyDescent="0.3">
      <c r="B173" s="46">
        <v>45789</v>
      </c>
      <c r="C173" s="45">
        <v>45779</v>
      </c>
      <c r="D173" s="5" t="s">
        <v>2811</v>
      </c>
      <c r="E173" s="29" t="s">
        <v>3166</v>
      </c>
      <c r="F173" s="47" t="s">
        <v>6</v>
      </c>
      <c r="G173" s="5" t="s">
        <v>3192</v>
      </c>
      <c r="H173" s="5" t="s">
        <v>3193</v>
      </c>
    </row>
    <row r="174" spans="2:8" x14ac:dyDescent="0.3">
      <c r="B174" s="46">
        <v>45790</v>
      </c>
      <c r="C174" s="45">
        <v>45779</v>
      </c>
      <c r="D174" s="5" t="s">
        <v>2811</v>
      </c>
      <c r="E174" s="29" t="s">
        <v>3166</v>
      </c>
      <c r="F174" s="47" t="s">
        <v>6</v>
      </c>
      <c r="G174" s="5" t="s">
        <v>2814</v>
      </c>
      <c r="H174" s="5" t="s">
        <v>2815</v>
      </c>
    </row>
    <row r="175" spans="2:8" x14ac:dyDescent="0.3">
      <c r="B175" s="46">
        <v>45790</v>
      </c>
      <c r="C175" s="45">
        <v>45779</v>
      </c>
      <c r="D175" s="5" t="s">
        <v>2811</v>
      </c>
      <c r="E175" s="29" t="s">
        <v>3166</v>
      </c>
      <c r="F175" s="47" t="s">
        <v>6</v>
      </c>
      <c r="G175" s="5" t="s">
        <v>2816</v>
      </c>
      <c r="H175" s="5" t="s">
        <v>2817</v>
      </c>
    </row>
    <row r="176" spans="2:8" x14ac:dyDescent="0.3">
      <c r="B176" s="46">
        <v>45790</v>
      </c>
      <c r="C176" s="45">
        <v>45779</v>
      </c>
      <c r="D176" s="5" t="s">
        <v>2811</v>
      </c>
      <c r="E176" s="29" t="s">
        <v>3166</v>
      </c>
      <c r="F176" s="47" t="s">
        <v>6</v>
      </c>
      <c r="G176" s="5" t="s">
        <v>2818</v>
      </c>
      <c r="H176" s="5" t="s">
        <v>2819</v>
      </c>
    </row>
    <row r="177" spans="2:8" x14ac:dyDescent="0.3">
      <c r="B177" s="46">
        <v>45791</v>
      </c>
      <c r="C177" s="45">
        <v>45779</v>
      </c>
      <c r="D177" s="5" t="s">
        <v>2811</v>
      </c>
      <c r="E177" s="29" t="s">
        <v>3166</v>
      </c>
      <c r="F177" s="47" t="s">
        <v>6</v>
      </c>
      <c r="G177" s="5" t="s">
        <v>2814</v>
      </c>
      <c r="H177" s="5" t="s">
        <v>2815</v>
      </c>
    </row>
    <row r="178" spans="2:8" x14ac:dyDescent="0.3">
      <c r="B178" s="46">
        <v>45791</v>
      </c>
      <c r="C178" s="45">
        <v>45779</v>
      </c>
      <c r="D178" s="5" t="s">
        <v>2811</v>
      </c>
      <c r="E178" s="29" t="s">
        <v>3166</v>
      </c>
      <c r="F178" s="47" t="s">
        <v>6</v>
      </c>
      <c r="G178" s="5" t="s">
        <v>2816</v>
      </c>
      <c r="H178" s="5" t="s">
        <v>2817</v>
      </c>
    </row>
    <row r="179" spans="2:8" x14ac:dyDescent="0.3">
      <c r="B179" s="46">
        <v>45791</v>
      </c>
      <c r="C179" s="45">
        <v>45779</v>
      </c>
      <c r="D179" s="5" t="s">
        <v>2811</v>
      </c>
      <c r="E179" s="29" t="s">
        <v>3166</v>
      </c>
      <c r="F179" s="47" t="s">
        <v>6</v>
      </c>
      <c r="G179" s="5" t="s">
        <v>2818</v>
      </c>
      <c r="H179" s="5" t="s">
        <v>2819</v>
      </c>
    </row>
    <row r="180" spans="2:8" x14ac:dyDescent="0.3">
      <c r="B180" s="46">
        <v>45792</v>
      </c>
      <c r="C180" s="45">
        <v>45779</v>
      </c>
      <c r="D180" s="5" t="s">
        <v>2811</v>
      </c>
      <c r="E180" s="29" t="s">
        <v>3166</v>
      </c>
      <c r="F180" s="47" t="s">
        <v>6</v>
      </c>
      <c r="G180" s="5" t="s">
        <v>2814</v>
      </c>
      <c r="H180" s="5" t="s">
        <v>2815</v>
      </c>
    </row>
    <row r="181" spans="2:8" x14ac:dyDescent="0.3">
      <c r="B181" s="46">
        <v>45792</v>
      </c>
      <c r="C181" s="45">
        <v>45779</v>
      </c>
      <c r="D181" s="5" t="s">
        <v>2811</v>
      </c>
      <c r="E181" s="29" t="s">
        <v>3166</v>
      </c>
      <c r="F181" s="47" t="s">
        <v>6</v>
      </c>
      <c r="G181" s="5" t="s">
        <v>2816</v>
      </c>
      <c r="H181" s="5" t="s">
        <v>2817</v>
      </c>
    </row>
    <row r="182" spans="2:8" x14ac:dyDescent="0.3">
      <c r="B182" s="46">
        <v>45792</v>
      </c>
      <c r="C182" s="45">
        <v>45779</v>
      </c>
      <c r="D182" s="5" t="s">
        <v>2811</v>
      </c>
      <c r="E182" s="29" t="s">
        <v>3166</v>
      </c>
      <c r="F182" s="47" t="s">
        <v>6</v>
      </c>
      <c r="G182" s="5" t="s">
        <v>2818</v>
      </c>
      <c r="H182" s="5" t="s">
        <v>2819</v>
      </c>
    </row>
    <row r="183" spans="2:8" x14ac:dyDescent="0.3">
      <c r="B183" s="46">
        <v>45792</v>
      </c>
      <c r="C183" s="45">
        <v>45779</v>
      </c>
      <c r="D183" s="5" t="s">
        <v>2811</v>
      </c>
      <c r="E183" s="29" t="s">
        <v>3166</v>
      </c>
      <c r="F183" s="19" t="s">
        <v>4</v>
      </c>
      <c r="G183" s="5" t="s">
        <v>3194</v>
      </c>
      <c r="H183" s="5" t="s">
        <v>3195</v>
      </c>
    </row>
    <row r="184" spans="2:8" x14ac:dyDescent="0.3">
      <c r="B184" s="46">
        <v>45793</v>
      </c>
      <c r="C184" s="45">
        <v>45779</v>
      </c>
      <c r="D184" s="5" t="s">
        <v>2811</v>
      </c>
      <c r="E184" s="29" t="s">
        <v>3166</v>
      </c>
      <c r="F184" s="47" t="s">
        <v>6</v>
      </c>
      <c r="G184" s="5" t="s">
        <v>2814</v>
      </c>
      <c r="H184" s="5" t="s">
        <v>2815</v>
      </c>
    </row>
    <row r="185" spans="2:8" x14ac:dyDescent="0.3">
      <c r="B185" s="46">
        <v>45793</v>
      </c>
      <c r="C185" s="45">
        <v>45779</v>
      </c>
      <c r="D185" s="5" t="s">
        <v>2811</v>
      </c>
      <c r="E185" s="29" t="s">
        <v>3166</v>
      </c>
      <c r="F185" s="47" t="s">
        <v>6</v>
      </c>
      <c r="G185" s="5" t="s">
        <v>2816</v>
      </c>
      <c r="H185" s="5" t="s">
        <v>2817</v>
      </c>
    </row>
    <row r="186" spans="2:8" x14ac:dyDescent="0.3">
      <c r="B186" s="46">
        <v>45793</v>
      </c>
      <c r="C186" s="45">
        <v>45779</v>
      </c>
      <c r="D186" s="5" t="s">
        <v>2811</v>
      </c>
      <c r="E186" s="29" t="s">
        <v>3166</v>
      </c>
      <c r="F186" s="47" t="s">
        <v>6</v>
      </c>
      <c r="G186" s="5" t="s">
        <v>2818</v>
      </c>
      <c r="H186" s="5" t="s">
        <v>2819</v>
      </c>
    </row>
    <row r="187" spans="2:8" x14ac:dyDescent="0.3">
      <c r="B187" s="46">
        <v>45796</v>
      </c>
      <c r="C187" s="45">
        <v>45779</v>
      </c>
      <c r="D187" s="5" t="s">
        <v>2811</v>
      </c>
      <c r="E187" s="29" t="s">
        <v>3166</v>
      </c>
      <c r="F187" s="47" t="s">
        <v>6</v>
      </c>
      <c r="G187" s="5" t="s">
        <v>2814</v>
      </c>
      <c r="H187" s="5" t="s">
        <v>2815</v>
      </c>
    </row>
    <row r="188" spans="2:8" x14ac:dyDescent="0.3">
      <c r="B188" s="46">
        <v>45796</v>
      </c>
      <c r="C188" s="45">
        <v>45779</v>
      </c>
      <c r="D188" s="5" t="s">
        <v>2811</v>
      </c>
      <c r="E188" s="29" t="s">
        <v>3166</v>
      </c>
      <c r="F188" s="47" t="s">
        <v>6</v>
      </c>
      <c r="G188" s="5" t="s">
        <v>2816</v>
      </c>
      <c r="H188" s="5" t="s">
        <v>2817</v>
      </c>
    </row>
    <row r="189" spans="2:8" x14ac:dyDescent="0.3">
      <c r="B189" s="46">
        <v>45796</v>
      </c>
      <c r="C189" s="45">
        <v>45779</v>
      </c>
      <c r="D189" s="5" t="s">
        <v>2811</v>
      </c>
      <c r="E189" s="29" t="s">
        <v>3166</v>
      </c>
      <c r="F189" s="47" t="s">
        <v>6</v>
      </c>
      <c r="G189" s="5" t="s">
        <v>2818</v>
      </c>
      <c r="H189" s="5" t="s">
        <v>2819</v>
      </c>
    </row>
    <row r="190" spans="2:8" x14ac:dyDescent="0.3">
      <c r="B190" s="46">
        <v>45797</v>
      </c>
      <c r="C190" s="45">
        <v>45779</v>
      </c>
      <c r="D190" s="5" t="s">
        <v>2811</v>
      </c>
      <c r="E190" s="29" t="s">
        <v>3166</v>
      </c>
      <c r="F190" s="47" t="s">
        <v>6</v>
      </c>
      <c r="G190" s="5" t="s">
        <v>2814</v>
      </c>
      <c r="H190" s="5" t="s">
        <v>2815</v>
      </c>
    </row>
    <row r="191" spans="2:8" x14ac:dyDescent="0.3">
      <c r="B191" s="46">
        <v>45797</v>
      </c>
      <c r="C191" s="45">
        <v>45779</v>
      </c>
      <c r="D191" s="5" t="s">
        <v>2811</v>
      </c>
      <c r="E191" s="29" t="s">
        <v>3166</v>
      </c>
      <c r="F191" s="47" t="s">
        <v>6</v>
      </c>
      <c r="G191" s="5" t="s">
        <v>2816</v>
      </c>
      <c r="H191" s="5" t="s">
        <v>2817</v>
      </c>
    </row>
    <row r="192" spans="2:8" x14ac:dyDescent="0.3">
      <c r="B192" s="46">
        <v>45797</v>
      </c>
      <c r="C192" s="45">
        <v>45779</v>
      </c>
      <c r="D192" s="5" t="s">
        <v>2811</v>
      </c>
      <c r="E192" s="29" t="s">
        <v>3166</v>
      </c>
      <c r="F192" s="47" t="s">
        <v>6</v>
      </c>
      <c r="G192" s="5" t="s">
        <v>2818</v>
      </c>
      <c r="H192" s="5" t="s">
        <v>2819</v>
      </c>
    </row>
    <row r="193" spans="2:8" x14ac:dyDescent="0.3">
      <c r="B193" s="46">
        <v>45798</v>
      </c>
      <c r="C193" s="45">
        <v>45779</v>
      </c>
      <c r="D193" s="5" t="s">
        <v>2811</v>
      </c>
      <c r="E193" s="29" t="s">
        <v>3166</v>
      </c>
      <c r="F193" s="47" t="s">
        <v>6</v>
      </c>
      <c r="G193" s="5" t="s">
        <v>2814</v>
      </c>
      <c r="H193" s="5" t="s">
        <v>2815</v>
      </c>
    </row>
    <row r="194" spans="2:8" x14ac:dyDescent="0.3">
      <c r="B194" s="46">
        <v>45798</v>
      </c>
      <c r="C194" s="45">
        <v>45779</v>
      </c>
      <c r="D194" s="5" t="s">
        <v>2811</v>
      </c>
      <c r="E194" s="29" t="s">
        <v>3166</v>
      </c>
      <c r="F194" s="47" t="s">
        <v>6</v>
      </c>
      <c r="G194" s="5" t="s">
        <v>2816</v>
      </c>
      <c r="H194" s="5" t="s">
        <v>2817</v>
      </c>
    </row>
    <row r="195" spans="2:8" x14ac:dyDescent="0.3">
      <c r="B195" s="46">
        <v>45798</v>
      </c>
      <c r="C195" s="45">
        <v>45779</v>
      </c>
      <c r="D195" s="5" t="s">
        <v>2811</v>
      </c>
      <c r="E195" s="29" t="s">
        <v>3166</v>
      </c>
      <c r="F195" s="47" t="s">
        <v>6</v>
      </c>
      <c r="G195" s="5" t="s">
        <v>2818</v>
      </c>
      <c r="H195" s="5" t="s">
        <v>2819</v>
      </c>
    </row>
    <row r="196" spans="2:8" x14ac:dyDescent="0.3">
      <c r="B196" s="46">
        <v>45799</v>
      </c>
      <c r="C196" s="45">
        <v>45779</v>
      </c>
      <c r="D196" s="5" t="s">
        <v>2811</v>
      </c>
      <c r="E196" s="29" t="s">
        <v>3166</v>
      </c>
      <c r="F196" s="47" t="s">
        <v>6</v>
      </c>
      <c r="G196" s="5" t="s">
        <v>2814</v>
      </c>
      <c r="H196" s="5" t="s">
        <v>2815</v>
      </c>
    </row>
    <row r="197" spans="2:8" x14ac:dyDescent="0.3">
      <c r="B197" s="46">
        <v>45799</v>
      </c>
      <c r="C197" s="45">
        <v>45779</v>
      </c>
      <c r="D197" s="5" t="s">
        <v>2811</v>
      </c>
      <c r="E197" s="29" t="s">
        <v>3166</v>
      </c>
      <c r="F197" s="47" t="s">
        <v>6</v>
      </c>
      <c r="G197" s="5" t="s">
        <v>2816</v>
      </c>
      <c r="H197" s="5" t="s">
        <v>2817</v>
      </c>
    </row>
    <row r="198" spans="2:8" x14ac:dyDescent="0.3">
      <c r="B198" s="46">
        <v>45799</v>
      </c>
      <c r="C198" s="45">
        <v>45779</v>
      </c>
      <c r="D198" s="5" t="s">
        <v>2811</v>
      </c>
      <c r="E198" s="29" t="s">
        <v>3166</v>
      </c>
      <c r="F198" s="47" t="s">
        <v>6</v>
      </c>
      <c r="G198" s="5" t="s">
        <v>2818</v>
      </c>
      <c r="H198" s="5" t="s">
        <v>2819</v>
      </c>
    </row>
    <row r="199" spans="2:8" x14ac:dyDescent="0.3">
      <c r="B199" s="46">
        <v>45799</v>
      </c>
      <c r="C199" s="45">
        <v>45779</v>
      </c>
      <c r="D199" s="5" t="s">
        <v>2811</v>
      </c>
      <c r="E199" s="29" t="s">
        <v>3166</v>
      </c>
      <c r="F199" s="47" t="s">
        <v>6</v>
      </c>
      <c r="G199" s="76" t="s">
        <v>3196</v>
      </c>
      <c r="H199" s="5" t="s">
        <v>3197</v>
      </c>
    </row>
    <row r="200" spans="2:8" x14ac:dyDescent="0.3">
      <c r="B200" s="46">
        <v>45800</v>
      </c>
      <c r="C200" s="45">
        <v>45779</v>
      </c>
      <c r="D200" s="5" t="s">
        <v>2811</v>
      </c>
      <c r="E200" s="29" t="s">
        <v>3166</v>
      </c>
      <c r="F200" s="47" t="s">
        <v>6</v>
      </c>
      <c r="G200" s="5" t="s">
        <v>2814</v>
      </c>
      <c r="H200" s="5" t="s">
        <v>2815</v>
      </c>
    </row>
    <row r="201" spans="2:8" x14ac:dyDescent="0.3">
      <c r="B201" s="46">
        <v>45800</v>
      </c>
      <c r="C201" s="45">
        <v>45779</v>
      </c>
      <c r="D201" s="5" t="s">
        <v>2811</v>
      </c>
      <c r="E201" s="29" t="s">
        <v>3166</v>
      </c>
      <c r="F201" s="47" t="s">
        <v>6</v>
      </c>
      <c r="G201" s="5" t="s">
        <v>2816</v>
      </c>
      <c r="H201" s="5" t="s">
        <v>2817</v>
      </c>
    </row>
    <row r="202" spans="2:8" x14ac:dyDescent="0.3">
      <c r="B202" s="46">
        <v>45800</v>
      </c>
      <c r="C202" s="45">
        <v>45779</v>
      </c>
      <c r="D202" s="5" t="s">
        <v>2811</v>
      </c>
      <c r="E202" s="29" t="s">
        <v>3166</v>
      </c>
      <c r="F202" s="47" t="s">
        <v>6</v>
      </c>
      <c r="G202" s="5" t="s">
        <v>2818</v>
      </c>
      <c r="H202" s="5" t="s">
        <v>2819</v>
      </c>
    </row>
    <row r="203" spans="2:8" x14ac:dyDescent="0.3">
      <c r="B203" s="46">
        <v>45803</v>
      </c>
      <c r="C203" s="45">
        <v>45779</v>
      </c>
      <c r="D203" s="5" t="s">
        <v>2811</v>
      </c>
      <c r="E203" s="29" t="s">
        <v>3166</v>
      </c>
      <c r="F203" s="47" t="s">
        <v>6</v>
      </c>
      <c r="G203" s="5" t="s">
        <v>2814</v>
      </c>
      <c r="H203" s="5" t="s">
        <v>2815</v>
      </c>
    </row>
    <row r="204" spans="2:8" x14ac:dyDescent="0.3">
      <c r="B204" s="46">
        <v>45803</v>
      </c>
      <c r="C204" s="45">
        <v>45779</v>
      </c>
      <c r="D204" s="5" t="s">
        <v>2811</v>
      </c>
      <c r="E204" s="29" t="s">
        <v>3166</v>
      </c>
      <c r="F204" s="47" t="s">
        <v>6</v>
      </c>
      <c r="G204" s="5" t="s">
        <v>2816</v>
      </c>
      <c r="H204" s="5" t="s">
        <v>2817</v>
      </c>
    </row>
    <row r="205" spans="2:8" x14ac:dyDescent="0.3">
      <c r="B205" s="46">
        <v>45803</v>
      </c>
      <c r="C205" s="45">
        <v>45779</v>
      </c>
      <c r="D205" s="5" t="s">
        <v>2811</v>
      </c>
      <c r="E205" s="29" t="s">
        <v>3166</v>
      </c>
      <c r="F205" s="47" t="s">
        <v>6</v>
      </c>
      <c r="G205" s="5" t="s">
        <v>2818</v>
      </c>
      <c r="H205" s="5" t="s">
        <v>2819</v>
      </c>
    </row>
    <row r="206" spans="2:8" x14ac:dyDescent="0.3">
      <c r="B206" s="46">
        <v>45803</v>
      </c>
      <c r="C206" s="45">
        <v>45779</v>
      </c>
      <c r="D206" s="5" t="s">
        <v>2811</v>
      </c>
      <c r="E206" s="29" t="s">
        <v>3166</v>
      </c>
      <c r="F206" s="47" t="s">
        <v>6</v>
      </c>
      <c r="G206" s="5" t="s">
        <v>3198</v>
      </c>
      <c r="H206" s="5" t="s">
        <v>3199</v>
      </c>
    </row>
    <row r="207" spans="2:8" x14ac:dyDescent="0.3">
      <c r="B207" s="46">
        <v>45803</v>
      </c>
      <c r="C207" s="45">
        <v>45779</v>
      </c>
      <c r="D207" s="5" t="s">
        <v>2811</v>
      </c>
      <c r="E207" s="29" t="s">
        <v>3166</v>
      </c>
      <c r="F207" s="47" t="s">
        <v>6</v>
      </c>
      <c r="G207" s="5" t="s">
        <v>3200</v>
      </c>
      <c r="H207" s="5" t="s">
        <v>3201</v>
      </c>
    </row>
    <row r="208" spans="2:8" x14ac:dyDescent="0.3">
      <c r="B208" s="46">
        <v>45804</v>
      </c>
      <c r="C208" s="45">
        <v>45779</v>
      </c>
      <c r="D208" s="5" t="s">
        <v>2811</v>
      </c>
      <c r="E208" s="29" t="s">
        <v>3166</v>
      </c>
      <c r="F208" s="47" t="s">
        <v>6</v>
      </c>
      <c r="G208" s="5" t="s">
        <v>2814</v>
      </c>
      <c r="H208" s="5" t="s">
        <v>2815</v>
      </c>
    </row>
    <row r="209" spans="2:8" x14ac:dyDescent="0.3">
      <c r="B209" s="46">
        <v>45804</v>
      </c>
      <c r="C209" s="45">
        <v>45779</v>
      </c>
      <c r="D209" s="5" t="s">
        <v>2811</v>
      </c>
      <c r="E209" s="29" t="s">
        <v>3166</v>
      </c>
      <c r="F209" s="47" t="s">
        <v>6</v>
      </c>
      <c r="G209" s="5" t="s">
        <v>2816</v>
      </c>
      <c r="H209" s="5" t="s">
        <v>2817</v>
      </c>
    </row>
    <row r="210" spans="2:8" x14ac:dyDescent="0.3">
      <c r="B210" s="46">
        <v>45804</v>
      </c>
      <c r="C210" s="45">
        <v>45779</v>
      </c>
      <c r="D210" s="5" t="s">
        <v>2811</v>
      </c>
      <c r="E210" s="29" t="s">
        <v>3166</v>
      </c>
      <c r="F210" s="47" t="s">
        <v>6</v>
      </c>
      <c r="G210" s="5" t="s">
        <v>2818</v>
      </c>
      <c r="H210" s="5" t="s">
        <v>2819</v>
      </c>
    </row>
    <row r="211" spans="2:8" x14ac:dyDescent="0.3">
      <c r="B211" s="46">
        <v>45804</v>
      </c>
      <c r="C211" s="45">
        <v>45779</v>
      </c>
      <c r="D211" s="5" t="s">
        <v>2811</v>
      </c>
      <c r="E211" s="29" t="s">
        <v>3166</v>
      </c>
      <c r="F211" s="47" t="s">
        <v>6</v>
      </c>
      <c r="G211" s="5" t="s">
        <v>3198</v>
      </c>
      <c r="H211" s="5" t="s">
        <v>3199</v>
      </c>
    </row>
    <row r="212" spans="2:8" x14ac:dyDescent="0.3">
      <c r="B212" s="46">
        <v>45804</v>
      </c>
      <c r="C212" s="45">
        <v>45779</v>
      </c>
      <c r="D212" s="5" t="s">
        <v>2811</v>
      </c>
      <c r="E212" s="29" t="s">
        <v>3166</v>
      </c>
      <c r="F212" s="47" t="s">
        <v>6</v>
      </c>
      <c r="G212" s="5" t="s">
        <v>3200</v>
      </c>
      <c r="H212" s="5" t="s">
        <v>3202</v>
      </c>
    </row>
    <row r="213" spans="2:8" x14ac:dyDescent="0.3">
      <c r="B213" s="46">
        <v>45805</v>
      </c>
      <c r="C213" s="45">
        <v>45779</v>
      </c>
      <c r="D213" s="5" t="s">
        <v>2811</v>
      </c>
      <c r="E213" s="29" t="s">
        <v>3166</v>
      </c>
      <c r="F213" s="47" t="s">
        <v>6</v>
      </c>
      <c r="G213" s="5" t="s">
        <v>2814</v>
      </c>
      <c r="H213" s="5" t="s">
        <v>2815</v>
      </c>
    </row>
    <row r="214" spans="2:8" x14ac:dyDescent="0.3">
      <c r="B214" s="46">
        <v>45805</v>
      </c>
      <c r="C214" s="45">
        <v>45779</v>
      </c>
      <c r="D214" s="5" t="s">
        <v>2811</v>
      </c>
      <c r="E214" s="29" t="s">
        <v>3166</v>
      </c>
      <c r="F214" s="47" t="s">
        <v>6</v>
      </c>
      <c r="G214" s="5" t="s">
        <v>2816</v>
      </c>
      <c r="H214" s="5" t="s">
        <v>2817</v>
      </c>
    </row>
    <row r="215" spans="2:8" x14ac:dyDescent="0.3">
      <c r="B215" s="46">
        <v>45805</v>
      </c>
      <c r="C215" s="45">
        <v>45779</v>
      </c>
      <c r="D215" s="5" t="s">
        <v>2811</v>
      </c>
      <c r="E215" s="29" t="s">
        <v>3166</v>
      </c>
      <c r="F215" s="47" t="s">
        <v>6</v>
      </c>
      <c r="G215" s="5" t="s">
        <v>2818</v>
      </c>
      <c r="H215" s="5" t="s">
        <v>2819</v>
      </c>
    </row>
    <row r="216" spans="2:8" x14ac:dyDescent="0.3">
      <c r="B216" s="46">
        <v>45805</v>
      </c>
      <c r="C216" s="45">
        <v>45779</v>
      </c>
      <c r="D216" s="5" t="s">
        <v>2811</v>
      </c>
      <c r="E216" s="29" t="s">
        <v>3166</v>
      </c>
      <c r="F216" s="47" t="s">
        <v>6</v>
      </c>
      <c r="G216" s="5" t="s">
        <v>3198</v>
      </c>
      <c r="H216" s="5" t="s">
        <v>3199</v>
      </c>
    </row>
    <row r="217" spans="2:8" x14ac:dyDescent="0.3">
      <c r="B217" s="46">
        <v>45806</v>
      </c>
      <c r="C217" s="45">
        <v>45779</v>
      </c>
      <c r="D217" s="5" t="s">
        <v>2811</v>
      </c>
      <c r="E217" s="29" t="s">
        <v>3166</v>
      </c>
      <c r="F217" s="47" t="s">
        <v>6</v>
      </c>
      <c r="G217" s="5" t="s">
        <v>2814</v>
      </c>
      <c r="H217" s="5" t="s">
        <v>2815</v>
      </c>
    </row>
    <row r="218" spans="2:8" x14ac:dyDescent="0.3">
      <c r="B218" s="46">
        <v>45806</v>
      </c>
      <c r="C218" s="45">
        <v>45779</v>
      </c>
      <c r="D218" s="5" t="s">
        <v>2811</v>
      </c>
      <c r="E218" s="29" t="s">
        <v>3166</v>
      </c>
      <c r="F218" s="47" t="s">
        <v>6</v>
      </c>
      <c r="G218" s="5" t="s">
        <v>2816</v>
      </c>
      <c r="H218" s="5" t="s">
        <v>2817</v>
      </c>
    </row>
    <row r="219" spans="2:8" x14ac:dyDescent="0.3">
      <c r="B219" s="46">
        <v>45806</v>
      </c>
      <c r="C219" s="45">
        <v>45779</v>
      </c>
      <c r="D219" s="5" t="s">
        <v>2811</v>
      </c>
      <c r="E219" s="29" t="s">
        <v>3166</v>
      </c>
      <c r="F219" s="47" t="s">
        <v>6</v>
      </c>
      <c r="G219" s="5" t="s">
        <v>2818</v>
      </c>
      <c r="H219" s="5" t="s">
        <v>2819</v>
      </c>
    </row>
    <row r="220" spans="2:8" x14ac:dyDescent="0.3">
      <c r="B220" s="46">
        <v>45806</v>
      </c>
      <c r="C220" s="45">
        <v>45779</v>
      </c>
      <c r="D220" s="5" t="s">
        <v>2811</v>
      </c>
      <c r="E220" s="29" t="s">
        <v>3166</v>
      </c>
      <c r="F220" s="47" t="s">
        <v>6</v>
      </c>
      <c r="G220" s="5" t="s">
        <v>3198</v>
      </c>
      <c r="H220" s="5" t="s">
        <v>3199</v>
      </c>
    </row>
    <row r="221" spans="2:8" x14ac:dyDescent="0.3">
      <c r="B221" s="46">
        <v>45806</v>
      </c>
      <c r="C221" s="45">
        <v>45779</v>
      </c>
      <c r="D221" s="5" t="s">
        <v>2811</v>
      </c>
      <c r="E221" s="29" t="s">
        <v>3166</v>
      </c>
      <c r="F221" s="47" t="s">
        <v>6</v>
      </c>
      <c r="G221" s="5" t="s">
        <v>3200</v>
      </c>
      <c r="H221" s="5" t="s">
        <v>3203</v>
      </c>
    </row>
    <row r="222" spans="2:8" x14ac:dyDescent="0.3">
      <c r="B222" s="46">
        <v>45807</v>
      </c>
      <c r="C222" s="45">
        <v>45779</v>
      </c>
      <c r="D222" s="5" t="s">
        <v>2811</v>
      </c>
      <c r="E222" s="29" t="s">
        <v>3166</v>
      </c>
      <c r="F222" s="47" t="s">
        <v>6</v>
      </c>
      <c r="G222" s="5" t="s">
        <v>2814</v>
      </c>
      <c r="H222" s="5" t="s">
        <v>2815</v>
      </c>
    </row>
    <row r="223" spans="2:8" x14ac:dyDescent="0.3">
      <c r="B223" s="46">
        <v>45807</v>
      </c>
      <c r="C223" s="45">
        <v>45779</v>
      </c>
      <c r="D223" s="5" t="s">
        <v>2811</v>
      </c>
      <c r="E223" s="29" t="s">
        <v>3166</v>
      </c>
      <c r="F223" s="47" t="s">
        <v>6</v>
      </c>
      <c r="G223" s="5" t="s">
        <v>2816</v>
      </c>
      <c r="H223" s="5" t="s">
        <v>2817</v>
      </c>
    </row>
    <row r="224" spans="2:8" x14ac:dyDescent="0.3">
      <c r="B224" s="46">
        <v>45807</v>
      </c>
      <c r="C224" s="45">
        <v>45779</v>
      </c>
      <c r="D224" s="5" t="s">
        <v>2811</v>
      </c>
      <c r="E224" s="29" t="s">
        <v>3166</v>
      </c>
      <c r="F224" s="47" t="s">
        <v>6</v>
      </c>
      <c r="G224" s="5" t="s">
        <v>2818</v>
      </c>
      <c r="H224" s="5" t="s">
        <v>2819</v>
      </c>
    </row>
    <row r="225" spans="2:8" x14ac:dyDescent="0.3">
      <c r="B225" s="46">
        <v>45807</v>
      </c>
      <c r="C225" s="45">
        <v>45779</v>
      </c>
      <c r="D225" s="5" t="s">
        <v>2811</v>
      </c>
      <c r="E225" s="29" t="s">
        <v>3166</v>
      </c>
      <c r="F225" s="47" t="s">
        <v>6</v>
      </c>
      <c r="G225" s="5" t="s">
        <v>3198</v>
      </c>
      <c r="H225" s="5" t="s">
        <v>3199</v>
      </c>
    </row>
    <row r="226" spans="2:8" x14ac:dyDescent="0.3">
      <c r="B226" s="46">
        <v>45810</v>
      </c>
      <c r="C226" s="45">
        <v>45810</v>
      </c>
      <c r="D226" s="5" t="s">
        <v>2811</v>
      </c>
      <c r="E226" s="29" t="s">
        <v>3166</v>
      </c>
      <c r="F226" s="47" t="s">
        <v>6</v>
      </c>
      <c r="G226" s="5" t="s">
        <v>2814</v>
      </c>
      <c r="H226" s="5" t="s">
        <v>2815</v>
      </c>
    </row>
    <row r="227" spans="2:8" x14ac:dyDescent="0.3">
      <c r="B227" s="46">
        <v>45810</v>
      </c>
      <c r="C227" s="45">
        <v>45810</v>
      </c>
      <c r="D227" s="5" t="s">
        <v>2811</v>
      </c>
      <c r="E227" s="29" t="s">
        <v>3166</v>
      </c>
      <c r="F227" s="47" t="s">
        <v>6</v>
      </c>
      <c r="G227" s="5" t="s">
        <v>2816</v>
      </c>
      <c r="H227" s="5" t="s">
        <v>2817</v>
      </c>
    </row>
    <row r="228" spans="2:8" x14ac:dyDescent="0.3">
      <c r="B228" s="46">
        <v>45810</v>
      </c>
      <c r="C228" s="45">
        <v>45810</v>
      </c>
      <c r="D228" s="5" t="s">
        <v>2811</v>
      </c>
      <c r="E228" s="29" t="s">
        <v>3166</v>
      </c>
      <c r="F228" s="47" t="s">
        <v>6</v>
      </c>
      <c r="G228" s="5" t="s">
        <v>2818</v>
      </c>
      <c r="H228" s="5" t="s">
        <v>2819</v>
      </c>
    </row>
    <row r="229" spans="2:8" x14ac:dyDescent="0.3">
      <c r="B229" s="46">
        <v>45811</v>
      </c>
      <c r="C229" s="45">
        <v>45810</v>
      </c>
      <c r="D229" s="5" t="s">
        <v>2811</v>
      </c>
      <c r="E229" s="29" t="s">
        <v>3166</v>
      </c>
      <c r="F229" s="47" t="s">
        <v>6</v>
      </c>
      <c r="G229" s="5" t="s">
        <v>2814</v>
      </c>
      <c r="H229" s="5" t="s">
        <v>2815</v>
      </c>
    </row>
    <row r="230" spans="2:8" x14ac:dyDescent="0.3">
      <c r="B230" s="46">
        <v>45811</v>
      </c>
      <c r="C230" s="45">
        <v>45810</v>
      </c>
      <c r="D230" s="5" t="s">
        <v>2811</v>
      </c>
      <c r="E230" s="29" t="s">
        <v>3166</v>
      </c>
      <c r="F230" s="47" t="s">
        <v>6</v>
      </c>
      <c r="G230" s="5" t="s">
        <v>2816</v>
      </c>
      <c r="H230" s="5" t="s">
        <v>2817</v>
      </c>
    </row>
    <row r="231" spans="2:8" x14ac:dyDescent="0.3">
      <c r="B231" s="46">
        <v>45811</v>
      </c>
      <c r="C231" s="45">
        <v>45810</v>
      </c>
      <c r="D231" s="5" t="s">
        <v>2811</v>
      </c>
      <c r="E231" s="29" t="s">
        <v>3166</v>
      </c>
      <c r="F231" s="47" t="s">
        <v>6</v>
      </c>
      <c r="G231" s="5" t="s">
        <v>2818</v>
      </c>
      <c r="H231" s="5" t="s">
        <v>2819</v>
      </c>
    </row>
    <row r="232" spans="2:8" x14ac:dyDescent="0.3">
      <c r="B232" s="46">
        <v>45812</v>
      </c>
      <c r="C232" s="45">
        <v>45810</v>
      </c>
      <c r="D232" s="5" t="s">
        <v>2811</v>
      </c>
      <c r="E232" s="29" t="s">
        <v>3166</v>
      </c>
      <c r="F232" s="47" t="s">
        <v>6</v>
      </c>
      <c r="G232" s="5" t="s">
        <v>2814</v>
      </c>
      <c r="H232" s="5" t="s">
        <v>2815</v>
      </c>
    </row>
    <row r="233" spans="2:8" x14ac:dyDescent="0.3">
      <c r="B233" s="46">
        <v>45812</v>
      </c>
      <c r="C233" s="45">
        <v>45810</v>
      </c>
      <c r="D233" s="5" t="s">
        <v>2811</v>
      </c>
      <c r="E233" s="29" t="s">
        <v>3166</v>
      </c>
      <c r="F233" s="47" t="s">
        <v>6</v>
      </c>
      <c r="G233" s="5" t="s">
        <v>2816</v>
      </c>
      <c r="H233" s="5" t="s">
        <v>2817</v>
      </c>
    </row>
    <row r="234" spans="2:8" x14ac:dyDescent="0.3">
      <c r="B234" s="46">
        <v>45812</v>
      </c>
      <c r="C234" s="45">
        <v>45810</v>
      </c>
      <c r="D234" s="5" t="s">
        <v>2811</v>
      </c>
      <c r="E234" s="29" t="s">
        <v>3166</v>
      </c>
      <c r="F234" s="47" t="s">
        <v>6</v>
      </c>
      <c r="G234" s="5" t="s">
        <v>2818</v>
      </c>
      <c r="H234" s="5" t="s">
        <v>2819</v>
      </c>
    </row>
    <row r="235" spans="2:8" x14ac:dyDescent="0.3">
      <c r="B235" s="46">
        <v>45812</v>
      </c>
      <c r="C235" s="45">
        <v>45810</v>
      </c>
      <c r="D235" s="5" t="s">
        <v>2811</v>
      </c>
      <c r="E235" s="29" t="s">
        <v>3166</v>
      </c>
      <c r="F235" s="47" t="s">
        <v>6</v>
      </c>
      <c r="G235" s="5" t="s">
        <v>3204</v>
      </c>
      <c r="H235" s="5" t="s">
        <v>3205</v>
      </c>
    </row>
    <row r="236" spans="2:8" x14ac:dyDescent="0.3">
      <c r="B236" s="46">
        <v>45813</v>
      </c>
      <c r="C236" s="45">
        <v>45810</v>
      </c>
      <c r="D236" s="5" t="s">
        <v>2811</v>
      </c>
      <c r="E236" s="29" t="s">
        <v>3166</v>
      </c>
      <c r="F236" s="47" t="s">
        <v>6</v>
      </c>
      <c r="G236" s="5" t="s">
        <v>2814</v>
      </c>
      <c r="H236" s="5" t="s">
        <v>2815</v>
      </c>
    </row>
    <row r="237" spans="2:8" x14ac:dyDescent="0.3">
      <c r="B237" s="46">
        <v>45813</v>
      </c>
      <c r="C237" s="45">
        <v>45810</v>
      </c>
      <c r="D237" s="5" t="s">
        <v>2811</v>
      </c>
      <c r="E237" s="29" t="s">
        <v>3166</v>
      </c>
      <c r="F237" s="47" t="s">
        <v>6</v>
      </c>
      <c r="G237" s="5" t="s">
        <v>2816</v>
      </c>
      <c r="H237" s="5" t="s">
        <v>2817</v>
      </c>
    </row>
    <row r="238" spans="2:8" x14ac:dyDescent="0.3">
      <c r="B238" s="46">
        <v>45813</v>
      </c>
      <c r="C238" s="45">
        <v>45810</v>
      </c>
      <c r="D238" s="5" t="s">
        <v>2811</v>
      </c>
      <c r="E238" s="29" t="s">
        <v>3166</v>
      </c>
      <c r="F238" s="47" t="s">
        <v>6</v>
      </c>
      <c r="G238" s="5" t="s">
        <v>2818</v>
      </c>
      <c r="H238" s="5" t="s">
        <v>2819</v>
      </c>
    </row>
    <row r="239" spans="2:8" x14ac:dyDescent="0.3">
      <c r="B239" s="46">
        <v>45814</v>
      </c>
      <c r="C239" s="45">
        <v>45810</v>
      </c>
      <c r="D239" s="5" t="s">
        <v>2811</v>
      </c>
      <c r="E239" s="29" t="s">
        <v>3166</v>
      </c>
      <c r="F239" s="47" t="s">
        <v>6</v>
      </c>
      <c r="G239" s="5" t="s">
        <v>2814</v>
      </c>
      <c r="H239" s="5" t="s">
        <v>2815</v>
      </c>
    </row>
    <row r="240" spans="2:8" x14ac:dyDescent="0.3">
      <c r="B240" s="46">
        <v>45814</v>
      </c>
      <c r="C240" s="45">
        <v>45810</v>
      </c>
      <c r="D240" s="5" t="s">
        <v>2811</v>
      </c>
      <c r="E240" s="29" t="s">
        <v>3166</v>
      </c>
      <c r="F240" s="47" t="s">
        <v>6</v>
      </c>
      <c r="G240" s="5" t="s">
        <v>2816</v>
      </c>
      <c r="H240" s="5" t="s">
        <v>2817</v>
      </c>
    </row>
    <row r="241" spans="2:8" x14ac:dyDescent="0.3">
      <c r="B241" s="46">
        <v>45814</v>
      </c>
      <c r="C241" s="45">
        <v>45810</v>
      </c>
      <c r="D241" s="5" t="s">
        <v>2811</v>
      </c>
      <c r="E241" s="29" t="s">
        <v>3166</v>
      </c>
      <c r="F241" s="47" t="s">
        <v>6</v>
      </c>
      <c r="G241" s="5" t="s">
        <v>2818</v>
      </c>
      <c r="H241" s="5" t="s">
        <v>2819</v>
      </c>
    </row>
    <row r="242" spans="2:8" x14ac:dyDescent="0.3">
      <c r="B242" s="46">
        <v>45817</v>
      </c>
      <c r="C242" s="45">
        <v>45810</v>
      </c>
      <c r="D242" s="5" t="s">
        <v>2811</v>
      </c>
      <c r="E242" s="29" t="s">
        <v>3166</v>
      </c>
      <c r="F242" s="47" t="s">
        <v>6</v>
      </c>
      <c r="G242" s="5" t="s">
        <v>2814</v>
      </c>
      <c r="H242" s="5" t="s">
        <v>2815</v>
      </c>
    </row>
    <row r="243" spans="2:8" x14ac:dyDescent="0.3">
      <c r="B243" s="46">
        <v>45817</v>
      </c>
      <c r="C243" s="45">
        <v>45810</v>
      </c>
      <c r="D243" s="5" t="s">
        <v>2811</v>
      </c>
      <c r="E243" s="29" t="s">
        <v>3166</v>
      </c>
      <c r="F243" s="47" t="s">
        <v>6</v>
      </c>
      <c r="G243" s="5" t="s">
        <v>2816</v>
      </c>
      <c r="H243" s="5" t="s">
        <v>2817</v>
      </c>
    </row>
    <row r="244" spans="2:8" x14ac:dyDescent="0.3">
      <c r="B244" s="46">
        <v>45817</v>
      </c>
      <c r="C244" s="45">
        <v>45810</v>
      </c>
      <c r="D244" s="5" t="s">
        <v>2811</v>
      </c>
      <c r="E244" s="29" t="s">
        <v>3166</v>
      </c>
      <c r="F244" s="47" t="s">
        <v>6</v>
      </c>
      <c r="G244" s="5" t="s">
        <v>2818</v>
      </c>
      <c r="H244" s="5" t="s">
        <v>2819</v>
      </c>
    </row>
    <row r="245" spans="2:8" x14ac:dyDescent="0.3">
      <c r="B245" s="46">
        <v>45818</v>
      </c>
      <c r="C245" s="45">
        <v>45810</v>
      </c>
      <c r="D245" s="5" t="s">
        <v>2811</v>
      </c>
      <c r="E245" s="29" t="s">
        <v>3166</v>
      </c>
      <c r="F245" s="47" t="s">
        <v>6</v>
      </c>
      <c r="G245" s="5" t="s">
        <v>2814</v>
      </c>
      <c r="H245" s="5" t="s">
        <v>2815</v>
      </c>
    </row>
    <row r="246" spans="2:8" x14ac:dyDescent="0.3">
      <c r="B246" s="46">
        <v>45818</v>
      </c>
      <c r="C246" s="45">
        <v>45810</v>
      </c>
      <c r="D246" s="5" t="s">
        <v>2811</v>
      </c>
      <c r="E246" s="29" t="s">
        <v>3166</v>
      </c>
      <c r="F246" s="47" t="s">
        <v>6</v>
      </c>
      <c r="G246" s="5" t="s">
        <v>2816</v>
      </c>
      <c r="H246" s="5" t="s">
        <v>2817</v>
      </c>
    </row>
    <row r="247" spans="2:8" x14ac:dyDescent="0.3">
      <c r="B247" s="46">
        <v>45818</v>
      </c>
      <c r="C247" s="45">
        <v>45810</v>
      </c>
      <c r="D247" s="5" t="s">
        <v>2811</v>
      </c>
      <c r="E247" s="29" t="s">
        <v>3166</v>
      </c>
      <c r="F247" s="47" t="s">
        <v>6</v>
      </c>
      <c r="G247" s="5" t="s">
        <v>2818</v>
      </c>
      <c r="H247" s="5" t="s">
        <v>2819</v>
      </c>
    </row>
    <row r="248" spans="2:8" x14ac:dyDescent="0.3">
      <c r="B248" s="46">
        <v>45819</v>
      </c>
      <c r="C248" s="45">
        <v>45810</v>
      </c>
      <c r="D248" s="5" t="s">
        <v>2811</v>
      </c>
      <c r="E248" s="29" t="s">
        <v>3166</v>
      </c>
      <c r="F248" s="47" t="s">
        <v>6</v>
      </c>
      <c r="G248" s="5" t="s">
        <v>2814</v>
      </c>
      <c r="H248" s="5" t="s">
        <v>2815</v>
      </c>
    </row>
    <row r="249" spans="2:8" x14ac:dyDescent="0.3">
      <c r="B249" s="46">
        <v>45819</v>
      </c>
      <c r="C249" s="45">
        <v>45810</v>
      </c>
      <c r="D249" s="5" t="s">
        <v>2811</v>
      </c>
      <c r="E249" s="29" t="s">
        <v>3166</v>
      </c>
      <c r="F249" s="47" t="s">
        <v>6</v>
      </c>
      <c r="G249" s="5" t="s">
        <v>2816</v>
      </c>
      <c r="H249" s="5" t="s">
        <v>2817</v>
      </c>
    </row>
    <row r="250" spans="2:8" x14ac:dyDescent="0.3">
      <c r="B250" s="46">
        <v>45819</v>
      </c>
      <c r="C250" s="45">
        <v>45810</v>
      </c>
      <c r="D250" s="5" t="s">
        <v>2811</v>
      </c>
      <c r="E250" s="29" t="s">
        <v>3166</v>
      </c>
      <c r="F250" s="47" t="s">
        <v>6</v>
      </c>
      <c r="G250" s="5" t="s">
        <v>2818</v>
      </c>
      <c r="H250" s="5" t="s">
        <v>2819</v>
      </c>
    </row>
    <row r="251" spans="2:8" x14ac:dyDescent="0.3">
      <c r="B251" s="46">
        <v>45820</v>
      </c>
      <c r="C251" s="45">
        <v>45810</v>
      </c>
      <c r="D251" s="5" t="s">
        <v>2811</v>
      </c>
      <c r="E251" s="29" t="s">
        <v>3166</v>
      </c>
      <c r="F251" s="47" t="s">
        <v>6</v>
      </c>
      <c r="G251" s="5" t="s">
        <v>2814</v>
      </c>
      <c r="H251" s="5" t="s">
        <v>2815</v>
      </c>
    </row>
    <row r="252" spans="2:8" x14ac:dyDescent="0.3">
      <c r="B252" s="46">
        <v>45820</v>
      </c>
      <c r="C252" s="45">
        <v>45810</v>
      </c>
      <c r="D252" s="5" t="s">
        <v>2811</v>
      </c>
      <c r="E252" s="29" t="s">
        <v>3166</v>
      </c>
      <c r="F252" s="47" t="s">
        <v>6</v>
      </c>
      <c r="G252" s="5" t="s">
        <v>2816</v>
      </c>
      <c r="H252" s="5" t="s">
        <v>2817</v>
      </c>
    </row>
    <row r="253" spans="2:8" x14ac:dyDescent="0.3">
      <c r="B253" s="46">
        <v>45820</v>
      </c>
      <c r="C253" s="45">
        <v>45810</v>
      </c>
      <c r="D253" s="5" t="s">
        <v>2811</v>
      </c>
      <c r="E253" s="29" t="s">
        <v>3166</v>
      </c>
      <c r="F253" s="47" t="s">
        <v>6</v>
      </c>
      <c r="G253" s="5" t="s">
        <v>2818</v>
      </c>
      <c r="H253" s="5" t="s">
        <v>2819</v>
      </c>
    </row>
    <row r="254" spans="2:8" x14ac:dyDescent="0.3">
      <c r="B254" s="46">
        <v>45821</v>
      </c>
      <c r="C254" s="45">
        <v>45810</v>
      </c>
      <c r="D254" s="5" t="s">
        <v>2811</v>
      </c>
      <c r="E254" s="29" t="s">
        <v>3166</v>
      </c>
      <c r="F254" s="47" t="s">
        <v>6</v>
      </c>
      <c r="G254" s="5" t="s">
        <v>2814</v>
      </c>
      <c r="H254" s="5" t="s">
        <v>2815</v>
      </c>
    </row>
    <row r="255" spans="2:8" x14ac:dyDescent="0.3">
      <c r="B255" s="46">
        <v>45821</v>
      </c>
      <c r="C255" s="45">
        <v>45810</v>
      </c>
      <c r="D255" s="5" t="s">
        <v>2811</v>
      </c>
      <c r="E255" s="29" t="s">
        <v>3166</v>
      </c>
      <c r="F255" s="47" t="s">
        <v>6</v>
      </c>
      <c r="G255" s="5" t="s">
        <v>2816</v>
      </c>
      <c r="H255" s="5" t="s">
        <v>2817</v>
      </c>
    </row>
    <row r="256" spans="2:8" x14ac:dyDescent="0.3">
      <c r="B256" s="46">
        <v>45821</v>
      </c>
      <c r="C256" s="45">
        <v>45810</v>
      </c>
      <c r="D256" s="5" t="s">
        <v>2811</v>
      </c>
      <c r="E256" s="29" t="s">
        <v>3166</v>
      </c>
      <c r="F256" s="47" t="s">
        <v>6</v>
      </c>
      <c r="G256" s="5" t="s">
        <v>2818</v>
      </c>
      <c r="H256" s="5" t="s">
        <v>2819</v>
      </c>
    </row>
    <row r="257" spans="2:8" x14ac:dyDescent="0.3">
      <c r="B257" s="46">
        <v>45824</v>
      </c>
      <c r="C257" s="45">
        <v>45810</v>
      </c>
      <c r="D257" s="5" t="s">
        <v>2811</v>
      </c>
      <c r="E257" s="29" t="s">
        <v>3166</v>
      </c>
      <c r="F257" s="47" t="s">
        <v>6</v>
      </c>
      <c r="G257" s="5" t="s">
        <v>2814</v>
      </c>
      <c r="H257" s="5" t="s">
        <v>2815</v>
      </c>
    </row>
    <row r="258" spans="2:8" x14ac:dyDescent="0.3">
      <c r="B258" s="46">
        <v>45824</v>
      </c>
      <c r="C258" s="45">
        <v>45810</v>
      </c>
      <c r="D258" s="5" t="s">
        <v>2811</v>
      </c>
      <c r="E258" s="29" t="s">
        <v>3166</v>
      </c>
      <c r="F258" s="47" t="s">
        <v>6</v>
      </c>
      <c r="G258" s="5" t="s">
        <v>2816</v>
      </c>
      <c r="H258" s="5" t="s">
        <v>2817</v>
      </c>
    </row>
    <row r="259" spans="2:8" x14ac:dyDescent="0.3">
      <c r="B259" s="46">
        <v>45824</v>
      </c>
      <c r="C259" s="45">
        <v>45810</v>
      </c>
      <c r="D259" s="5" t="s">
        <v>2811</v>
      </c>
      <c r="E259" s="29" t="s">
        <v>3166</v>
      </c>
      <c r="F259" s="47" t="s">
        <v>6</v>
      </c>
      <c r="G259" s="5" t="s">
        <v>2818</v>
      </c>
      <c r="H259" s="5" t="s">
        <v>2819</v>
      </c>
    </row>
    <row r="260" spans="2:8" x14ac:dyDescent="0.3">
      <c r="B260" s="46">
        <v>45824</v>
      </c>
      <c r="C260" s="45">
        <v>45810</v>
      </c>
      <c r="D260" s="5" t="s">
        <v>2811</v>
      </c>
      <c r="E260" s="29" t="s">
        <v>3166</v>
      </c>
      <c r="F260" s="47" t="s">
        <v>6</v>
      </c>
      <c r="G260" s="5" t="s">
        <v>2856</v>
      </c>
      <c r="H260" s="5" t="s">
        <v>2857</v>
      </c>
    </row>
    <row r="261" spans="2:8" x14ac:dyDescent="0.3">
      <c r="B261" s="46">
        <v>45825</v>
      </c>
      <c r="C261" s="45">
        <v>45810</v>
      </c>
      <c r="D261" s="5" t="s">
        <v>2811</v>
      </c>
      <c r="E261" s="29" t="s">
        <v>3166</v>
      </c>
      <c r="F261" s="47" t="s">
        <v>6</v>
      </c>
      <c r="G261" s="5" t="s">
        <v>2814</v>
      </c>
      <c r="H261" s="5" t="s">
        <v>2815</v>
      </c>
    </row>
    <row r="262" spans="2:8" x14ac:dyDescent="0.3">
      <c r="B262" s="46">
        <v>45825</v>
      </c>
      <c r="C262" s="45">
        <v>45810</v>
      </c>
      <c r="D262" s="5" t="s">
        <v>2811</v>
      </c>
      <c r="E262" s="29" t="s">
        <v>3166</v>
      </c>
      <c r="F262" s="47" t="s">
        <v>6</v>
      </c>
      <c r="G262" s="5" t="s">
        <v>2816</v>
      </c>
      <c r="H262" s="5" t="s">
        <v>2817</v>
      </c>
    </row>
    <row r="263" spans="2:8" x14ac:dyDescent="0.3">
      <c r="B263" s="46">
        <v>45825</v>
      </c>
      <c r="C263" s="45">
        <v>45810</v>
      </c>
      <c r="D263" s="5" t="s">
        <v>2811</v>
      </c>
      <c r="E263" s="29" t="s">
        <v>3166</v>
      </c>
      <c r="F263" s="47" t="s">
        <v>6</v>
      </c>
      <c r="G263" s="5" t="s">
        <v>2818</v>
      </c>
      <c r="H263" s="5" t="s">
        <v>2819</v>
      </c>
    </row>
    <row r="264" spans="2:8" x14ac:dyDescent="0.3">
      <c r="B264" s="46">
        <v>45825</v>
      </c>
      <c r="C264" s="45">
        <v>45810</v>
      </c>
      <c r="D264" s="5" t="s">
        <v>2811</v>
      </c>
      <c r="E264" s="29" t="s">
        <v>3166</v>
      </c>
      <c r="F264" s="47" t="s">
        <v>6</v>
      </c>
      <c r="G264" s="5" t="s">
        <v>2856</v>
      </c>
      <c r="H264" s="5" t="s">
        <v>2857</v>
      </c>
    </row>
    <row r="265" spans="2:8" x14ac:dyDescent="0.3">
      <c r="B265" s="46">
        <v>45826</v>
      </c>
      <c r="C265" s="45">
        <v>45810</v>
      </c>
      <c r="D265" s="5" t="s">
        <v>2811</v>
      </c>
      <c r="E265" s="29" t="s">
        <v>3166</v>
      </c>
      <c r="F265" s="47" t="s">
        <v>6</v>
      </c>
      <c r="G265" s="5" t="s">
        <v>2814</v>
      </c>
      <c r="H265" s="5" t="s">
        <v>2815</v>
      </c>
    </row>
    <row r="266" spans="2:8" x14ac:dyDescent="0.3">
      <c r="B266" s="46">
        <v>45826</v>
      </c>
      <c r="C266" s="45">
        <v>45810</v>
      </c>
      <c r="D266" s="5" t="s">
        <v>2811</v>
      </c>
      <c r="E266" s="29" t="s">
        <v>3166</v>
      </c>
      <c r="F266" s="47" t="s">
        <v>6</v>
      </c>
      <c r="G266" s="5" t="s">
        <v>2816</v>
      </c>
      <c r="H266" s="5" t="s">
        <v>2817</v>
      </c>
    </row>
    <row r="267" spans="2:8" x14ac:dyDescent="0.3">
      <c r="B267" s="46">
        <v>45826</v>
      </c>
      <c r="C267" s="45">
        <v>45810</v>
      </c>
      <c r="D267" s="5" t="s">
        <v>2811</v>
      </c>
      <c r="E267" s="29" t="s">
        <v>3166</v>
      </c>
      <c r="F267" s="47" t="s">
        <v>6</v>
      </c>
      <c r="G267" s="5" t="s">
        <v>2818</v>
      </c>
      <c r="H267" s="5" t="s">
        <v>2819</v>
      </c>
    </row>
    <row r="268" spans="2:8" x14ac:dyDescent="0.3">
      <c r="B268" s="46">
        <v>45826</v>
      </c>
      <c r="C268" s="45">
        <v>45810</v>
      </c>
      <c r="D268" s="5" t="s">
        <v>2811</v>
      </c>
      <c r="E268" s="29" t="s">
        <v>3166</v>
      </c>
      <c r="F268" s="47" t="s">
        <v>6</v>
      </c>
      <c r="G268" s="5" t="s">
        <v>2856</v>
      </c>
      <c r="H268" s="5" t="s">
        <v>2857</v>
      </c>
    </row>
    <row r="269" spans="2:8" x14ac:dyDescent="0.3">
      <c r="B269" s="46">
        <v>45827</v>
      </c>
      <c r="C269" s="45">
        <v>45810</v>
      </c>
      <c r="D269" s="5" t="s">
        <v>2811</v>
      </c>
      <c r="E269" s="29" t="s">
        <v>3166</v>
      </c>
      <c r="F269" s="47" t="s">
        <v>6</v>
      </c>
      <c r="G269" s="5" t="s">
        <v>2814</v>
      </c>
      <c r="H269" s="5" t="s">
        <v>2815</v>
      </c>
    </row>
    <row r="270" spans="2:8" x14ac:dyDescent="0.3">
      <c r="B270" s="46">
        <v>45827</v>
      </c>
      <c r="C270" s="45">
        <v>45810</v>
      </c>
      <c r="D270" s="5" t="s">
        <v>2811</v>
      </c>
      <c r="E270" s="29" t="s">
        <v>3166</v>
      </c>
      <c r="F270" s="47" t="s">
        <v>6</v>
      </c>
      <c r="G270" s="5" t="s">
        <v>2816</v>
      </c>
      <c r="H270" s="5" t="s">
        <v>2817</v>
      </c>
    </row>
    <row r="271" spans="2:8" x14ac:dyDescent="0.3">
      <c r="B271" s="46">
        <v>45827</v>
      </c>
      <c r="C271" s="45">
        <v>45810</v>
      </c>
      <c r="D271" s="5" t="s">
        <v>2811</v>
      </c>
      <c r="E271" s="29" t="s">
        <v>3166</v>
      </c>
      <c r="F271" s="47" t="s">
        <v>6</v>
      </c>
      <c r="G271" s="5" t="s">
        <v>2818</v>
      </c>
      <c r="H271" s="5" t="s">
        <v>2819</v>
      </c>
    </row>
    <row r="272" spans="2:8" x14ac:dyDescent="0.3">
      <c r="B272" s="46">
        <v>45827</v>
      </c>
      <c r="C272" s="45">
        <v>45810</v>
      </c>
      <c r="D272" s="5" t="s">
        <v>2811</v>
      </c>
      <c r="E272" s="29" t="s">
        <v>3166</v>
      </c>
      <c r="F272" s="47" t="s">
        <v>6</v>
      </c>
      <c r="G272" s="5" t="s">
        <v>2856</v>
      </c>
      <c r="H272" s="5" t="s">
        <v>2857</v>
      </c>
    </row>
    <row r="273" spans="2:8" x14ac:dyDescent="0.3">
      <c r="B273" s="46">
        <v>45827</v>
      </c>
      <c r="C273" s="45">
        <v>45810</v>
      </c>
      <c r="D273" s="5" t="s">
        <v>2811</v>
      </c>
      <c r="E273" s="29" t="s">
        <v>3166</v>
      </c>
      <c r="F273" s="19" t="s">
        <v>4</v>
      </c>
      <c r="G273" s="5" t="s">
        <v>3194</v>
      </c>
      <c r="H273" s="5" t="s">
        <v>3206</v>
      </c>
    </row>
    <row r="274" spans="2:8" x14ac:dyDescent="0.3">
      <c r="B274" s="46">
        <v>45828</v>
      </c>
      <c r="C274" s="45">
        <v>45810</v>
      </c>
      <c r="D274" s="5" t="s">
        <v>2811</v>
      </c>
      <c r="E274" s="29" t="s">
        <v>3166</v>
      </c>
      <c r="F274" s="47" t="s">
        <v>6</v>
      </c>
      <c r="G274" s="5" t="s">
        <v>2814</v>
      </c>
      <c r="H274" s="5" t="s">
        <v>2815</v>
      </c>
    </row>
    <row r="275" spans="2:8" x14ac:dyDescent="0.3">
      <c r="B275" s="46">
        <v>45828</v>
      </c>
      <c r="C275" s="45">
        <v>45810</v>
      </c>
      <c r="D275" s="5" t="s">
        <v>2811</v>
      </c>
      <c r="E275" s="29" t="s">
        <v>3166</v>
      </c>
      <c r="F275" s="47" t="s">
        <v>6</v>
      </c>
      <c r="G275" s="5" t="s">
        <v>2816</v>
      </c>
      <c r="H275" s="5" t="s">
        <v>2817</v>
      </c>
    </row>
    <row r="276" spans="2:8" x14ac:dyDescent="0.3">
      <c r="B276" s="46">
        <v>45828</v>
      </c>
      <c r="C276" s="45">
        <v>45810</v>
      </c>
      <c r="D276" s="5" t="s">
        <v>2811</v>
      </c>
      <c r="E276" s="29" t="s">
        <v>3166</v>
      </c>
      <c r="F276" s="47" t="s">
        <v>6</v>
      </c>
      <c r="G276" s="5" t="s">
        <v>2818</v>
      </c>
      <c r="H276" s="5" t="s">
        <v>2819</v>
      </c>
    </row>
    <row r="277" spans="2:8" x14ac:dyDescent="0.3">
      <c r="B277" s="46">
        <v>45828</v>
      </c>
      <c r="C277" s="45">
        <v>45810</v>
      </c>
      <c r="D277" s="5" t="s">
        <v>2811</v>
      </c>
      <c r="E277" s="29" t="s">
        <v>3166</v>
      </c>
      <c r="F277" s="47" t="s">
        <v>6</v>
      </c>
      <c r="G277" s="5" t="s">
        <v>2856</v>
      </c>
      <c r="H277" s="5" t="s">
        <v>2857</v>
      </c>
    </row>
    <row r="278" spans="2:8" x14ac:dyDescent="0.3">
      <c r="B278" s="46">
        <v>45831</v>
      </c>
      <c r="C278" s="45">
        <v>45810</v>
      </c>
      <c r="D278" s="5" t="s">
        <v>2811</v>
      </c>
      <c r="E278" s="29" t="s">
        <v>3166</v>
      </c>
      <c r="F278" s="47" t="s">
        <v>6</v>
      </c>
      <c r="G278" s="5" t="s">
        <v>2814</v>
      </c>
      <c r="H278" s="5" t="s">
        <v>2815</v>
      </c>
    </row>
    <row r="279" spans="2:8" x14ac:dyDescent="0.3">
      <c r="B279" s="46">
        <v>45831</v>
      </c>
      <c r="C279" s="45">
        <v>45810</v>
      </c>
      <c r="D279" s="5" t="s">
        <v>2811</v>
      </c>
      <c r="E279" s="29" t="s">
        <v>3166</v>
      </c>
      <c r="F279" s="47" t="s">
        <v>6</v>
      </c>
      <c r="G279" s="5" t="s">
        <v>2816</v>
      </c>
      <c r="H279" s="5" t="s">
        <v>2817</v>
      </c>
    </row>
    <row r="280" spans="2:8" x14ac:dyDescent="0.3">
      <c r="B280" s="46">
        <v>45831</v>
      </c>
      <c r="C280" s="45">
        <v>45810</v>
      </c>
      <c r="D280" s="5" t="s">
        <v>2811</v>
      </c>
      <c r="E280" s="29" t="s">
        <v>3166</v>
      </c>
      <c r="F280" s="47" t="s">
        <v>6</v>
      </c>
      <c r="G280" s="5" t="s">
        <v>2818</v>
      </c>
      <c r="H280" s="5" t="s">
        <v>2819</v>
      </c>
    </row>
    <row r="281" spans="2:8" x14ac:dyDescent="0.3">
      <c r="B281" s="46">
        <v>45832</v>
      </c>
      <c r="C281" s="45">
        <v>45810</v>
      </c>
      <c r="D281" s="5" t="s">
        <v>2811</v>
      </c>
      <c r="E281" s="29" t="s">
        <v>3166</v>
      </c>
      <c r="F281" s="47" t="s">
        <v>6</v>
      </c>
      <c r="G281" s="5" t="s">
        <v>2814</v>
      </c>
      <c r="H281" s="5" t="s">
        <v>2815</v>
      </c>
    </row>
    <row r="282" spans="2:8" x14ac:dyDescent="0.3">
      <c r="B282" s="46">
        <v>45832</v>
      </c>
      <c r="C282" s="45">
        <v>45810</v>
      </c>
      <c r="D282" s="5" t="s">
        <v>2811</v>
      </c>
      <c r="E282" s="29" t="s">
        <v>3166</v>
      </c>
      <c r="F282" s="47" t="s">
        <v>6</v>
      </c>
      <c r="G282" s="5" t="s">
        <v>2816</v>
      </c>
      <c r="H282" s="5" t="s">
        <v>2817</v>
      </c>
    </row>
    <row r="283" spans="2:8" x14ac:dyDescent="0.3">
      <c r="B283" s="46">
        <v>45832</v>
      </c>
      <c r="C283" s="45">
        <v>45810</v>
      </c>
      <c r="D283" s="5" t="s">
        <v>2811</v>
      </c>
      <c r="E283" s="29" t="s">
        <v>3166</v>
      </c>
      <c r="F283" s="47" t="s">
        <v>6</v>
      </c>
      <c r="G283" s="5" t="s">
        <v>2818</v>
      </c>
      <c r="H283" s="5" t="s">
        <v>2819</v>
      </c>
    </row>
    <row r="284" spans="2:8" x14ac:dyDescent="0.3">
      <c r="B284" s="46">
        <v>45833</v>
      </c>
      <c r="C284" s="45">
        <v>45810</v>
      </c>
      <c r="D284" s="5" t="s">
        <v>2811</v>
      </c>
      <c r="E284" s="29" t="s">
        <v>3166</v>
      </c>
      <c r="F284" s="47" t="s">
        <v>6</v>
      </c>
      <c r="G284" s="5" t="s">
        <v>2814</v>
      </c>
      <c r="H284" s="5" t="s">
        <v>2815</v>
      </c>
    </row>
    <row r="285" spans="2:8" x14ac:dyDescent="0.3">
      <c r="B285" s="46">
        <v>45833</v>
      </c>
      <c r="C285" s="45">
        <v>45810</v>
      </c>
      <c r="D285" s="5" t="s">
        <v>2811</v>
      </c>
      <c r="E285" s="29" t="s">
        <v>3166</v>
      </c>
      <c r="F285" s="47" t="s">
        <v>6</v>
      </c>
      <c r="G285" s="5" t="s">
        <v>2816</v>
      </c>
      <c r="H285" s="5" t="s">
        <v>2817</v>
      </c>
    </row>
    <row r="286" spans="2:8" x14ac:dyDescent="0.3">
      <c r="B286" s="46">
        <v>45833</v>
      </c>
      <c r="C286" s="45">
        <v>45810</v>
      </c>
      <c r="D286" s="5" t="s">
        <v>2811</v>
      </c>
      <c r="E286" s="29" t="s">
        <v>3166</v>
      </c>
      <c r="F286" s="47" t="s">
        <v>6</v>
      </c>
      <c r="G286" s="5" t="s">
        <v>2818</v>
      </c>
      <c r="H286" s="5" t="s">
        <v>2819</v>
      </c>
    </row>
    <row r="287" spans="2:8" x14ac:dyDescent="0.3">
      <c r="B287" s="46">
        <v>45834</v>
      </c>
      <c r="C287" s="45">
        <v>45810</v>
      </c>
      <c r="D287" s="5" t="s">
        <v>2811</v>
      </c>
      <c r="E287" s="29" t="s">
        <v>3166</v>
      </c>
      <c r="F287" s="47" t="s">
        <v>6</v>
      </c>
      <c r="G287" s="5" t="s">
        <v>2814</v>
      </c>
      <c r="H287" s="5" t="s">
        <v>2815</v>
      </c>
    </row>
    <row r="288" spans="2:8" x14ac:dyDescent="0.3">
      <c r="B288" s="46">
        <v>45834</v>
      </c>
      <c r="C288" s="45">
        <v>45810</v>
      </c>
      <c r="D288" s="5" t="s">
        <v>2811</v>
      </c>
      <c r="E288" s="29" t="s">
        <v>3166</v>
      </c>
      <c r="F288" s="47" t="s">
        <v>6</v>
      </c>
      <c r="G288" s="5" t="s">
        <v>2816</v>
      </c>
      <c r="H288" s="5" t="s">
        <v>2817</v>
      </c>
    </row>
    <row r="289" spans="2:8" x14ac:dyDescent="0.3">
      <c r="B289" s="46">
        <v>45834</v>
      </c>
      <c r="C289" s="45">
        <v>45810</v>
      </c>
      <c r="D289" s="5" t="s">
        <v>2811</v>
      </c>
      <c r="E289" s="29" t="s">
        <v>3166</v>
      </c>
      <c r="F289" s="47" t="s">
        <v>6</v>
      </c>
      <c r="G289" s="5" t="s">
        <v>2818</v>
      </c>
      <c r="H289" s="5" t="s">
        <v>2819</v>
      </c>
    </row>
    <row r="290" spans="2:8" x14ac:dyDescent="0.3">
      <c r="B290" s="46">
        <v>45835</v>
      </c>
      <c r="C290" s="45">
        <v>45810</v>
      </c>
      <c r="D290" s="5" t="s">
        <v>2811</v>
      </c>
      <c r="E290" s="29" t="s">
        <v>3166</v>
      </c>
      <c r="F290" s="47" t="s">
        <v>6</v>
      </c>
      <c r="G290" s="5" t="s">
        <v>2814</v>
      </c>
      <c r="H290" s="5" t="s">
        <v>2815</v>
      </c>
    </row>
    <row r="291" spans="2:8" x14ac:dyDescent="0.3">
      <c r="B291" s="46">
        <v>45835</v>
      </c>
      <c r="C291" s="45">
        <v>45810</v>
      </c>
      <c r="D291" s="5" t="s">
        <v>2811</v>
      </c>
      <c r="E291" s="29" t="s">
        <v>3166</v>
      </c>
      <c r="F291" s="47" t="s">
        <v>6</v>
      </c>
      <c r="G291" s="5" t="s">
        <v>2816</v>
      </c>
      <c r="H291" s="5" t="s">
        <v>2817</v>
      </c>
    </row>
    <row r="292" spans="2:8" x14ac:dyDescent="0.3">
      <c r="B292" s="46">
        <v>45835</v>
      </c>
      <c r="C292" s="45">
        <v>45810</v>
      </c>
      <c r="D292" s="5" t="s">
        <v>2811</v>
      </c>
      <c r="E292" s="29" t="s">
        <v>3166</v>
      </c>
      <c r="F292" s="47" t="s">
        <v>6</v>
      </c>
      <c r="G292" s="5" t="s">
        <v>2818</v>
      </c>
      <c r="H292" s="5" t="s">
        <v>2819</v>
      </c>
    </row>
    <row r="293" spans="2:8" x14ac:dyDescent="0.3">
      <c r="B293" s="46">
        <v>45835</v>
      </c>
      <c r="C293" s="45">
        <v>45810</v>
      </c>
      <c r="D293" s="5" t="s">
        <v>2811</v>
      </c>
      <c r="E293" s="29" t="s">
        <v>3166</v>
      </c>
      <c r="F293" s="19" t="s">
        <v>4</v>
      </c>
      <c r="G293" s="5" t="s">
        <v>3207</v>
      </c>
      <c r="H293" s="7" t="s">
        <v>3208</v>
      </c>
    </row>
    <row r="294" spans="2:8" x14ac:dyDescent="0.3">
      <c r="B294" s="46">
        <v>45838</v>
      </c>
      <c r="C294" s="45">
        <v>45810</v>
      </c>
      <c r="D294" s="5" t="s">
        <v>2811</v>
      </c>
      <c r="E294" s="29" t="s">
        <v>3166</v>
      </c>
      <c r="F294" s="47" t="s">
        <v>6</v>
      </c>
      <c r="G294" s="5" t="s">
        <v>2814</v>
      </c>
      <c r="H294" s="5" t="s">
        <v>2815</v>
      </c>
    </row>
    <row r="295" spans="2:8" x14ac:dyDescent="0.3">
      <c r="B295" s="46">
        <v>45838</v>
      </c>
      <c r="C295" s="45">
        <v>45810</v>
      </c>
      <c r="D295" s="5" t="s">
        <v>2811</v>
      </c>
      <c r="E295" s="29" t="s">
        <v>3166</v>
      </c>
      <c r="F295" s="47" t="s">
        <v>6</v>
      </c>
      <c r="G295" s="5" t="s">
        <v>2816</v>
      </c>
      <c r="H295" s="5" t="s">
        <v>2817</v>
      </c>
    </row>
    <row r="296" spans="2:8" x14ac:dyDescent="0.3">
      <c r="B296" s="46">
        <v>45838</v>
      </c>
      <c r="C296" s="45">
        <v>45810</v>
      </c>
      <c r="D296" s="5" t="s">
        <v>2811</v>
      </c>
      <c r="E296" s="29" t="s">
        <v>3166</v>
      </c>
      <c r="F296" s="47" t="s">
        <v>6</v>
      </c>
      <c r="G296" s="5" t="s">
        <v>2818</v>
      </c>
      <c r="H296" s="5" t="s">
        <v>2819</v>
      </c>
    </row>
    <row r="297" spans="2:8" x14ac:dyDescent="0.3">
      <c r="B297" s="46">
        <v>45839</v>
      </c>
      <c r="C297" s="45">
        <v>45839</v>
      </c>
      <c r="D297" s="5" t="s">
        <v>2811</v>
      </c>
      <c r="E297" s="29" t="s">
        <v>3166</v>
      </c>
      <c r="F297" s="47" t="s">
        <v>6</v>
      </c>
      <c r="G297" s="5" t="s">
        <v>2814</v>
      </c>
      <c r="H297" s="5" t="s">
        <v>2815</v>
      </c>
    </row>
    <row r="298" spans="2:8" x14ac:dyDescent="0.3">
      <c r="B298" s="46">
        <v>45839</v>
      </c>
      <c r="C298" s="45">
        <v>45839</v>
      </c>
      <c r="D298" s="5" t="s">
        <v>2811</v>
      </c>
      <c r="E298" s="29" t="s">
        <v>3166</v>
      </c>
      <c r="F298" s="47" t="s">
        <v>6</v>
      </c>
      <c r="G298" s="5" t="s">
        <v>2816</v>
      </c>
      <c r="H298" s="5" t="s">
        <v>2817</v>
      </c>
    </row>
    <row r="299" spans="2:8" x14ac:dyDescent="0.3">
      <c r="B299" s="46">
        <v>45839</v>
      </c>
      <c r="C299" s="45">
        <v>45839</v>
      </c>
      <c r="D299" s="5" t="s">
        <v>2811</v>
      </c>
      <c r="E299" s="29" t="s">
        <v>3166</v>
      </c>
      <c r="F299" s="47" t="s">
        <v>6</v>
      </c>
      <c r="G299" s="5" t="s">
        <v>2818</v>
      </c>
      <c r="H299" s="5" t="s">
        <v>2819</v>
      </c>
    </row>
    <row r="300" spans="2:8" x14ac:dyDescent="0.3">
      <c r="B300" s="46">
        <v>45840</v>
      </c>
      <c r="C300" s="45">
        <v>45839</v>
      </c>
      <c r="D300" s="5" t="s">
        <v>2811</v>
      </c>
      <c r="E300" s="29" t="s">
        <v>3166</v>
      </c>
      <c r="F300" s="47" t="s">
        <v>6</v>
      </c>
      <c r="G300" s="5" t="s">
        <v>2814</v>
      </c>
      <c r="H300" s="5" t="s">
        <v>2815</v>
      </c>
    </row>
    <row r="301" spans="2:8" x14ac:dyDescent="0.3">
      <c r="B301" s="46">
        <v>45840</v>
      </c>
      <c r="C301" s="45">
        <v>45839</v>
      </c>
      <c r="D301" s="5" t="s">
        <v>2811</v>
      </c>
      <c r="E301" s="29" t="s">
        <v>3166</v>
      </c>
      <c r="F301" s="47" t="s">
        <v>6</v>
      </c>
      <c r="G301" s="5" t="s">
        <v>2816</v>
      </c>
      <c r="H301" s="5" t="s">
        <v>2817</v>
      </c>
    </row>
    <row r="302" spans="2:8" x14ac:dyDescent="0.3">
      <c r="B302" s="46">
        <v>45840</v>
      </c>
      <c r="C302" s="45">
        <v>45839</v>
      </c>
      <c r="D302" s="5" t="s">
        <v>2811</v>
      </c>
      <c r="E302" s="29" t="s">
        <v>3166</v>
      </c>
      <c r="F302" s="47" t="s">
        <v>6</v>
      </c>
      <c r="G302" s="5" t="s">
        <v>2818</v>
      </c>
      <c r="H302" s="5" t="s">
        <v>2819</v>
      </c>
    </row>
    <row r="303" spans="2:8" x14ac:dyDescent="0.3">
      <c r="B303" s="46">
        <v>45841</v>
      </c>
      <c r="C303" s="45">
        <v>45839</v>
      </c>
      <c r="D303" s="5" t="s">
        <v>2811</v>
      </c>
      <c r="E303" s="29" t="s">
        <v>3166</v>
      </c>
      <c r="F303" s="47" t="s">
        <v>6</v>
      </c>
      <c r="G303" s="5" t="s">
        <v>2814</v>
      </c>
      <c r="H303" s="5" t="s">
        <v>2815</v>
      </c>
    </row>
    <row r="304" spans="2:8" x14ac:dyDescent="0.3">
      <c r="B304" s="46">
        <v>45841</v>
      </c>
      <c r="C304" s="45">
        <v>45839</v>
      </c>
      <c r="D304" s="5" t="s">
        <v>2811</v>
      </c>
      <c r="E304" s="29" t="s">
        <v>3166</v>
      </c>
      <c r="F304" s="47" t="s">
        <v>6</v>
      </c>
      <c r="G304" s="5" t="s">
        <v>2816</v>
      </c>
      <c r="H304" s="5" t="s">
        <v>2817</v>
      </c>
    </row>
    <row r="305" spans="2:8" x14ac:dyDescent="0.3">
      <c r="B305" s="46">
        <v>45841</v>
      </c>
      <c r="C305" s="45">
        <v>45839</v>
      </c>
      <c r="D305" s="5" t="s">
        <v>2811</v>
      </c>
      <c r="E305" s="29" t="s">
        <v>3166</v>
      </c>
      <c r="F305" s="47" t="s">
        <v>6</v>
      </c>
      <c r="G305" s="5" t="s">
        <v>2818</v>
      </c>
      <c r="H305" s="5" t="s">
        <v>2819</v>
      </c>
    </row>
    <row r="306" spans="2:8" x14ac:dyDescent="0.3">
      <c r="B306" s="46">
        <v>45842</v>
      </c>
      <c r="C306" s="45">
        <v>45839</v>
      </c>
      <c r="D306" s="5" t="s">
        <v>2811</v>
      </c>
      <c r="E306" s="29" t="s">
        <v>3166</v>
      </c>
      <c r="F306" s="47" t="s">
        <v>6</v>
      </c>
      <c r="G306" s="5" t="s">
        <v>2814</v>
      </c>
      <c r="H306" s="5" t="s">
        <v>2815</v>
      </c>
    </row>
    <row r="307" spans="2:8" x14ac:dyDescent="0.3">
      <c r="B307" s="46">
        <v>45842</v>
      </c>
      <c r="C307" s="45">
        <v>45839</v>
      </c>
      <c r="D307" s="5" t="s">
        <v>2811</v>
      </c>
      <c r="E307" s="29" t="s">
        <v>3166</v>
      </c>
      <c r="F307" s="47" t="s">
        <v>6</v>
      </c>
      <c r="G307" s="5" t="s">
        <v>2816</v>
      </c>
      <c r="H307" s="5" t="s">
        <v>2817</v>
      </c>
    </row>
    <row r="308" spans="2:8" x14ac:dyDescent="0.3">
      <c r="B308" s="46">
        <v>45842</v>
      </c>
      <c r="C308" s="45">
        <v>45839</v>
      </c>
      <c r="D308" s="5" t="s">
        <v>2811</v>
      </c>
      <c r="E308" s="29" t="s">
        <v>3166</v>
      </c>
      <c r="F308" s="47" t="s">
        <v>6</v>
      </c>
      <c r="G308" s="5" t="s">
        <v>2818</v>
      </c>
      <c r="H308" s="5" t="s">
        <v>2819</v>
      </c>
    </row>
    <row r="309" spans="2:8" x14ac:dyDescent="0.3">
      <c r="B309" s="46">
        <v>45845</v>
      </c>
      <c r="C309" s="45">
        <v>45839</v>
      </c>
      <c r="D309" s="5" t="s">
        <v>2811</v>
      </c>
      <c r="E309" s="29" t="s">
        <v>3166</v>
      </c>
      <c r="F309" s="47" t="s">
        <v>6</v>
      </c>
      <c r="G309" s="5" t="s">
        <v>2814</v>
      </c>
      <c r="H309" s="5" t="s">
        <v>2815</v>
      </c>
    </row>
    <row r="310" spans="2:8" x14ac:dyDescent="0.3">
      <c r="B310" s="46">
        <v>45845</v>
      </c>
      <c r="C310" s="45">
        <v>45839</v>
      </c>
      <c r="D310" s="5" t="s">
        <v>2811</v>
      </c>
      <c r="E310" s="29" t="s">
        <v>3166</v>
      </c>
      <c r="F310" s="47" t="s">
        <v>6</v>
      </c>
      <c r="G310" s="5" t="s">
        <v>2816</v>
      </c>
      <c r="H310" s="5" t="s">
        <v>2817</v>
      </c>
    </row>
    <row r="311" spans="2:8" x14ac:dyDescent="0.3">
      <c r="B311" s="46">
        <v>45845</v>
      </c>
      <c r="C311" s="45">
        <v>45839</v>
      </c>
      <c r="D311" s="5" t="s">
        <v>2811</v>
      </c>
      <c r="E311" s="29" t="s">
        <v>3166</v>
      </c>
      <c r="F311" s="47" t="s">
        <v>6</v>
      </c>
      <c r="G311" s="5" t="s">
        <v>2818</v>
      </c>
      <c r="H311" s="5" t="s">
        <v>2819</v>
      </c>
    </row>
    <row r="312" spans="2:8" x14ac:dyDescent="0.3">
      <c r="B312" s="46">
        <v>45845</v>
      </c>
      <c r="C312" s="45">
        <v>45810</v>
      </c>
      <c r="D312" s="5" t="s">
        <v>2811</v>
      </c>
      <c r="E312" s="29" t="s">
        <v>3166</v>
      </c>
      <c r="F312" s="47" t="s">
        <v>6</v>
      </c>
      <c r="G312" s="5" t="s">
        <v>2856</v>
      </c>
      <c r="H312" s="5" t="s">
        <v>2857</v>
      </c>
    </row>
    <row r="313" spans="2:8" x14ac:dyDescent="0.3">
      <c r="B313" s="46">
        <v>45846</v>
      </c>
      <c r="C313" s="45">
        <v>45839</v>
      </c>
      <c r="D313" s="5" t="s">
        <v>2811</v>
      </c>
      <c r="E313" s="29" t="s">
        <v>3166</v>
      </c>
      <c r="F313" s="47" t="s">
        <v>6</v>
      </c>
      <c r="G313" s="5" t="s">
        <v>2814</v>
      </c>
      <c r="H313" s="5" t="s">
        <v>2815</v>
      </c>
    </row>
    <row r="314" spans="2:8" x14ac:dyDescent="0.3">
      <c r="B314" s="46">
        <v>45846</v>
      </c>
      <c r="C314" s="45">
        <v>45839</v>
      </c>
      <c r="D314" s="5" t="s">
        <v>2811</v>
      </c>
      <c r="E314" s="29" t="s">
        <v>3166</v>
      </c>
      <c r="F314" s="47" t="s">
        <v>6</v>
      </c>
      <c r="G314" s="5" t="s">
        <v>2816</v>
      </c>
      <c r="H314" s="5" t="s">
        <v>2817</v>
      </c>
    </row>
    <row r="315" spans="2:8" x14ac:dyDescent="0.3">
      <c r="B315" s="46">
        <v>45846</v>
      </c>
      <c r="C315" s="45">
        <v>45839</v>
      </c>
      <c r="D315" s="5" t="s">
        <v>2811</v>
      </c>
      <c r="E315" s="29" t="s">
        <v>3166</v>
      </c>
      <c r="F315" s="47" t="s">
        <v>6</v>
      </c>
      <c r="G315" s="5" t="s">
        <v>2818</v>
      </c>
      <c r="H315" s="5" t="s">
        <v>2819</v>
      </c>
    </row>
    <row r="316" spans="2:8" x14ac:dyDescent="0.3">
      <c r="B316" s="46">
        <v>45846</v>
      </c>
      <c r="C316" s="45">
        <v>45810</v>
      </c>
      <c r="D316" s="5" t="s">
        <v>2811</v>
      </c>
      <c r="E316" s="29" t="s">
        <v>3166</v>
      </c>
      <c r="F316" s="47" t="s">
        <v>6</v>
      </c>
      <c r="G316" s="5" t="s">
        <v>2856</v>
      </c>
      <c r="H316" s="5" t="s">
        <v>2857</v>
      </c>
    </row>
    <row r="317" spans="2:8" x14ac:dyDescent="0.3">
      <c r="B317" s="46">
        <v>45847</v>
      </c>
      <c r="C317" s="45">
        <v>45839</v>
      </c>
      <c r="D317" s="5" t="s">
        <v>2811</v>
      </c>
      <c r="E317" s="29" t="s">
        <v>3166</v>
      </c>
      <c r="F317" s="47" t="s">
        <v>6</v>
      </c>
      <c r="G317" s="5" t="s">
        <v>2814</v>
      </c>
      <c r="H317" s="5" t="s">
        <v>2815</v>
      </c>
    </row>
    <row r="318" spans="2:8" x14ac:dyDescent="0.3">
      <c r="B318" s="46">
        <v>45847</v>
      </c>
      <c r="C318" s="45">
        <v>45839</v>
      </c>
      <c r="D318" s="5" t="s">
        <v>2811</v>
      </c>
      <c r="E318" s="29" t="s">
        <v>3166</v>
      </c>
      <c r="F318" s="47" t="s">
        <v>6</v>
      </c>
      <c r="G318" s="5" t="s">
        <v>2816</v>
      </c>
      <c r="H318" s="5" t="s">
        <v>2817</v>
      </c>
    </row>
    <row r="319" spans="2:8" x14ac:dyDescent="0.3">
      <c r="B319" s="46">
        <v>45847</v>
      </c>
      <c r="C319" s="45">
        <v>45839</v>
      </c>
      <c r="D319" s="5" t="s">
        <v>2811</v>
      </c>
      <c r="E319" s="29" t="s">
        <v>3166</v>
      </c>
      <c r="F319" s="47" t="s">
        <v>6</v>
      </c>
      <c r="G319" s="5" t="s">
        <v>2818</v>
      </c>
      <c r="H319" s="5" t="s">
        <v>2819</v>
      </c>
    </row>
    <row r="320" spans="2:8" x14ac:dyDescent="0.3">
      <c r="B320" s="46">
        <v>45847</v>
      </c>
      <c r="C320" s="45">
        <v>45810</v>
      </c>
      <c r="D320" s="5" t="s">
        <v>2811</v>
      </c>
      <c r="E320" s="29" t="s">
        <v>3166</v>
      </c>
      <c r="F320" s="47" t="s">
        <v>6</v>
      </c>
      <c r="G320" s="5" t="s">
        <v>2856</v>
      </c>
      <c r="H320" s="5" t="s">
        <v>2857</v>
      </c>
    </row>
    <row r="321" spans="2:8" x14ac:dyDescent="0.3">
      <c r="B321" s="25">
        <v>45848</v>
      </c>
      <c r="C321" s="30">
        <v>45839</v>
      </c>
      <c r="D321" s="26" t="s">
        <v>2811</v>
      </c>
      <c r="E321" s="29" t="s">
        <v>3166</v>
      </c>
      <c r="F321" s="77" t="s">
        <v>6</v>
      </c>
      <c r="G321" s="26" t="s">
        <v>2814</v>
      </c>
      <c r="H321" s="26" t="s">
        <v>2815</v>
      </c>
    </row>
    <row r="322" spans="2:8" x14ac:dyDescent="0.3">
      <c r="B322" s="28">
        <v>45848</v>
      </c>
      <c r="C322" s="30">
        <v>45839</v>
      </c>
      <c r="D322" s="29" t="s">
        <v>2811</v>
      </c>
      <c r="E322" s="29" t="s">
        <v>3166</v>
      </c>
      <c r="F322" s="78" t="s">
        <v>6</v>
      </c>
      <c r="G322" s="29" t="s">
        <v>2816</v>
      </c>
      <c r="H322" s="29" t="s">
        <v>2817</v>
      </c>
    </row>
    <row r="323" spans="2:8" x14ac:dyDescent="0.3">
      <c r="B323" s="28">
        <v>45848</v>
      </c>
      <c r="C323" s="30">
        <v>45839</v>
      </c>
      <c r="D323" s="29" t="s">
        <v>2811</v>
      </c>
      <c r="E323" s="29" t="s">
        <v>3166</v>
      </c>
      <c r="F323" s="78" t="s">
        <v>6</v>
      </c>
      <c r="G323" s="29" t="s">
        <v>2818</v>
      </c>
      <c r="H323" s="29" t="s">
        <v>2819</v>
      </c>
    </row>
    <row r="324" spans="2:8" x14ac:dyDescent="0.3">
      <c r="B324" s="28">
        <v>45848</v>
      </c>
      <c r="C324" s="30">
        <v>45839</v>
      </c>
      <c r="D324" s="29" t="s">
        <v>2811</v>
      </c>
      <c r="E324" s="29" t="s">
        <v>3166</v>
      </c>
      <c r="F324" s="78" t="s">
        <v>6</v>
      </c>
      <c r="G324" s="29" t="s">
        <v>2856</v>
      </c>
      <c r="H324" s="29" t="s">
        <v>2857</v>
      </c>
    </row>
    <row r="325" spans="2:8" x14ac:dyDescent="0.3">
      <c r="B325" s="28">
        <v>45848</v>
      </c>
      <c r="C325" s="30">
        <v>45839</v>
      </c>
      <c r="D325" s="29" t="s">
        <v>2811</v>
      </c>
      <c r="E325" s="29" t="s">
        <v>3166</v>
      </c>
      <c r="F325" s="79" t="s">
        <v>4</v>
      </c>
      <c r="G325" s="29" t="s">
        <v>3209</v>
      </c>
      <c r="H325" s="29" t="s">
        <v>3210</v>
      </c>
    </row>
    <row r="326" spans="2:8" x14ac:dyDescent="0.3">
      <c r="B326" s="28">
        <v>45849</v>
      </c>
      <c r="C326" s="30">
        <v>45839</v>
      </c>
      <c r="D326" s="29" t="s">
        <v>2811</v>
      </c>
      <c r="E326" s="29" t="s">
        <v>3166</v>
      </c>
      <c r="F326" s="78" t="s">
        <v>6</v>
      </c>
      <c r="G326" s="29" t="s">
        <v>2814</v>
      </c>
      <c r="H326" s="29" t="s">
        <v>2815</v>
      </c>
    </row>
    <row r="327" spans="2:8" x14ac:dyDescent="0.3">
      <c r="B327" s="28">
        <v>45849</v>
      </c>
      <c r="C327" s="30">
        <v>45839</v>
      </c>
      <c r="D327" s="29" t="s">
        <v>2811</v>
      </c>
      <c r="E327" s="29" t="s">
        <v>3166</v>
      </c>
      <c r="F327" s="78" t="s">
        <v>6</v>
      </c>
      <c r="G327" s="29" t="s">
        <v>2816</v>
      </c>
      <c r="H327" s="29" t="s">
        <v>2817</v>
      </c>
    </row>
    <row r="328" spans="2:8" x14ac:dyDescent="0.3">
      <c r="B328" s="28">
        <v>45849</v>
      </c>
      <c r="C328" s="30">
        <v>45839</v>
      </c>
      <c r="D328" s="29" t="s">
        <v>2811</v>
      </c>
      <c r="E328" s="29" t="s">
        <v>3166</v>
      </c>
      <c r="F328" s="78" t="s">
        <v>6</v>
      </c>
      <c r="G328" s="29" t="s">
        <v>2818</v>
      </c>
      <c r="H328" s="29" t="s">
        <v>2819</v>
      </c>
    </row>
    <row r="329" spans="2:8" x14ac:dyDescent="0.3">
      <c r="B329" s="28">
        <v>45849</v>
      </c>
      <c r="C329" s="30">
        <v>45839</v>
      </c>
      <c r="D329" s="29" t="s">
        <v>2811</v>
      </c>
      <c r="E329" s="29" t="s">
        <v>3166</v>
      </c>
      <c r="F329" s="78" t="s">
        <v>6</v>
      </c>
      <c r="G329" s="29" t="s">
        <v>2856</v>
      </c>
      <c r="H329" s="29" t="s">
        <v>2857</v>
      </c>
    </row>
    <row r="330" spans="2:8" x14ac:dyDescent="0.3">
      <c r="B330" s="28">
        <v>45849</v>
      </c>
      <c r="C330" s="30">
        <v>45839</v>
      </c>
      <c r="D330" s="29" t="s">
        <v>2811</v>
      </c>
      <c r="E330" s="29" t="s">
        <v>3166</v>
      </c>
      <c r="F330" s="79" t="s">
        <v>4</v>
      </c>
      <c r="G330" s="29" t="s">
        <v>3211</v>
      </c>
      <c r="H330" s="29" t="s">
        <v>3212</v>
      </c>
    </row>
    <row r="331" spans="2:8" x14ac:dyDescent="0.3">
      <c r="B331" s="28">
        <v>45852</v>
      </c>
      <c r="C331" s="30">
        <v>45839</v>
      </c>
      <c r="D331" s="29" t="s">
        <v>2811</v>
      </c>
      <c r="E331" s="29" t="s">
        <v>3166</v>
      </c>
      <c r="F331" s="78" t="s">
        <v>6</v>
      </c>
      <c r="G331" s="29" t="s">
        <v>2814</v>
      </c>
      <c r="H331" s="29" t="s">
        <v>2815</v>
      </c>
    </row>
    <row r="332" spans="2:8" x14ac:dyDescent="0.3">
      <c r="B332" s="28">
        <v>45852</v>
      </c>
      <c r="C332" s="30">
        <v>45839</v>
      </c>
      <c r="D332" s="29" t="s">
        <v>2811</v>
      </c>
      <c r="E332" s="29" t="s">
        <v>3166</v>
      </c>
      <c r="F332" s="78" t="s">
        <v>6</v>
      </c>
      <c r="G332" s="29" t="s">
        <v>2816</v>
      </c>
      <c r="H332" s="29" t="s">
        <v>2817</v>
      </c>
    </row>
    <row r="333" spans="2:8" x14ac:dyDescent="0.3">
      <c r="B333" s="28">
        <v>45852</v>
      </c>
      <c r="C333" s="30">
        <v>45839</v>
      </c>
      <c r="D333" s="29" t="s">
        <v>2811</v>
      </c>
      <c r="E333" s="29" t="s">
        <v>3166</v>
      </c>
      <c r="F333" s="78" t="s">
        <v>6</v>
      </c>
      <c r="G333" s="29" t="s">
        <v>2818</v>
      </c>
      <c r="H333" s="29" t="s">
        <v>2819</v>
      </c>
    </row>
    <row r="334" spans="2:8" x14ac:dyDescent="0.3">
      <c r="B334" s="28">
        <v>45853</v>
      </c>
      <c r="C334" s="30">
        <v>45839</v>
      </c>
      <c r="D334" s="29" t="s">
        <v>2811</v>
      </c>
      <c r="E334" s="29" t="s">
        <v>3166</v>
      </c>
      <c r="F334" s="78" t="s">
        <v>6</v>
      </c>
      <c r="G334" s="29" t="s">
        <v>2814</v>
      </c>
      <c r="H334" s="29" t="s">
        <v>2815</v>
      </c>
    </row>
    <row r="335" spans="2:8" x14ac:dyDescent="0.3">
      <c r="B335" s="28">
        <v>45853</v>
      </c>
      <c r="C335" s="30">
        <v>45839</v>
      </c>
      <c r="D335" s="29" t="s">
        <v>2811</v>
      </c>
      <c r="E335" s="29" t="s">
        <v>3166</v>
      </c>
      <c r="F335" s="78" t="s">
        <v>6</v>
      </c>
      <c r="G335" s="29" t="s">
        <v>2816</v>
      </c>
      <c r="H335" s="29" t="s">
        <v>2817</v>
      </c>
    </row>
    <row r="336" spans="2:8" x14ac:dyDescent="0.3">
      <c r="B336" s="28">
        <v>45853</v>
      </c>
      <c r="C336" s="30">
        <v>45839</v>
      </c>
      <c r="D336" s="29" t="s">
        <v>2811</v>
      </c>
      <c r="E336" s="29" t="s">
        <v>3166</v>
      </c>
      <c r="F336" s="78" t="s">
        <v>6</v>
      </c>
      <c r="G336" s="29" t="s">
        <v>2818</v>
      </c>
      <c r="H336" s="29" t="s">
        <v>2819</v>
      </c>
    </row>
    <row r="337" spans="2:8" x14ac:dyDescent="0.3">
      <c r="B337" s="28">
        <v>45854</v>
      </c>
      <c r="C337" s="30">
        <v>45839</v>
      </c>
      <c r="D337" s="29" t="s">
        <v>2811</v>
      </c>
      <c r="E337" s="29" t="s">
        <v>3166</v>
      </c>
      <c r="F337" s="78" t="s">
        <v>6</v>
      </c>
      <c r="G337" s="29" t="s">
        <v>2814</v>
      </c>
      <c r="H337" s="29" t="s">
        <v>2815</v>
      </c>
    </row>
    <row r="338" spans="2:8" x14ac:dyDescent="0.3">
      <c r="B338" s="28">
        <v>45854</v>
      </c>
      <c r="C338" s="30">
        <v>45839</v>
      </c>
      <c r="D338" s="29" t="s">
        <v>2811</v>
      </c>
      <c r="E338" s="29" t="s">
        <v>3166</v>
      </c>
      <c r="F338" s="78" t="s">
        <v>6</v>
      </c>
      <c r="G338" s="29" t="s">
        <v>2816</v>
      </c>
      <c r="H338" s="29" t="s">
        <v>2817</v>
      </c>
    </row>
    <row r="339" spans="2:8" x14ac:dyDescent="0.3">
      <c r="B339" s="28">
        <v>45854</v>
      </c>
      <c r="C339" s="30">
        <v>45839</v>
      </c>
      <c r="D339" s="29" t="s">
        <v>2811</v>
      </c>
      <c r="E339" s="29" t="s">
        <v>3166</v>
      </c>
      <c r="F339" s="78" t="s">
        <v>6</v>
      </c>
      <c r="G339" s="29" t="s">
        <v>2818</v>
      </c>
      <c r="H339" s="29" t="s">
        <v>2819</v>
      </c>
    </row>
    <row r="340" spans="2:8" x14ac:dyDescent="0.3">
      <c r="B340" s="28">
        <v>45855</v>
      </c>
      <c r="C340" s="30">
        <v>45839</v>
      </c>
      <c r="D340" s="29" t="s">
        <v>2811</v>
      </c>
      <c r="E340" s="29" t="s">
        <v>3166</v>
      </c>
      <c r="F340" s="78" t="s">
        <v>6</v>
      </c>
      <c r="G340" s="29" t="s">
        <v>2814</v>
      </c>
      <c r="H340" s="29" t="s">
        <v>2815</v>
      </c>
    </row>
    <row r="341" spans="2:8" x14ac:dyDescent="0.3">
      <c r="B341" s="28">
        <v>45855</v>
      </c>
      <c r="C341" s="30">
        <v>45839</v>
      </c>
      <c r="D341" s="29" t="s">
        <v>2811</v>
      </c>
      <c r="E341" s="29" t="s">
        <v>3166</v>
      </c>
      <c r="F341" s="78" t="s">
        <v>6</v>
      </c>
      <c r="G341" s="29" t="s">
        <v>2816</v>
      </c>
      <c r="H341" s="29" t="s">
        <v>2817</v>
      </c>
    </row>
    <row r="342" spans="2:8" x14ac:dyDescent="0.3">
      <c r="B342" s="28">
        <v>45855</v>
      </c>
      <c r="C342" s="30">
        <v>45839</v>
      </c>
      <c r="D342" s="29" t="s">
        <v>2811</v>
      </c>
      <c r="E342" s="29" t="s">
        <v>3166</v>
      </c>
      <c r="F342" s="78" t="s">
        <v>6</v>
      </c>
      <c r="G342" s="29" t="s">
        <v>2818</v>
      </c>
      <c r="H342" s="29" t="s">
        <v>2819</v>
      </c>
    </row>
    <row r="343" spans="2:8" x14ac:dyDescent="0.3">
      <c r="B343" s="28">
        <v>45855</v>
      </c>
      <c r="C343" s="30">
        <v>45839</v>
      </c>
      <c r="D343" s="29" t="s">
        <v>2811</v>
      </c>
      <c r="E343" s="29" t="s">
        <v>3166</v>
      </c>
      <c r="F343" s="79" t="s">
        <v>4</v>
      </c>
      <c r="G343" s="29" t="s">
        <v>3213</v>
      </c>
      <c r="H343" s="29" t="s">
        <v>3214</v>
      </c>
    </row>
    <row r="344" spans="2:8" x14ac:dyDescent="0.3">
      <c r="B344" s="28">
        <v>45856</v>
      </c>
      <c r="C344" s="30">
        <v>45839</v>
      </c>
      <c r="D344" s="29" t="s">
        <v>2811</v>
      </c>
      <c r="E344" s="29" t="s">
        <v>3166</v>
      </c>
      <c r="F344" s="78" t="s">
        <v>6</v>
      </c>
      <c r="G344" s="29" t="s">
        <v>2814</v>
      </c>
      <c r="H344" s="29" t="s">
        <v>2815</v>
      </c>
    </row>
    <row r="345" spans="2:8" x14ac:dyDescent="0.3">
      <c r="B345" s="28">
        <v>45856</v>
      </c>
      <c r="C345" s="30">
        <v>45839</v>
      </c>
      <c r="D345" s="29" t="s">
        <v>2811</v>
      </c>
      <c r="E345" s="29" t="s">
        <v>3166</v>
      </c>
      <c r="F345" s="78" t="s">
        <v>6</v>
      </c>
      <c r="G345" s="29" t="s">
        <v>2816</v>
      </c>
      <c r="H345" s="29" t="s">
        <v>2817</v>
      </c>
    </row>
    <row r="346" spans="2:8" x14ac:dyDescent="0.3">
      <c r="B346" s="28">
        <v>45856</v>
      </c>
      <c r="C346" s="30">
        <v>45839</v>
      </c>
      <c r="D346" s="29" t="s">
        <v>2811</v>
      </c>
      <c r="E346" s="29" t="s">
        <v>3166</v>
      </c>
      <c r="F346" s="78" t="s">
        <v>6</v>
      </c>
      <c r="G346" s="29" t="s">
        <v>2818</v>
      </c>
      <c r="H346" s="29" t="s">
        <v>2819</v>
      </c>
    </row>
    <row r="347" spans="2:8" x14ac:dyDescent="0.3">
      <c r="B347" s="28">
        <v>45859</v>
      </c>
      <c r="C347" s="30">
        <v>45839</v>
      </c>
      <c r="D347" s="29" t="s">
        <v>2811</v>
      </c>
      <c r="E347" s="29" t="s">
        <v>3166</v>
      </c>
      <c r="F347" s="78" t="s">
        <v>6</v>
      </c>
      <c r="G347" s="29" t="s">
        <v>2814</v>
      </c>
      <c r="H347" s="29" t="s">
        <v>2815</v>
      </c>
    </row>
    <row r="348" spans="2:8" x14ac:dyDescent="0.3">
      <c r="B348" s="28">
        <v>45859</v>
      </c>
      <c r="C348" s="30">
        <v>45839</v>
      </c>
      <c r="D348" s="29" t="s">
        <v>2811</v>
      </c>
      <c r="E348" s="29" t="s">
        <v>3166</v>
      </c>
      <c r="F348" s="78" t="s">
        <v>6</v>
      </c>
      <c r="G348" s="29" t="s">
        <v>2816</v>
      </c>
      <c r="H348" s="29" t="s">
        <v>2817</v>
      </c>
    </row>
    <row r="349" spans="2:8" x14ac:dyDescent="0.3">
      <c r="B349" s="28">
        <v>45859</v>
      </c>
      <c r="C349" s="30">
        <v>45839</v>
      </c>
      <c r="D349" s="29" t="s">
        <v>2811</v>
      </c>
      <c r="E349" s="29" t="s">
        <v>3166</v>
      </c>
      <c r="F349" s="78" t="s">
        <v>6</v>
      </c>
      <c r="G349" s="29" t="s">
        <v>2818</v>
      </c>
      <c r="H349" s="29" t="s">
        <v>2819</v>
      </c>
    </row>
    <row r="350" spans="2:8" x14ac:dyDescent="0.3">
      <c r="B350" s="28">
        <v>45860</v>
      </c>
      <c r="C350" s="30">
        <v>45839</v>
      </c>
      <c r="D350" s="29" t="s">
        <v>2811</v>
      </c>
      <c r="E350" s="29" t="s">
        <v>3166</v>
      </c>
      <c r="F350" s="78" t="s">
        <v>6</v>
      </c>
      <c r="G350" s="29" t="s">
        <v>2814</v>
      </c>
      <c r="H350" s="29" t="s">
        <v>2815</v>
      </c>
    </row>
    <row r="351" spans="2:8" x14ac:dyDescent="0.3">
      <c r="B351" s="28">
        <v>45860</v>
      </c>
      <c r="C351" s="30">
        <v>45839</v>
      </c>
      <c r="D351" s="29" t="s">
        <v>2811</v>
      </c>
      <c r="E351" s="29" t="s">
        <v>3166</v>
      </c>
      <c r="F351" s="78" t="s">
        <v>6</v>
      </c>
      <c r="G351" s="29" t="s">
        <v>2816</v>
      </c>
      <c r="H351" s="29" t="s">
        <v>2817</v>
      </c>
    </row>
    <row r="352" spans="2:8" x14ac:dyDescent="0.3">
      <c r="B352" s="28">
        <v>45860</v>
      </c>
      <c r="C352" s="30">
        <v>45839</v>
      </c>
      <c r="D352" s="29" t="s">
        <v>2811</v>
      </c>
      <c r="E352" s="29" t="s">
        <v>3166</v>
      </c>
      <c r="F352" s="78" t="s">
        <v>6</v>
      </c>
      <c r="G352" s="29" t="s">
        <v>2818</v>
      </c>
      <c r="H352" s="29" t="s">
        <v>2819</v>
      </c>
    </row>
    <row r="353" spans="2:8" x14ac:dyDescent="0.3">
      <c r="B353" s="28">
        <v>45861</v>
      </c>
      <c r="C353" s="30">
        <v>45839</v>
      </c>
      <c r="D353" s="29" t="s">
        <v>2811</v>
      </c>
      <c r="E353" s="29" t="s">
        <v>3166</v>
      </c>
      <c r="F353" s="78" t="s">
        <v>6</v>
      </c>
      <c r="G353" s="29" t="s">
        <v>2814</v>
      </c>
      <c r="H353" s="29" t="s">
        <v>2815</v>
      </c>
    </row>
    <row r="354" spans="2:8" x14ac:dyDescent="0.3">
      <c r="B354" s="28">
        <v>45861</v>
      </c>
      <c r="C354" s="30">
        <v>45839</v>
      </c>
      <c r="D354" s="29" t="s">
        <v>2811</v>
      </c>
      <c r="E354" s="29" t="s">
        <v>3166</v>
      </c>
      <c r="F354" s="78" t="s">
        <v>6</v>
      </c>
      <c r="G354" s="29" t="s">
        <v>2816</v>
      </c>
      <c r="H354" s="29" t="s">
        <v>2817</v>
      </c>
    </row>
    <row r="355" spans="2:8" x14ac:dyDescent="0.3">
      <c r="B355" s="28">
        <v>45861</v>
      </c>
      <c r="C355" s="30">
        <v>45839</v>
      </c>
      <c r="D355" s="29" t="s">
        <v>2811</v>
      </c>
      <c r="E355" s="29" t="s">
        <v>3166</v>
      </c>
      <c r="F355" s="78" t="s">
        <v>6</v>
      </c>
      <c r="G355" s="29" t="s">
        <v>2818</v>
      </c>
      <c r="H355" s="29" t="s">
        <v>2819</v>
      </c>
    </row>
    <row r="356" spans="2:8" x14ac:dyDescent="0.3">
      <c r="B356" s="28">
        <v>45862</v>
      </c>
      <c r="C356" s="30">
        <v>45839</v>
      </c>
      <c r="D356" s="29" t="s">
        <v>2811</v>
      </c>
      <c r="E356" s="29" t="s">
        <v>3166</v>
      </c>
      <c r="F356" s="78" t="s">
        <v>6</v>
      </c>
      <c r="G356" s="29" t="s">
        <v>2814</v>
      </c>
      <c r="H356" s="29" t="s">
        <v>2815</v>
      </c>
    </row>
    <row r="357" spans="2:8" x14ac:dyDescent="0.3">
      <c r="B357" s="28">
        <v>45862</v>
      </c>
      <c r="C357" s="30">
        <v>45839</v>
      </c>
      <c r="D357" s="29" t="s">
        <v>2811</v>
      </c>
      <c r="E357" s="29" t="s">
        <v>3166</v>
      </c>
      <c r="F357" s="78" t="s">
        <v>6</v>
      </c>
      <c r="G357" s="29" t="s">
        <v>2816</v>
      </c>
      <c r="H357" s="29" t="s">
        <v>2817</v>
      </c>
    </row>
    <row r="358" spans="2:8" x14ac:dyDescent="0.3">
      <c r="B358" s="28">
        <v>45862</v>
      </c>
      <c r="C358" s="30">
        <v>45839</v>
      </c>
      <c r="D358" s="29" t="s">
        <v>2811</v>
      </c>
      <c r="E358" s="29" t="s">
        <v>3166</v>
      </c>
      <c r="F358" s="78" t="s">
        <v>6</v>
      </c>
      <c r="G358" s="29" t="s">
        <v>2818</v>
      </c>
      <c r="H358" s="29" t="s">
        <v>2819</v>
      </c>
    </row>
    <row r="359" spans="2:8" x14ac:dyDescent="0.3">
      <c r="B359" s="28">
        <v>45862</v>
      </c>
      <c r="C359" s="30">
        <v>45839</v>
      </c>
      <c r="D359" s="29" t="s">
        <v>2811</v>
      </c>
      <c r="E359" s="29" t="s">
        <v>3166</v>
      </c>
      <c r="F359" s="79" t="s">
        <v>4</v>
      </c>
      <c r="G359" s="29" t="s">
        <v>3215</v>
      </c>
      <c r="H359" s="29" t="s">
        <v>3216</v>
      </c>
    </row>
    <row r="360" spans="2:8" x14ac:dyDescent="0.3">
      <c r="B360" s="28">
        <v>45863</v>
      </c>
      <c r="C360" s="30">
        <v>45839</v>
      </c>
      <c r="D360" s="29" t="s">
        <v>2811</v>
      </c>
      <c r="E360" s="29" t="s">
        <v>3166</v>
      </c>
      <c r="F360" s="78" t="s">
        <v>6</v>
      </c>
      <c r="G360" s="29" t="s">
        <v>2814</v>
      </c>
      <c r="H360" s="29" t="s">
        <v>2815</v>
      </c>
    </row>
    <row r="361" spans="2:8" x14ac:dyDescent="0.3">
      <c r="B361" s="28">
        <v>45863</v>
      </c>
      <c r="C361" s="30">
        <v>45839</v>
      </c>
      <c r="D361" s="29" t="s">
        <v>2811</v>
      </c>
      <c r="E361" s="29" t="s">
        <v>3166</v>
      </c>
      <c r="F361" s="78" t="s">
        <v>6</v>
      </c>
      <c r="G361" s="29" t="s">
        <v>2816</v>
      </c>
      <c r="H361" s="29" t="s">
        <v>2817</v>
      </c>
    </row>
    <row r="362" spans="2:8" x14ac:dyDescent="0.3">
      <c r="B362" s="28">
        <v>45863</v>
      </c>
      <c r="C362" s="30">
        <v>45839</v>
      </c>
      <c r="D362" s="29" t="s">
        <v>2811</v>
      </c>
      <c r="E362" s="29" t="s">
        <v>3166</v>
      </c>
      <c r="F362" s="78" t="s">
        <v>6</v>
      </c>
      <c r="G362" s="29" t="s">
        <v>2818</v>
      </c>
      <c r="H362" s="29" t="s">
        <v>2819</v>
      </c>
    </row>
    <row r="363" spans="2:8" x14ac:dyDescent="0.3">
      <c r="B363" s="28">
        <v>45866</v>
      </c>
      <c r="C363" s="30">
        <v>45839</v>
      </c>
      <c r="D363" s="29" t="s">
        <v>2811</v>
      </c>
      <c r="E363" s="29" t="s">
        <v>3166</v>
      </c>
      <c r="F363" s="78" t="s">
        <v>6</v>
      </c>
      <c r="G363" s="29" t="s">
        <v>2814</v>
      </c>
      <c r="H363" s="29" t="s">
        <v>2815</v>
      </c>
    </row>
    <row r="364" spans="2:8" x14ac:dyDescent="0.3">
      <c r="B364" s="28">
        <v>45866</v>
      </c>
      <c r="C364" s="30">
        <v>45839</v>
      </c>
      <c r="D364" s="29" t="s">
        <v>2811</v>
      </c>
      <c r="E364" s="29" t="s">
        <v>3166</v>
      </c>
      <c r="F364" s="78" t="s">
        <v>6</v>
      </c>
      <c r="G364" s="29" t="s">
        <v>2816</v>
      </c>
      <c r="H364" s="29" t="s">
        <v>2817</v>
      </c>
    </row>
    <row r="365" spans="2:8" x14ac:dyDescent="0.3">
      <c r="B365" s="28">
        <v>45866</v>
      </c>
      <c r="C365" s="30">
        <v>45839</v>
      </c>
      <c r="D365" s="29" t="s">
        <v>2811</v>
      </c>
      <c r="E365" s="29" t="s">
        <v>3166</v>
      </c>
      <c r="F365" s="78" t="s">
        <v>6</v>
      </c>
      <c r="G365" s="29" t="s">
        <v>2818</v>
      </c>
      <c r="H365" s="29" t="s">
        <v>2819</v>
      </c>
    </row>
    <row r="366" spans="2:8" x14ac:dyDescent="0.3">
      <c r="B366" s="28">
        <v>45866</v>
      </c>
      <c r="C366" s="30">
        <v>45839</v>
      </c>
      <c r="D366" s="29" t="s">
        <v>2811</v>
      </c>
      <c r="E366" s="29" t="s">
        <v>3166</v>
      </c>
      <c r="F366" s="78" t="s">
        <v>6</v>
      </c>
      <c r="G366" s="29" t="s">
        <v>2856</v>
      </c>
      <c r="H366" s="29" t="s">
        <v>2857</v>
      </c>
    </row>
    <row r="367" spans="2:8" x14ac:dyDescent="0.3">
      <c r="B367" s="28">
        <v>45866</v>
      </c>
      <c r="C367" s="30">
        <v>45839</v>
      </c>
      <c r="D367" s="29" t="s">
        <v>2811</v>
      </c>
      <c r="E367" s="29" t="s">
        <v>3166</v>
      </c>
      <c r="F367" s="79" t="s">
        <v>4</v>
      </c>
      <c r="G367" s="29" t="s">
        <v>3217</v>
      </c>
      <c r="H367" s="29" t="s">
        <v>3218</v>
      </c>
    </row>
    <row r="368" spans="2:8" x14ac:dyDescent="0.3">
      <c r="B368" s="28">
        <v>45866</v>
      </c>
      <c r="C368" s="30">
        <v>45839</v>
      </c>
      <c r="D368" s="29" t="s">
        <v>2811</v>
      </c>
      <c r="E368" s="29" t="s">
        <v>3166</v>
      </c>
      <c r="F368" s="79" t="s">
        <v>4</v>
      </c>
      <c r="G368" s="29" t="s">
        <v>3219</v>
      </c>
      <c r="H368" s="29" t="s">
        <v>3220</v>
      </c>
    </row>
    <row r="369" spans="2:8" x14ac:dyDescent="0.3">
      <c r="B369" s="28">
        <v>45866</v>
      </c>
      <c r="C369" s="30">
        <v>45839</v>
      </c>
      <c r="D369" s="29" t="s">
        <v>2811</v>
      </c>
      <c r="E369" s="29" t="s">
        <v>3166</v>
      </c>
      <c r="F369" s="79" t="s">
        <v>4</v>
      </c>
      <c r="G369" s="29" t="s">
        <v>3221</v>
      </c>
      <c r="H369" s="29" t="s">
        <v>3222</v>
      </c>
    </row>
    <row r="370" spans="2:8" x14ac:dyDescent="0.3">
      <c r="B370" s="28">
        <v>45867</v>
      </c>
      <c r="C370" s="30">
        <v>45839</v>
      </c>
      <c r="D370" s="29" t="s">
        <v>2811</v>
      </c>
      <c r="E370" s="29" t="s">
        <v>3166</v>
      </c>
      <c r="F370" s="78" t="s">
        <v>6</v>
      </c>
      <c r="G370" s="29" t="s">
        <v>2814</v>
      </c>
      <c r="H370" s="29" t="s">
        <v>2815</v>
      </c>
    </row>
    <row r="371" spans="2:8" x14ac:dyDescent="0.3">
      <c r="B371" s="28">
        <v>45867</v>
      </c>
      <c r="C371" s="30">
        <v>45839</v>
      </c>
      <c r="D371" s="29" t="s">
        <v>2811</v>
      </c>
      <c r="E371" s="29" t="s">
        <v>3166</v>
      </c>
      <c r="F371" s="78" t="s">
        <v>6</v>
      </c>
      <c r="G371" s="29" t="s">
        <v>2816</v>
      </c>
      <c r="H371" s="29" t="s">
        <v>2817</v>
      </c>
    </row>
    <row r="372" spans="2:8" x14ac:dyDescent="0.3">
      <c r="B372" s="28">
        <v>45867</v>
      </c>
      <c r="C372" s="30">
        <v>45839</v>
      </c>
      <c r="D372" s="29" t="s">
        <v>2811</v>
      </c>
      <c r="E372" s="29" t="s">
        <v>3166</v>
      </c>
      <c r="F372" s="78" t="s">
        <v>6</v>
      </c>
      <c r="G372" s="29" t="s">
        <v>2818</v>
      </c>
      <c r="H372" s="29" t="s">
        <v>2819</v>
      </c>
    </row>
    <row r="373" spans="2:8" x14ac:dyDescent="0.3">
      <c r="B373" s="28">
        <v>45867</v>
      </c>
      <c r="C373" s="30">
        <v>45839</v>
      </c>
      <c r="D373" s="29" t="s">
        <v>2811</v>
      </c>
      <c r="E373" s="29" t="s">
        <v>3166</v>
      </c>
      <c r="F373" s="78" t="s">
        <v>6</v>
      </c>
      <c r="G373" s="29" t="s">
        <v>2856</v>
      </c>
      <c r="H373" s="29" t="s">
        <v>2857</v>
      </c>
    </row>
    <row r="374" spans="2:8" x14ac:dyDescent="0.3">
      <c r="B374" s="28">
        <v>45867</v>
      </c>
      <c r="C374" s="30">
        <v>45839</v>
      </c>
      <c r="D374" s="29" t="s">
        <v>2811</v>
      </c>
      <c r="E374" s="29" t="s">
        <v>3166</v>
      </c>
      <c r="F374" s="79" t="s">
        <v>4</v>
      </c>
      <c r="G374" s="29" t="s">
        <v>3223</v>
      </c>
      <c r="H374" s="29" t="s">
        <v>3224</v>
      </c>
    </row>
    <row r="375" spans="2:8" x14ac:dyDescent="0.3">
      <c r="B375" s="28">
        <v>45868</v>
      </c>
      <c r="C375" s="30">
        <v>45839</v>
      </c>
      <c r="D375" s="29" t="s">
        <v>2811</v>
      </c>
      <c r="E375" s="29" t="s">
        <v>3166</v>
      </c>
      <c r="F375" s="78" t="s">
        <v>6</v>
      </c>
      <c r="G375" s="29" t="s">
        <v>2814</v>
      </c>
      <c r="H375" s="29" t="s">
        <v>2815</v>
      </c>
    </row>
    <row r="376" spans="2:8" x14ac:dyDescent="0.3">
      <c r="B376" s="28">
        <v>45868</v>
      </c>
      <c r="C376" s="30">
        <v>45839</v>
      </c>
      <c r="D376" s="29" t="s">
        <v>2811</v>
      </c>
      <c r="E376" s="29" t="s">
        <v>3166</v>
      </c>
      <c r="F376" s="78" t="s">
        <v>6</v>
      </c>
      <c r="G376" s="29" t="s">
        <v>2816</v>
      </c>
      <c r="H376" s="29" t="s">
        <v>2817</v>
      </c>
    </row>
    <row r="377" spans="2:8" x14ac:dyDescent="0.3">
      <c r="B377" s="28">
        <v>45868</v>
      </c>
      <c r="C377" s="30">
        <v>45839</v>
      </c>
      <c r="D377" s="29" t="s">
        <v>2811</v>
      </c>
      <c r="E377" s="29" t="s">
        <v>3166</v>
      </c>
      <c r="F377" s="78" t="s">
        <v>6</v>
      </c>
      <c r="G377" s="29" t="s">
        <v>2818</v>
      </c>
      <c r="H377" s="29" t="s">
        <v>2819</v>
      </c>
    </row>
    <row r="378" spans="2:8" x14ac:dyDescent="0.3">
      <c r="B378" s="28">
        <v>45868</v>
      </c>
      <c r="C378" s="30">
        <v>45839</v>
      </c>
      <c r="D378" s="29" t="s">
        <v>2811</v>
      </c>
      <c r="E378" s="29" t="s">
        <v>3166</v>
      </c>
      <c r="F378" s="78" t="s">
        <v>6</v>
      </c>
      <c r="G378" s="29" t="s">
        <v>2856</v>
      </c>
      <c r="H378" s="29" t="s">
        <v>2857</v>
      </c>
    </row>
    <row r="379" spans="2:8" x14ac:dyDescent="0.3">
      <c r="B379" s="28">
        <v>45869</v>
      </c>
      <c r="C379" s="30">
        <v>45839</v>
      </c>
      <c r="D379" s="29" t="s">
        <v>2811</v>
      </c>
      <c r="E379" s="29" t="s">
        <v>3166</v>
      </c>
      <c r="F379" s="78" t="s">
        <v>6</v>
      </c>
      <c r="G379" s="29" t="s">
        <v>2814</v>
      </c>
      <c r="H379" s="29" t="s">
        <v>2815</v>
      </c>
    </row>
    <row r="380" spans="2:8" x14ac:dyDescent="0.3">
      <c r="B380" s="28">
        <v>45869</v>
      </c>
      <c r="C380" s="30">
        <v>45839</v>
      </c>
      <c r="D380" s="29" t="s">
        <v>2811</v>
      </c>
      <c r="E380" s="29" t="s">
        <v>3166</v>
      </c>
      <c r="F380" s="78" t="s">
        <v>6</v>
      </c>
      <c r="G380" s="29" t="s">
        <v>2816</v>
      </c>
      <c r="H380" s="29" t="s">
        <v>2817</v>
      </c>
    </row>
    <row r="381" spans="2:8" x14ac:dyDescent="0.3">
      <c r="B381" s="28">
        <v>45869</v>
      </c>
      <c r="C381" s="30">
        <v>45839</v>
      </c>
      <c r="D381" s="29" t="s">
        <v>2811</v>
      </c>
      <c r="E381" s="29" t="s">
        <v>3166</v>
      </c>
      <c r="F381" s="78" t="s">
        <v>6</v>
      </c>
      <c r="G381" s="29" t="s">
        <v>2818</v>
      </c>
      <c r="H381" s="29" t="s">
        <v>2819</v>
      </c>
    </row>
    <row r="382" spans="2:8" x14ac:dyDescent="0.3">
      <c r="B382" s="28">
        <v>45869</v>
      </c>
      <c r="C382" s="30">
        <v>45839</v>
      </c>
      <c r="D382" s="29" t="s">
        <v>2811</v>
      </c>
      <c r="E382" s="29" t="s">
        <v>3166</v>
      </c>
      <c r="F382" s="78" t="s">
        <v>6</v>
      </c>
      <c r="G382" s="29" t="s">
        <v>2856</v>
      </c>
      <c r="H382" s="29" t="s">
        <v>2857</v>
      </c>
    </row>
    <row r="383" spans="2:8" x14ac:dyDescent="0.3">
      <c r="B383" s="28">
        <v>45869</v>
      </c>
      <c r="C383" s="30">
        <v>45839</v>
      </c>
      <c r="D383" s="29" t="s">
        <v>2811</v>
      </c>
      <c r="E383" s="29" t="s">
        <v>3166</v>
      </c>
      <c r="F383" s="79" t="s">
        <v>4</v>
      </c>
      <c r="G383" s="29" t="s">
        <v>3225</v>
      </c>
      <c r="H383" s="29" t="s">
        <v>3226</v>
      </c>
    </row>
    <row r="384" spans="2:8" x14ac:dyDescent="0.3">
      <c r="B384" s="28">
        <v>45869</v>
      </c>
      <c r="C384" s="30">
        <v>45839</v>
      </c>
      <c r="D384" s="29" t="s">
        <v>2811</v>
      </c>
      <c r="E384" s="29" t="s">
        <v>3166</v>
      </c>
      <c r="F384" s="79" t="s">
        <v>4</v>
      </c>
      <c r="G384" s="29" t="s">
        <v>3227</v>
      </c>
      <c r="H384" s="29" t="s">
        <v>3228</v>
      </c>
    </row>
    <row r="385" spans="2:8" x14ac:dyDescent="0.3">
      <c r="B385" s="28">
        <v>45870</v>
      </c>
      <c r="C385" s="30">
        <v>45870</v>
      </c>
      <c r="D385" s="29" t="s">
        <v>2811</v>
      </c>
      <c r="E385" s="29" t="s">
        <v>3166</v>
      </c>
      <c r="F385" s="78" t="s">
        <v>6</v>
      </c>
      <c r="G385" s="29" t="s">
        <v>2814</v>
      </c>
      <c r="H385" s="29" t="s">
        <v>2815</v>
      </c>
    </row>
    <row r="386" spans="2:8" x14ac:dyDescent="0.3">
      <c r="B386" s="28">
        <v>45870</v>
      </c>
      <c r="C386" s="30">
        <v>45870</v>
      </c>
      <c r="D386" s="29" t="s">
        <v>2811</v>
      </c>
      <c r="E386" s="29" t="s">
        <v>3166</v>
      </c>
      <c r="F386" s="78" t="s">
        <v>6</v>
      </c>
      <c r="G386" s="29" t="s">
        <v>2816</v>
      </c>
      <c r="H386" s="29" t="s">
        <v>2817</v>
      </c>
    </row>
    <row r="387" spans="2:8" x14ac:dyDescent="0.3">
      <c r="B387" s="28">
        <v>45870</v>
      </c>
      <c r="C387" s="30">
        <v>45870</v>
      </c>
      <c r="D387" s="29" t="s">
        <v>2811</v>
      </c>
      <c r="E387" s="29" t="s">
        <v>3166</v>
      </c>
      <c r="F387" s="78" t="s">
        <v>6</v>
      </c>
      <c r="G387" s="29" t="s">
        <v>2818</v>
      </c>
      <c r="H387" s="29" t="s">
        <v>2819</v>
      </c>
    </row>
    <row r="388" spans="2:8" x14ac:dyDescent="0.3">
      <c r="B388" s="28">
        <v>45870</v>
      </c>
      <c r="C388" s="30">
        <v>45870</v>
      </c>
      <c r="D388" s="29" t="s">
        <v>2811</v>
      </c>
      <c r="E388" s="29" t="s">
        <v>3166</v>
      </c>
      <c r="F388" s="79" t="s">
        <v>4</v>
      </c>
      <c r="G388" s="29" t="s">
        <v>3229</v>
      </c>
      <c r="H388" s="29" t="s">
        <v>3230</v>
      </c>
    </row>
    <row r="389" spans="2:8" x14ac:dyDescent="0.3">
      <c r="B389" s="28">
        <v>45871</v>
      </c>
      <c r="C389" s="30">
        <v>45870</v>
      </c>
      <c r="D389" s="29" t="s">
        <v>2811</v>
      </c>
      <c r="E389" s="29" t="s">
        <v>3166</v>
      </c>
      <c r="F389" s="79" t="s">
        <v>4</v>
      </c>
      <c r="G389" s="29" t="s">
        <v>3231</v>
      </c>
      <c r="H389" s="29" t="s">
        <v>3232</v>
      </c>
    </row>
    <row r="390" spans="2:8" x14ac:dyDescent="0.3">
      <c r="B390" s="28">
        <v>45873</v>
      </c>
      <c r="C390" s="30">
        <v>45870</v>
      </c>
      <c r="D390" s="29" t="s">
        <v>2811</v>
      </c>
      <c r="E390" s="29" t="s">
        <v>3166</v>
      </c>
      <c r="F390" s="78" t="s">
        <v>6</v>
      </c>
      <c r="G390" s="29" t="s">
        <v>2856</v>
      </c>
      <c r="H390" s="29" t="s">
        <v>2857</v>
      </c>
    </row>
    <row r="391" spans="2:8" x14ac:dyDescent="0.3">
      <c r="B391" s="28">
        <v>45873</v>
      </c>
      <c r="C391" s="30">
        <v>45870</v>
      </c>
      <c r="D391" s="29" t="s">
        <v>2811</v>
      </c>
      <c r="E391" s="29" t="s">
        <v>3166</v>
      </c>
      <c r="F391" s="78" t="s">
        <v>6</v>
      </c>
      <c r="G391" s="29" t="s">
        <v>2814</v>
      </c>
      <c r="H391" s="29" t="s">
        <v>2815</v>
      </c>
    </row>
    <row r="392" spans="2:8" x14ac:dyDescent="0.3">
      <c r="B392" s="28">
        <v>45873</v>
      </c>
      <c r="C392" s="30">
        <v>45870</v>
      </c>
      <c r="D392" s="29" t="s">
        <v>2811</v>
      </c>
      <c r="E392" s="29" t="s">
        <v>3166</v>
      </c>
      <c r="F392" s="78" t="s">
        <v>6</v>
      </c>
      <c r="G392" s="29" t="s">
        <v>2816</v>
      </c>
      <c r="H392" s="29" t="s">
        <v>2817</v>
      </c>
    </row>
    <row r="393" spans="2:8" x14ac:dyDescent="0.3">
      <c r="B393" s="28">
        <v>45873</v>
      </c>
      <c r="C393" s="30">
        <v>45870</v>
      </c>
      <c r="D393" s="29" t="s">
        <v>2811</v>
      </c>
      <c r="E393" s="29" t="s">
        <v>3166</v>
      </c>
      <c r="F393" s="78" t="s">
        <v>6</v>
      </c>
      <c r="G393" s="29" t="s">
        <v>2870</v>
      </c>
      <c r="H393" s="29" t="s">
        <v>3233</v>
      </c>
    </row>
    <row r="394" spans="2:8" x14ac:dyDescent="0.3">
      <c r="B394" s="28">
        <v>45874</v>
      </c>
      <c r="C394" s="30">
        <v>45870</v>
      </c>
      <c r="D394" s="29" t="s">
        <v>2811</v>
      </c>
      <c r="E394" s="29" t="s">
        <v>3166</v>
      </c>
      <c r="F394" s="78" t="s">
        <v>6</v>
      </c>
      <c r="G394" s="29" t="s">
        <v>2818</v>
      </c>
      <c r="H394" s="29" t="s">
        <v>2819</v>
      </c>
    </row>
    <row r="395" spans="2:8" x14ac:dyDescent="0.3">
      <c r="B395" s="28">
        <v>45874</v>
      </c>
      <c r="C395" s="30">
        <v>45870</v>
      </c>
      <c r="D395" s="29" t="s">
        <v>2811</v>
      </c>
      <c r="E395" s="29" t="s">
        <v>3166</v>
      </c>
      <c r="F395" s="78" t="s">
        <v>6</v>
      </c>
      <c r="G395" s="29" t="s">
        <v>2814</v>
      </c>
      <c r="H395" s="29" t="s">
        <v>2815</v>
      </c>
    </row>
    <row r="396" spans="2:8" x14ac:dyDescent="0.3">
      <c r="B396" s="28">
        <v>45874</v>
      </c>
      <c r="C396" s="30">
        <v>45870</v>
      </c>
      <c r="D396" s="29" t="s">
        <v>2811</v>
      </c>
      <c r="E396" s="29" t="s">
        <v>3166</v>
      </c>
      <c r="F396" s="78" t="s">
        <v>6</v>
      </c>
      <c r="G396" s="29" t="s">
        <v>2816</v>
      </c>
      <c r="H396" s="29" t="s">
        <v>2817</v>
      </c>
    </row>
    <row r="397" spans="2:8" x14ac:dyDescent="0.3">
      <c r="B397" s="28">
        <v>45874</v>
      </c>
      <c r="C397" s="30">
        <v>45870</v>
      </c>
      <c r="D397" s="29" t="s">
        <v>2811</v>
      </c>
      <c r="E397" s="29" t="s">
        <v>3166</v>
      </c>
      <c r="F397" s="78" t="s">
        <v>6</v>
      </c>
      <c r="G397" s="29" t="s">
        <v>2870</v>
      </c>
      <c r="H397" s="29" t="s">
        <v>3233</v>
      </c>
    </row>
    <row r="398" spans="2:8" x14ac:dyDescent="0.3">
      <c r="B398" s="28">
        <v>45875</v>
      </c>
      <c r="C398" s="30">
        <v>45870</v>
      </c>
      <c r="D398" s="29" t="s">
        <v>2811</v>
      </c>
      <c r="E398" s="29" t="s">
        <v>3166</v>
      </c>
      <c r="F398" s="78" t="s">
        <v>6</v>
      </c>
      <c r="G398" s="29" t="s">
        <v>2818</v>
      </c>
      <c r="H398" s="29" t="s">
        <v>2819</v>
      </c>
    </row>
    <row r="399" spans="2:8" x14ac:dyDescent="0.3">
      <c r="B399" s="28">
        <v>45875</v>
      </c>
      <c r="C399" s="30">
        <v>45870</v>
      </c>
      <c r="D399" s="29" t="s">
        <v>2811</v>
      </c>
      <c r="E399" s="29" t="s">
        <v>3166</v>
      </c>
      <c r="F399" s="78" t="s">
        <v>6</v>
      </c>
      <c r="G399" s="29" t="s">
        <v>2814</v>
      </c>
      <c r="H399" s="29" t="s">
        <v>2815</v>
      </c>
    </row>
    <row r="400" spans="2:8" x14ac:dyDescent="0.3">
      <c r="B400" s="28">
        <v>45875</v>
      </c>
      <c r="C400" s="30">
        <v>45870</v>
      </c>
      <c r="D400" s="29" t="s">
        <v>2811</v>
      </c>
      <c r="E400" s="29" t="s">
        <v>3166</v>
      </c>
      <c r="F400" s="78" t="s">
        <v>6</v>
      </c>
      <c r="G400" s="29" t="s">
        <v>2816</v>
      </c>
      <c r="H400" s="29" t="s">
        <v>2817</v>
      </c>
    </row>
    <row r="401" spans="2:8" x14ac:dyDescent="0.3">
      <c r="B401" s="28">
        <v>45875</v>
      </c>
      <c r="C401" s="30">
        <v>45870</v>
      </c>
      <c r="D401" s="29" t="s">
        <v>2811</v>
      </c>
      <c r="E401" s="29" t="s">
        <v>3166</v>
      </c>
      <c r="F401" s="78" t="s">
        <v>6</v>
      </c>
      <c r="G401" s="29" t="s">
        <v>2870</v>
      </c>
      <c r="H401" s="29" t="s">
        <v>3233</v>
      </c>
    </row>
    <row r="402" spans="2:8" x14ac:dyDescent="0.3">
      <c r="B402" s="28">
        <v>45876</v>
      </c>
      <c r="C402" s="30">
        <v>45870</v>
      </c>
      <c r="D402" s="29" t="s">
        <v>2811</v>
      </c>
      <c r="E402" s="29" t="s">
        <v>3166</v>
      </c>
      <c r="F402" s="78" t="s">
        <v>6</v>
      </c>
      <c r="G402" s="29" t="s">
        <v>2818</v>
      </c>
      <c r="H402" s="29" t="s">
        <v>2819</v>
      </c>
    </row>
    <row r="403" spans="2:8" x14ac:dyDescent="0.3">
      <c r="B403" s="28">
        <v>45876</v>
      </c>
      <c r="C403" s="30">
        <v>45870</v>
      </c>
      <c r="D403" s="29" t="s">
        <v>2811</v>
      </c>
      <c r="E403" s="29" t="s">
        <v>3166</v>
      </c>
      <c r="F403" s="78" t="s">
        <v>6</v>
      </c>
      <c r="G403" s="29" t="s">
        <v>2814</v>
      </c>
      <c r="H403" s="29" t="s">
        <v>2815</v>
      </c>
    </row>
    <row r="404" spans="2:8" x14ac:dyDescent="0.3">
      <c r="B404" s="28">
        <v>45876</v>
      </c>
      <c r="C404" s="30">
        <v>45870</v>
      </c>
      <c r="D404" s="29" t="s">
        <v>2811</v>
      </c>
      <c r="E404" s="29" t="s">
        <v>3166</v>
      </c>
      <c r="F404" s="78" t="s">
        <v>6</v>
      </c>
      <c r="G404" s="29" t="s">
        <v>2816</v>
      </c>
      <c r="H404" s="29" t="s">
        <v>2817</v>
      </c>
    </row>
    <row r="405" spans="2:8" x14ac:dyDescent="0.3">
      <c r="B405" s="28">
        <v>45876</v>
      </c>
      <c r="C405" s="30">
        <v>45870</v>
      </c>
      <c r="D405" s="29" t="s">
        <v>2811</v>
      </c>
      <c r="E405" s="29" t="s">
        <v>3166</v>
      </c>
      <c r="F405" s="78" t="s">
        <v>6</v>
      </c>
      <c r="G405" s="29" t="s">
        <v>2870</v>
      </c>
      <c r="H405" s="29" t="s">
        <v>3233</v>
      </c>
    </row>
    <row r="406" spans="2:8" x14ac:dyDescent="0.3">
      <c r="B406" s="28">
        <v>45877</v>
      </c>
      <c r="C406" s="30">
        <v>45870</v>
      </c>
      <c r="D406" s="29" t="s">
        <v>2811</v>
      </c>
      <c r="E406" s="29" t="s">
        <v>3166</v>
      </c>
      <c r="F406" s="78" t="s">
        <v>6</v>
      </c>
      <c r="G406" s="29" t="s">
        <v>2818</v>
      </c>
      <c r="H406" s="29" t="s">
        <v>2819</v>
      </c>
    </row>
    <row r="407" spans="2:8" x14ac:dyDescent="0.3">
      <c r="B407" s="28">
        <v>45877</v>
      </c>
      <c r="C407" s="30">
        <v>45870</v>
      </c>
      <c r="D407" s="29" t="s">
        <v>2811</v>
      </c>
      <c r="E407" s="29" t="s">
        <v>3166</v>
      </c>
      <c r="F407" s="78" t="s">
        <v>6</v>
      </c>
      <c r="G407" s="29" t="s">
        <v>2814</v>
      </c>
      <c r="H407" s="29" t="s">
        <v>2815</v>
      </c>
    </row>
    <row r="408" spans="2:8" x14ac:dyDescent="0.3">
      <c r="B408" s="28">
        <v>45877</v>
      </c>
      <c r="C408" s="30">
        <v>45870</v>
      </c>
      <c r="D408" s="29" t="s">
        <v>2811</v>
      </c>
      <c r="E408" s="29" t="s">
        <v>3166</v>
      </c>
      <c r="F408" s="78" t="s">
        <v>6</v>
      </c>
      <c r="G408" s="29" t="s">
        <v>2816</v>
      </c>
      <c r="H408" s="29" t="s">
        <v>2817</v>
      </c>
    </row>
    <row r="409" spans="2:8" x14ac:dyDescent="0.3">
      <c r="B409" s="28">
        <v>45877</v>
      </c>
      <c r="C409" s="30">
        <v>45870</v>
      </c>
      <c r="D409" s="29" t="s">
        <v>2811</v>
      </c>
      <c r="E409" s="29" t="s">
        <v>3166</v>
      </c>
      <c r="F409" s="78" t="s">
        <v>6</v>
      </c>
      <c r="G409" s="29" t="s">
        <v>2870</v>
      </c>
      <c r="H409" s="29" t="s">
        <v>3233</v>
      </c>
    </row>
    <row r="410" spans="2:8" x14ac:dyDescent="0.3">
      <c r="B410" s="28">
        <v>45880</v>
      </c>
      <c r="C410" s="30">
        <v>45870</v>
      </c>
      <c r="D410" s="29" t="s">
        <v>2811</v>
      </c>
      <c r="E410" s="29" t="s">
        <v>3166</v>
      </c>
      <c r="F410" s="78" t="s">
        <v>6</v>
      </c>
      <c r="G410" s="29" t="s">
        <v>2818</v>
      </c>
      <c r="H410" s="29" t="s">
        <v>2819</v>
      </c>
    </row>
    <row r="411" spans="2:8" x14ac:dyDescent="0.3">
      <c r="B411" s="28">
        <v>45880</v>
      </c>
      <c r="C411" s="30">
        <v>45870</v>
      </c>
      <c r="D411" s="29" t="s">
        <v>2811</v>
      </c>
      <c r="E411" s="29" t="s">
        <v>3166</v>
      </c>
      <c r="F411" s="78" t="s">
        <v>6</v>
      </c>
      <c r="G411" s="29" t="s">
        <v>2814</v>
      </c>
      <c r="H411" s="29" t="s">
        <v>2815</v>
      </c>
    </row>
    <row r="412" spans="2:8" x14ac:dyDescent="0.3">
      <c r="B412" s="28">
        <v>45880</v>
      </c>
      <c r="C412" s="30">
        <v>45870</v>
      </c>
      <c r="D412" s="29" t="s">
        <v>2811</v>
      </c>
      <c r="E412" s="29" t="s">
        <v>3166</v>
      </c>
      <c r="F412" s="78" t="s">
        <v>6</v>
      </c>
      <c r="G412" s="29" t="s">
        <v>2816</v>
      </c>
      <c r="H412" s="29" t="s">
        <v>2817</v>
      </c>
    </row>
    <row r="413" spans="2:8" x14ac:dyDescent="0.3">
      <c r="B413" s="28">
        <v>45880</v>
      </c>
      <c r="C413" s="30">
        <v>45870</v>
      </c>
      <c r="D413" s="29" t="s">
        <v>2811</v>
      </c>
      <c r="E413" s="29" t="s">
        <v>3166</v>
      </c>
      <c r="F413" s="78" t="s">
        <v>6</v>
      </c>
      <c r="G413" s="29" t="s">
        <v>2870</v>
      </c>
      <c r="H413" s="29" t="s">
        <v>3233</v>
      </c>
    </row>
    <row r="414" spans="2:8" x14ac:dyDescent="0.3">
      <c r="B414" s="28">
        <v>45880</v>
      </c>
      <c r="C414" s="30">
        <v>45870</v>
      </c>
      <c r="D414" s="29" t="s">
        <v>2811</v>
      </c>
      <c r="E414" s="29" t="s">
        <v>3166</v>
      </c>
      <c r="F414" s="79" t="s">
        <v>4</v>
      </c>
      <c r="G414" s="29" t="s">
        <v>3234</v>
      </c>
      <c r="H414" s="29" t="s">
        <v>3235</v>
      </c>
    </row>
    <row r="415" spans="2:8" x14ac:dyDescent="0.3">
      <c r="B415" s="28">
        <v>45880</v>
      </c>
      <c r="C415" s="30">
        <v>45870</v>
      </c>
      <c r="D415" s="29" t="s">
        <v>2811</v>
      </c>
      <c r="E415" s="29" t="s">
        <v>3166</v>
      </c>
      <c r="F415" s="79" t="s">
        <v>4</v>
      </c>
      <c r="G415" s="29" t="s">
        <v>3236</v>
      </c>
      <c r="H415" s="29" t="s">
        <v>3237</v>
      </c>
    </row>
    <row r="416" spans="2:8" x14ac:dyDescent="0.3">
      <c r="B416" s="28">
        <v>45880</v>
      </c>
      <c r="C416" s="30">
        <v>45870</v>
      </c>
      <c r="D416" s="29" t="s">
        <v>2811</v>
      </c>
      <c r="E416" s="29" t="s">
        <v>3166</v>
      </c>
      <c r="F416" s="79" t="s">
        <v>4</v>
      </c>
      <c r="G416" s="29" t="s">
        <v>3238</v>
      </c>
      <c r="H416" s="29" t="s">
        <v>3239</v>
      </c>
    </row>
    <row r="417" spans="2:8" x14ac:dyDescent="0.3">
      <c r="B417" s="10"/>
      <c r="C417" s="10"/>
      <c r="D417" s="7"/>
      <c r="E417" s="7"/>
      <c r="F417" s="10"/>
      <c r="G417" s="7"/>
      <c r="H417" s="7"/>
    </row>
    <row r="418" spans="2:8" x14ac:dyDescent="0.3">
      <c r="B418" s="10"/>
      <c r="C418" s="10"/>
      <c r="D418" s="7"/>
      <c r="E418" s="7"/>
      <c r="F418" s="10"/>
      <c r="G418" s="7"/>
      <c r="H418" s="7"/>
    </row>
    <row r="419" spans="2:8" x14ac:dyDescent="0.3">
      <c r="B419" s="10"/>
      <c r="C419" s="10"/>
      <c r="D419" s="7"/>
      <c r="E419" s="7"/>
      <c r="F419" s="10"/>
      <c r="G419" s="7"/>
      <c r="H419" s="7"/>
    </row>
    <row r="420" spans="2:8" x14ac:dyDescent="0.3">
      <c r="B420" s="10"/>
      <c r="C420" s="10"/>
      <c r="D420" s="7"/>
      <c r="E420" s="7"/>
      <c r="F420" s="10"/>
      <c r="G420" s="7"/>
      <c r="H420" s="7"/>
    </row>
    <row r="421" spans="2:8" x14ac:dyDescent="0.3">
      <c r="B421" s="10"/>
      <c r="C421" s="10"/>
      <c r="D421" s="7"/>
      <c r="E421" s="7"/>
      <c r="F421" s="10"/>
      <c r="G421" s="7"/>
      <c r="H421" s="7"/>
    </row>
    <row r="422" spans="2:8" x14ac:dyDescent="0.3">
      <c r="B422" s="10"/>
      <c r="C422" s="10"/>
      <c r="D422" s="7"/>
      <c r="E422" s="7"/>
      <c r="F422" s="10"/>
      <c r="G422" s="7"/>
      <c r="H422" s="7"/>
    </row>
    <row r="423" spans="2:8" x14ac:dyDescent="0.3">
      <c r="B423" s="10"/>
      <c r="C423" s="10"/>
      <c r="D423" s="7"/>
      <c r="E423" s="7"/>
      <c r="F423" s="10"/>
      <c r="G423" s="7"/>
      <c r="H423" s="7"/>
    </row>
    <row r="424" spans="2:8" x14ac:dyDescent="0.3">
      <c r="B424" s="10"/>
      <c r="C424" s="10"/>
      <c r="D424" s="7"/>
      <c r="E424" s="7"/>
      <c r="F424" s="10"/>
      <c r="G424" s="7"/>
      <c r="H424" s="7"/>
    </row>
    <row r="425" spans="2:8" x14ac:dyDescent="0.3">
      <c r="B425" s="10"/>
      <c r="C425" s="10"/>
      <c r="D425" s="7"/>
      <c r="E425" s="7"/>
      <c r="F425" s="10"/>
      <c r="G425" s="7"/>
      <c r="H425" s="7"/>
    </row>
    <row r="426" spans="2:8" x14ac:dyDescent="0.3">
      <c r="B426" s="10"/>
      <c r="C426" s="10"/>
      <c r="D426" s="7"/>
      <c r="E426" s="7"/>
      <c r="F426" s="10"/>
      <c r="G426" s="7"/>
      <c r="H426" s="7"/>
    </row>
    <row r="427" spans="2:8" x14ac:dyDescent="0.3">
      <c r="B427" s="10"/>
      <c r="C427" s="10"/>
      <c r="D427" s="7"/>
      <c r="E427" s="7"/>
      <c r="F427" s="10"/>
      <c r="G427" s="7"/>
      <c r="H427" s="7"/>
    </row>
    <row r="428" spans="2:8" x14ac:dyDescent="0.3">
      <c r="B428" s="10"/>
      <c r="C428" s="10"/>
      <c r="D428" s="7"/>
      <c r="E428" s="7"/>
      <c r="F428" s="10"/>
      <c r="G428" s="7"/>
      <c r="H428" s="7"/>
    </row>
    <row r="429" spans="2:8" x14ac:dyDescent="0.3">
      <c r="B429" s="10"/>
      <c r="C429" s="10"/>
      <c r="D429" s="7"/>
      <c r="E429" s="7"/>
      <c r="F429" s="10"/>
      <c r="G429" s="7"/>
      <c r="H429" s="7"/>
    </row>
    <row r="430" spans="2:8" x14ac:dyDescent="0.3">
      <c r="B430" s="10"/>
      <c r="C430" s="10"/>
      <c r="D430" s="7"/>
      <c r="E430" s="7"/>
      <c r="F430" s="10"/>
      <c r="G430" s="7"/>
      <c r="H430" s="7"/>
    </row>
    <row r="431" spans="2:8" x14ac:dyDescent="0.3">
      <c r="B431" s="10"/>
      <c r="C431" s="10"/>
      <c r="D431" s="7"/>
      <c r="E431" s="7"/>
      <c r="F431" s="10"/>
      <c r="G431" s="7"/>
      <c r="H431" s="7"/>
    </row>
    <row r="432" spans="2:8" x14ac:dyDescent="0.3">
      <c r="B432" s="10"/>
      <c r="C432" s="10"/>
      <c r="D432" s="7"/>
      <c r="E432" s="7"/>
      <c r="F432" s="10"/>
      <c r="G432" s="7"/>
      <c r="H432" s="7"/>
    </row>
    <row r="433" spans="2:8" x14ac:dyDescent="0.3">
      <c r="B433" s="10"/>
      <c r="C433" s="10"/>
      <c r="D433" s="7"/>
      <c r="E433" s="7"/>
      <c r="F433" s="10"/>
      <c r="G433" s="7"/>
      <c r="H433" s="7"/>
    </row>
    <row r="434" spans="2:8" x14ac:dyDescent="0.3">
      <c r="B434" s="10"/>
      <c r="C434" s="10"/>
      <c r="D434" s="7"/>
      <c r="E434" s="7"/>
      <c r="F434" s="10"/>
      <c r="G434" s="7"/>
      <c r="H434" s="7"/>
    </row>
    <row r="435" spans="2:8" x14ac:dyDescent="0.3">
      <c r="B435" s="10"/>
      <c r="C435" s="10"/>
      <c r="D435" s="7"/>
      <c r="E435" s="7"/>
      <c r="F435" s="10"/>
      <c r="G435" s="7"/>
      <c r="H435" s="7"/>
    </row>
    <row r="436" spans="2:8" x14ac:dyDescent="0.3">
      <c r="B436" s="10"/>
      <c r="C436" s="10"/>
      <c r="D436" s="7"/>
      <c r="E436" s="7"/>
      <c r="F436" s="10"/>
      <c r="G436" s="7"/>
      <c r="H436" s="7"/>
    </row>
    <row r="437" spans="2:8" x14ac:dyDescent="0.3">
      <c r="B437" s="10"/>
      <c r="C437" s="10"/>
      <c r="D437" s="7"/>
      <c r="E437" s="7"/>
      <c r="F437" s="10"/>
      <c r="G437" s="7"/>
      <c r="H437" s="7"/>
    </row>
    <row r="438" spans="2:8" x14ac:dyDescent="0.3">
      <c r="B438" s="10"/>
      <c r="C438" s="10"/>
      <c r="D438" s="7"/>
      <c r="E438" s="7"/>
      <c r="F438" s="10"/>
      <c r="G438" s="7"/>
      <c r="H438" s="7"/>
    </row>
    <row r="439" spans="2:8" x14ac:dyDescent="0.3">
      <c r="B439" s="10"/>
      <c r="C439" s="10"/>
      <c r="D439" s="7"/>
      <c r="E439" s="7"/>
      <c r="F439" s="10"/>
      <c r="G439" s="7"/>
      <c r="H439" s="7"/>
    </row>
    <row r="440" spans="2:8" x14ac:dyDescent="0.3">
      <c r="B440" s="10"/>
      <c r="C440" s="10"/>
      <c r="D440" s="7"/>
      <c r="E440" s="7"/>
      <c r="F440" s="10"/>
      <c r="G440" s="7"/>
      <c r="H440" s="7"/>
    </row>
    <row r="441" spans="2:8" x14ac:dyDescent="0.3">
      <c r="B441" s="10"/>
      <c r="C441" s="10"/>
      <c r="D441" s="7"/>
      <c r="E441" s="7"/>
      <c r="F441" s="10"/>
      <c r="G441" s="7"/>
      <c r="H441" s="7"/>
    </row>
    <row r="442" spans="2:8" x14ac:dyDescent="0.3">
      <c r="B442" s="10"/>
      <c r="C442" s="10"/>
      <c r="D442" s="7"/>
      <c r="E442" s="7"/>
      <c r="F442" s="10"/>
      <c r="G442" s="7"/>
      <c r="H442" s="7"/>
    </row>
    <row r="443" spans="2:8" x14ac:dyDescent="0.3">
      <c r="B443" s="10"/>
      <c r="C443" s="10"/>
      <c r="D443" s="7"/>
      <c r="E443" s="7"/>
      <c r="F443" s="10"/>
      <c r="G443" s="7"/>
      <c r="H443" s="7"/>
    </row>
    <row r="444" spans="2:8" x14ac:dyDescent="0.3">
      <c r="B444" s="10"/>
      <c r="C444" s="10"/>
      <c r="D444" s="7"/>
      <c r="E444" s="7"/>
      <c r="F444" s="10"/>
      <c r="G444" s="7"/>
      <c r="H444" s="7"/>
    </row>
    <row r="445" spans="2:8" x14ac:dyDescent="0.3">
      <c r="B445" s="10"/>
      <c r="C445" s="10"/>
      <c r="D445" s="7"/>
      <c r="E445" s="7"/>
      <c r="F445" s="10"/>
      <c r="G445" s="7"/>
      <c r="H445" s="7"/>
    </row>
    <row r="446" spans="2:8" x14ac:dyDescent="0.3">
      <c r="B446" s="10"/>
      <c r="C446" s="10"/>
      <c r="D446" s="7"/>
      <c r="E446" s="7"/>
      <c r="F446" s="10"/>
      <c r="G446" s="7"/>
      <c r="H446" s="7"/>
    </row>
    <row r="447" spans="2:8" x14ac:dyDescent="0.3">
      <c r="B447" s="10"/>
      <c r="C447" s="10"/>
      <c r="D447" s="7"/>
      <c r="E447" s="7"/>
      <c r="F447" s="10"/>
      <c r="G447" s="7"/>
      <c r="H447" s="7"/>
    </row>
    <row r="448" spans="2:8" x14ac:dyDescent="0.3">
      <c r="B448" s="10"/>
      <c r="C448" s="10"/>
      <c r="D448" s="7"/>
      <c r="E448" s="7"/>
      <c r="F448" s="10"/>
      <c r="G448" s="7"/>
      <c r="H448" s="7"/>
    </row>
    <row r="449" spans="2:8" x14ac:dyDescent="0.3">
      <c r="B449" s="10"/>
      <c r="C449" s="10"/>
      <c r="D449" s="7"/>
      <c r="E449" s="7"/>
      <c r="F449" s="10"/>
      <c r="G449" s="7"/>
      <c r="H449" s="7"/>
    </row>
    <row r="450" spans="2:8" x14ac:dyDescent="0.3">
      <c r="B450" s="10"/>
      <c r="C450" s="10"/>
      <c r="D450" s="7"/>
      <c r="E450" s="7"/>
      <c r="F450" s="10"/>
      <c r="G450" s="7"/>
      <c r="H450" s="7"/>
    </row>
    <row r="451" spans="2:8" x14ac:dyDescent="0.3">
      <c r="B451" s="10"/>
      <c r="C451" s="10"/>
      <c r="D451" s="7"/>
      <c r="E451" s="7"/>
      <c r="F451" s="10"/>
      <c r="G451" s="7"/>
      <c r="H451" s="7"/>
    </row>
    <row r="452" spans="2:8" x14ac:dyDescent="0.3">
      <c r="B452" s="10"/>
      <c r="C452" s="10"/>
      <c r="D452" s="7"/>
      <c r="E452" s="7"/>
      <c r="F452" s="10"/>
      <c r="G452" s="7"/>
      <c r="H452" s="7"/>
    </row>
    <row r="453" spans="2:8" x14ac:dyDescent="0.3">
      <c r="B453" s="10"/>
      <c r="C453" s="10"/>
      <c r="D453" s="7"/>
      <c r="E453" s="7"/>
      <c r="F453" s="10"/>
      <c r="G453" s="7"/>
      <c r="H453" s="7"/>
    </row>
    <row r="454" spans="2:8" x14ac:dyDescent="0.3">
      <c r="B454" s="10"/>
      <c r="C454" s="10"/>
      <c r="D454" s="7"/>
      <c r="E454" s="7"/>
      <c r="F454" s="10"/>
      <c r="G454" s="7"/>
      <c r="H454" s="7"/>
    </row>
    <row r="455" spans="2:8" x14ac:dyDescent="0.3">
      <c r="B455" s="10"/>
      <c r="C455" s="10"/>
      <c r="D455" s="7"/>
      <c r="E455" s="7"/>
      <c r="F455" s="10"/>
      <c r="G455" s="7"/>
      <c r="H455" s="7"/>
    </row>
    <row r="456" spans="2:8" x14ac:dyDescent="0.3">
      <c r="B456" s="10"/>
      <c r="C456" s="10"/>
      <c r="D456" s="7"/>
      <c r="E456" s="7"/>
      <c r="F456" s="10"/>
      <c r="G456" s="7"/>
      <c r="H456" s="7"/>
    </row>
    <row r="457" spans="2:8" x14ac:dyDescent="0.3">
      <c r="B457" s="10"/>
      <c r="C457" s="10"/>
      <c r="D457" s="7"/>
      <c r="E457" s="7"/>
      <c r="F457" s="10"/>
      <c r="G457" s="7"/>
      <c r="H457" s="7"/>
    </row>
    <row r="458" spans="2:8" x14ac:dyDescent="0.3">
      <c r="B458" s="10"/>
      <c r="C458" s="10"/>
      <c r="D458" s="7"/>
      <c r="E458" s="7"/>
      <c r="F458" s="10"/>
      <c r="G458" s="7"/>
      <c r="H458" s="7"/>
    </row>
    <row r="459" spans="2:8" x14ac:dyDescent="0.3">
      <c r="B459" s="10"/>
      <c r="C459" s="10"/>
      <c r="D459" s="7"/>
      <c r="E459" s="7"/>
      <c r="F459" s="10"/>
      <c r="G459" s="7"/>
      <c r="H459" s="7"/>
    </row>
    <row r="460" spans="2:8" x14ac:dyDescent="0.3">
      <c r="B460" s="10"/>
      <c r="C460" s="10"/>
      <c r="D460" s="7"/>
      <c r="E460" s="7"/>
      <c r="F460" s="10"/>
      <c r="G460" s="7"/>
      <c r="H460" s="7"/>
    </row>
    <row r="461" spans="2:8" x14ac:dyDescent="0.3">
      <c r="B461" s="10"/>
      <c r="C461" s="10"/>
      <c r="D461" s="7"/>
      <c r="E461" s="7"/>
      <c r="F461" s="10"/>
      <c r="G461" s="7"/>
      <c r="H461" s="7"/>
    </row>
    <row r="462" spans="2:8" x14ac:dyDescent="0.3">
      <c r="B462" s="10"/>
      <c r="C462" s="10"/>
      <c r="D462" s="7"/>
      <c r="E462" s="7"/>
      <c r="F462" s="10"/>
      <c r="G462" s="7"/>
      <c r="H462" s="7"/>
    </row>
    <row r="463" spans="2:8" x14ac:dyDescent="0.3">
      <c r="B463" s="10"/>
      <c r="C463" s="10"/>
      <c r="D463" s="7"/>
      <c r="E463" s="7"/>
      <c r="F463" s="10"/>
      <c r="G463" s="7"/>
      <c r="H463" s="7"/>
    </row>
    <row r="464" spans="2:8" x14ac:dyDescent="0.3">
      <c r="B464" s="10"/>
      <c r="C464" s="10"/>
      <c r="D464" s="7"/>
      <c r="E464" s="7"/>
      <c r="F464" s="10"/>
      <c r="G464" s="7"/>
      <c r="H464" s="7"/>
    </row>
    <row r="465" spans="2:8" x14ac:dyDescent="0.3">
      <c r="B465" s="10"/>
      <c r="C465" s="10"/>
      <c r="D465" s="7"/>
      <c r="E465" s="7"/>
      <c r="F465" s="10"/>
      <c r="G465" s="7"/>
      <c r="H465" s="7"/>
    </row>
    <row r="466" spans="2:8" x14ac:dyDescent="0.3">
      <c r="B466" s="10"/>
      <c r="C466" s="10"/>
      <c r="D466" s="7"/>
      <c r="E466" s="7"/>
      <c r="F466" s="10"/>
      <c r="G466" s="7"/>
      <c r="H466" s="7"/>
    </row>
    <row r="467" spans="2:8" x14ac:dyDescent="0.3">
      <c r="B467" s="10"/>
      <c r="C467" s="10"/>
      <c r="D467" s="7"/>
      <c r="E467" s="7"/>
      <c r="F467" s="10"/>
      <c r="G467" s="7"/>
      <c r="H467" s="7"/>
    </row>
    <row r="468" spans="2:8" x14ac:dyDescent="0.3">
      <c r="B468" s="10"/>
      <c r="C468" s="10"/>
      <c r="D468" s="7"/>
      <c r="E468" s="7"/>
      <c r="F468" s="10"/>
      <c r="G468" s="7"/>
      <c r="H468" s="7"/>
    </row>
    <row r="469" spans="2:8" x14ac:dyDescent="0.3">
      <c r="B469" s="10"/>
      <c r="C469" s="10"/>
      <c r="D469" s="7"/>
      <c r="E469" s="7"/>
      <c r="F469" s="10"/>
      <c r="G469" s="7"/>
      <c r="H469" s="7"/>
    </row>
    <row r="470" spans="2:8" x14ac:dyDescent="0.3">
      <c r="B470" s="10"/>
      <c r="C470" s="10"/>
      <c r="D470" s="7"/>
      <c r="E470" s="7"/>
      <c r="F470" s="10"/>
      <c r="G470" s="7"/>
      <c r="H470" s="7"/>
    </row>
    <row r="471" spans="2:8" x14ac:dyDescent="0.3">
      <c r="B471" s="10"/>
      <c r="C471" s="10"/>
      <c r="D471" s="7"/>
      <c r="E471" s="7"/>
      <c r="F471" s="10"/>
      <c r="G471" s="7"/>
      <c r="H471" s="7"/>
    </row>
    <row r="472" spans="2:8" x14ac:dyDescent="0.3">
      <c r="B472" s="10"/>
      <c r="C472" s="10"/>
      <c r="D472" s="7"/>
      <c r="E472" s="7"/>
      <c r="F472" s="10"/>
      <c r="G472" s="7"/>
      <c r="H472" s="7"/>
    </row>
    <row r="473" spans="2:8" x14ac:dyDescent="0.3">
      <c r="B473" s="10"/>
      <c r="C473" s="10"/>
      <c r="D473" s="7"/>
      <c r="E473" s="7"/>
      <c r="F473" s="10"/>
      <c r="G473" s="7"/>
      <c r="H473" s="7"/>
    </row>
    <row r="474" spans="2:8" x14ac:dyDescent="0.3">
      <c r="B474" s="10"/>
      <c r="C474" s="10"/>
      <c r="D474" s="7"/>
      <c r="E474" s="7"/>
      <c r="F474" s="10"/>
      <c r="G474" s="7"/>
      <c r="H474" s="7"/>
    </row>
    <row r="475" spans="2:8" x14ac:dyDescent="0.3">
      <c r="B475" s="10"/>
      <c r="C475" s="10"/>
      <c r="D475" s="7"/>
      <c r="E475" s="7"/>
      <c r="F475" s="10"/>
      <c r="G475" s="7"/>
      <c r="H475" s="7"/>
    </row>
    <row r="476" spans="2:8" x14ac:dyDescent="0.3">
      <c r="B476" s="10"/>
      <c r="C476" s="10"/>
      <c r="D476" s="7"/>
      <c r="E476" s="7"/>
      <c r="F476" s="10"/>
      <c r="G476" s="7"/>
      <c r="H476" s="7"/>
    </row>
    <row r="477" spans="2:8" x14ac:dyDescent="0.3">
      <c r="B477" s="10"/>
      <c r="C477" s="10"/>
      <c r="D477" s="7"/>
      <c r="E477" s="7"/>
      <c r="F477" s="10"/>
      <c r="G477" s="7"/>
      <c r="H477" s="7"/>
    </row>
    <row r="478" spans="2:8" x14ac:dyDescent="0.3">
      <c r="B478" s="10"/>
      <c r="C478" s="10"/>
      <c r="D478" s="7"/>
      <c r="E478" s="7"/>
      <c r="F478" s="10"/>
      <c r="G478" s="7"/>
      <c r="H478" s="7"/>
    </row>
    <row r="479" spans="2:8" x14ac:dyDescent="0.3">
      <c r="B479" s="10"/>
      <c r="C479" s="10"/>
      <c r="D479" s="7"/>
      <c r="E479" s="7"/>
      <c r="F479" s="10"/>
      <c r="G479" s="7"/>
      <c r="H479" s="7"/>
    </row>
    <row r="480" spans="2:8" x14ac:dyDescent="0.3">
      <c r="B480" s="10"/>
      <c r="C480" s="10"/>
      <c r="D480" s="7"/>
      <c r="E480" s="7"/>
      <c r="F480" s="10"/>
      <c r="G480" s="7"/>
      <c r="H480" s="7"/>
    </row>
    <row r="481" spans="2:8" x14ac:dyDescent="0.3">
      <c r="B481" s="10"/>
      <c r="C481" s="10"/>
      <c r="D481" s="7"/>
      <c r="E481" s="7"/>
      <c r="F481" s="10"/>
      <c r="G481" s="7"/>
      <c r="H481" s="7"/>
    </row>
    <row r="482" spans="2:8" x14ac:dyDescent="0.3">
      <c r="B482" s="10"/>
      <c r="C482" s="10"/>
      <c r="D482" s="7"/>
      <c r="E482" s="7"/>
      <c r="F482" s="10"/>
      <c r="G482" s="7"/>
      <c r="H482" s="7"/>
    </row>
    <row r="483" spans="2:8" x14ac:dyDescent="0.3">
      <c r="B483" s="10"/>
      <c r="C483" s="10"/>
      <c r="D483" s="7"/>
      <c r="E483" s="7"/>
      <c r="F483" s="10"/>
      <c r="G483" s="7"/>
      <c r="H483" s="7"/>
    </row>
    <row r="484" spans="2:8" x14ac:dyDescent="0.3">
      <c r="B484" s="10"/>
      <c r="C484" s="10"/>
      <c r="D484" s="7"/>
      <c r="E484" s="7"/>
      <c r="F484" s="10"/>
      <c r="G484" s="7"/>
      <c r="H484" s="7"/>
    </row>
    <row r="485" spans="2:8" x14ac:dyDescent="0.3">
      <c r="B485" s="10"/>
      <c r="C485" s="10"/>
      <c r="D485" s="7"/>
      <c r="E485" s="7"/>
      <c r="F485" s="10"/>
      <c r="G485" s="7"/>
      <c r="H485" s="7"/>
    </row>
    <row r="486" spans="2:8" x14ac:dyDescent="0.3">
      <c r="B486" s="10"/>
      <c r="C486" s="10"/>
      <c r="D486" s="7"/>
      <c r="E486" s="7"/>
      <c r="F486" s="10"/>
      <c r="G486" s="7"/>
      <c r="H486" s="7"/>
    </row>
    <row r="487" spans="2:8" x14ac:dyDescent="0.3">
      <c r="B487" s="10"/>
      <c r="C487" s="10"/>
      <c r="D487" s="7"/>
      <c r="E487" s="7"/>
      <c r="F487" s="10"/>
      <c r="G487" s="7"/>
      <c r="H487" s="7"/>
    </row>
    <row r="488" spans="2:8" x14ac:dyDescent="0.3">
      <c r="B488" s="10"/>
      <c r="C488" s="10"/>
      <c r="D488" s="7"/>
      <c r="E488" s="7"/>
      <c r="F488" s="10"/>
      <c r="G488" s="7"/>
      <c r="H488" s="7"/>
    </row>
    <row r="489" spans="2:8" x14ac:dyDescent="0.3">
      <c r="B489" s="10"/>
      <c r="C489" s="10"/>
      <c r="D489" s="7"/>
      <c r="E489" s="7"/>
      <c r="F489" s="10"/>
      <c r="G489" s="7"/>
      <c r="H489" s="7"/>
    </row>
    <row r="490" spans="2:8" x14ac:dyDescent="0.3">
      <c r="B490" s="10"/>
      <c r="C490" s="10"/>
      <c r="D490" s="7"/>
      <c r="E490" s="7"/>
      <c r="F490" s="10"/>
      <c r="G490" s="7"/>
      <c r="H490" s="7"/>
    </row>
    <row r="491" spans="2:8" x14ac:dyDescent="0.3">
      <c r="B491" s="10"/>
      <c r="C491" s="10"/>
      <c r="D491" s="7"/>
      <c r="E491" s="7"/>
      <c r="F491" s="10"/>
      <c r="G491" s="7"/>
      <c r="H491" s="7"/>
    </row>
    <row r="492" spans="2:8" x14ac:dyDescent="0.3">
      <c r="B492" s="10"/>
      <c r="C492" s="10"/>
      <c r="D492" s="7"/>
      <c r="E492" s="7"/>
      <c r="F492" s="10"/>
      <c r="G492" s="7"/>
      <c r="H492" s="7"/>
    </row>
    <row r="493" spans="2:8" x14ac:dyDescent="0.3">
      <c r="B493" s="10"/>
      <c r="C493" s="10"/>
      <c r="D493" s="7"/>
      <c r="E493" s="7"/>
      <c r="F493" s="10"/>
      <c r="G493" s="7"/>
      <c r="H493" s="7"/>
    </row>
    <row r="494" spans="2:8" x14ac:dyDescent="0.3">
      <c r="B494" s="10"/>
      <c r="C494" s="10"/>
      <c r="D494" s="7"/>
      <c r="E494" s="7"/>
      <c r="F494" s="10"/>
      <c r="G494" s="7"/>
      <c r="H494" s="7"/>
    </row>
    <row r="495" spans="2:8" x14ac:dyDescent="0.3">
      <c r="B495" s="10"/>
      <c r="C495" s="10"/>
      <c r="D495" s="7"/>
      <c r="E495" s="7"/>
      <c r="F495" s="10"/>
      <c r="G495" s="7"/>
      <c r="H495" s="7"/>
    </row>
    <row r="496" spans="2:8" x14ac:dyDescent="0.3">
      <c r="B496" s="10"/>
      <c r="C496" s="10"/>
      <c r="D496" s="7"/>
      <c r="E496" s="7"/>
      <c r="F496" s="10"/>
      <c r="G496" s="7"/>
      <c r="H496" s="7"/>
    </row>
    <row r="497" spans="2:8" x14ac:dyDescent="0.3">
      <c r="B497" s="10"/>
      <c r="C497" s="10"/>
      <c r="D497" s="7"/>
      <c r="E497" s="7"/>
      <c r="F497" s="10"/>
      <c r="G497" s="7"/>
      <c r="H497" s="7"/>
    </row>
    <row r="498" spans="2:8" x14ac:dyDescent="0.3">
      <c r="B498" s="10"/>
      <c r="C498" s="10"/>
      <c r="D498" s="7"/>
      <c r="E498" s="7"/>
      <c r="F498" s="10"/>
      <c r="G498" s="7"/>
      <c r="H498" s="7"/>
    </row>
    <row r="499" spans="2:8" x14ac:dyDescent="0.3">
      <c r="B499" s="10"/>
      <c r="C499" s="10"/>
      <c r="D499" s="7"/>
      <c r="E499" s="7"/>
      <c r="F499" s="10"/>
      <c r="G499" s="7"/>
      <c r="H499" s="7"/>
    </row>
    <row r="500" spans="2:8" x14ac:dyDescent="0.3">
      <c r="B500" s="10"/>
      <c r="C500" s="10"/>
      <c r="D500" s="7"/>
      <c r="E500" s="7"/>
      <c r="F500" s="10"/>
      <c r="G500" s="7"/>
      <c r="H500" s="7"/>
    </row>
    <row r="501" spans="2:8" x14ac:dyDescent="0.3">
      <c r="B501" s="10"/>
      <c r="C501" s="10"/>
      <c r="D501" s="7"/>
      <c r="E501" s="7"/>
      <c r="F501" s="10"/>
      <c r="G501" s="7"/>
      <c r="H501" s="7"/>
    </row>
    <row r="502" spans="2:8" x14ac:dyDescent="0.3">
      <c r="B502" s="10"/>
      <c r="C502" s="10"/>
      <c r="D502" s="7"/>
      <c r="E502" s="7"/>
      <c r="F502" s="10"/>
      <c r="G502" s="7"/>
      <c r="H502" s="7"/>
    </row>
    <row r="503" spans="2:8" x14ac:dyDescent="0.3">
      <c r="B503" s="10"/>
      <c r="C503" s="10"/>
      <c r="D503" s="7"/>
      <c r="E503" s="7"/>
      <c r="F503" s="10"/>
      <c r="G503" s="7"/>
      <c r="H503" s="7"/>
    </row>
    <row r="504" spans="2:8" x14ac:dyDescent="0.3">
      <c r="B504" s="10"/>
      <c r="C504" s="10"/>
      <c r="D504" s="7"/>
      <c r="E504" s="7"/>
      <c r="F504" s="10"/>
      <c r="G504" s="7"/>
      <c r="H504" s="7"/>
    </row>
    <row r="505" spans="2:8" x14ac:dyDescent="0.3">
      <c r="B505" s="10"/>
      <c r="C505" s="10"/>
      <c r="D505" s="7"/>
      <c r="E505" s="7"/>
      <c r="F505" s="10"/>
      <c r="G505" s="7"/>
      <c r="H505" s="7"/>
    </row>
    <row r="506" spans="2:8" x14ac:dyDescent="0.3">
      <c r="B506" s="10"/>
      <c r="C506" s="10"/>
      <c r="D506" s="7"/>
      <c r="E506" s="7"/>
      <c r="F506" s="10"/>
      <c r="G506" s="7"/>
      <c r="H506" s="7"/>
    </row>
    <row r="507" spans="2:8" x14ac:dyDescent="0.3">
      <c r="B507" s="10"/>
      <c r="C507" s="10"/>
      <c r="D507" s="7"/>
      <c r="E507" s="7"/>
      <c r="F507" s="10"/>
      <c r="G507" s="7"/>
      <c r="H507" s="7"/>
    </row>
  </sheetData>
  <autoFilter ref="B1:H1" xr:uid="{BAAFBCA4-1152-4FB7-9000-5381BB7DE9CC}"/>
  <conditionalFormatting sqref="E417:F1048576">
    <cfRule type="cellIs" dxfId="18" priority="29" operator="equal">
      <formula>"High"</formula>
    </cfRule>
  </conditionalFormatting>
  <conditionalFormatting sqref="F56">
    <cfRule type="cellIs" dxfId="17" priority="19" operator="equal">
      <formula>"REQ"</formula>
    </cfRule>
    <cfRule type="cellIs" dxfId="16" priority="20" operator="equal">
      <formula>"INC"</formula>
    </cfRule>
  </conditionalFormatting>
  <conditionalFormatting sqref="F61">
    <cfRule type="cellIs" dxfId="15" priority="21" operator="equal">
      <formula>"REQ"</formula>
    </cfRule>
    <cfRule type="cellIs" dxfId="14" priority="22" operator="equal">
      <formula>"INC"</formula>
    </cfRule>
  </conditionalFormatting>
  <conditionalFormatting sqref="F92">
    <cfRule type="cellIs" dxfId="13" priority="17" operator="equal">
      <formula>"REQ"</formula>
    </cfRule>
    <cfRule type="cellIs" dxfId="12" priority="18" operator="equal">
      <formula>"INC"</formula>
    </cfRule>
  </conditionalFormatting>
  <conditionalFormatting sqref="F154">
    <cfRule type="cellIs" dxfId="11" priority="15" operator="equal">
      <formula>"REQ"</formula>
    </cfRule>
    <cfRule type="cellIs" dxfId="10" priority="16" operator="equal">
      <formula>"INC"</formula>
    </cfRule>
  </conditionalFormatting>
  <conditionalFormatting sqref="F159:F161">
    <cfRule type="cellIs" dxfId="9" priority="9" operator="equal">
      <formula>"REQ"</formula>
    </cfRule>
    <cfRule type="cellIs" dxfId="8" priority="10" operator="equal">
      <formula>"INC"</formula>
    </cfRule>
  </conditionalFormatting>
  <conditionalFormatting sqref="F166">
    <cfRule type="cellIs" dxfId="7" priority="7" operator="equal">
      <formula>"REQ"</formula>
    </cfRule>
    <cfRule type="cellIs" dxfId="6" priority="8" operator="equal">
      <formula>"INC"</formula>
    </cfRule>
  </conditionalFormatting>
  <conditionalFormatting sqref="F183">
    <cfRule type="cellIs" dxfId="5" priority="5" operator="equal">
      <formula>"REQ"</formula>
    </cfRule>
    <cfRule type="cellIs" dxfId="4" priority="6" operator="equal">
      <formula>"INC"</formula>
    </cfRule>
  </conditionalFormatting>
  <conditionalFormatting sqref="F273">
    <cfRule type="cellIs" dxfId="3" priority="3" operator="equal">
      <formula>"REQ"</formula>
    </cfRule>
    <cfRule type="cellIs" dxfId="2" priority="4" operator="equal">
      <formula>"INC"</formula>
    </cfRule>
  </conditionalFormatting>
  <conditionalFormatting sqref="F293">
    <cfRule type="cellIs" dxfId="1" priority="1" operator="equal">
      <formula>"REQ"</formula>
    </cfRule>
    <cfRule type="cellIs" dxfId="0" priority="2" operator="equal">
      <formula>"INC"</formula>
    </cfRule>
  </conditionalFormatting>
  <pageMargins left="0.3" right="0.3" top="0.3" bottom="0.3" header="0" footer="0"/>
  <pageSetup scale="53" fitToHeight="0" orientation="landscape"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B2C5BAF61F386458C12E631F434A1B2" ma:contentTypeVersion="10" ma:contentTypeDescription="Crear nuevo documento." ma:contentTypeScope="" ma:versionID="f3d741787d9149e6b97737b43bb55acd">
  <xsd:schema xmlns:xsd="http://www.w3.org/2001/XMLSchema" xmlns:xs="http://www.w3.org/2001/XMLSchema" xmlns:p="http://schemas.microsoft.com/office/2006/metadata/properties" xmlns:ns2="f5d8d4ab-377e-44f8-bab6-6db1c155740c" xmlns:ns3="42360a00-4643-42c5-88f9-5365d0c4a999" targetNamespace="http://schemas.microsoft.com/office/2006/metadata/properties" ma:root="true" ma:fieldsID="5c4c6ee2c6946cc1755fcb98c6186c21" ns2:_="" ns3:_="">
    <xsd:import namespace="f5d8d4ab-377e-44f8-bab6-6db1c155740c"/>
    <xsd:import namespace="42360a00-4643-42c5-88f9-5365d0c4a9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d8d4ab-377e-44f8-bab6-6db1c15574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5b5f5c4a-c245-4be6-8d47-400e725a219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60a00-4643-42c5-88f9-5365d0c4a99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ce743d3-612c-41bf-bc92-d9a710fe21fe}" ma:internalName="TaxCatchAll" ma:showField="CatchAllData" ma:web="42360a00-4643-42c5-88f9-5365d0c4a9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2360a00-4643-42c5-88f9-5365d0c4a999" xsi:nil="true"/>
    <lcf76f155ced4ddcb4097134ff3c332f xmlns="f5d8d4ab-377e-44f8-bab6-6db1c155740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158EE6-1714-48F7-8DEE-51A34878F4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d8d4ab-377e-44f8-bab6-6db1c155740c"/>
    <ds:schemaRef ds:uri="42360a00-4643-42c5-88f9-5365d0c4a9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37074F-A67C-433B-AB1B-BFFBEF889003}">
  <ds:schemaRefs>
    <ds:schemaRef ds:uri="http://schemas.microsoft.com/sharepoint/v3/contenttype/forms"/>
  </ds:schemaRefs>
</ds:datastoreItem>
</file>

<file path=customXml/itemProps3.xml><?xml version="1.0" encoding="utf-8"?>
<ds:datastoreItem xmlns:ds="http://schemas.openxmlformats.org/officeDocument/2006/customXml" ds:itemID="{2E349AC9-4F88-4298-96B4-49CAB6F07BE6}">
  <ds:schemaRefs>
    <ds:schemaRef ds:uri="http://www.w3.org/XML/1998/namespace"/>
    <ds:schemaRef ds:uri="http://schemas.microsoft.com/office/2006/metadata/properties"/>
    <ds:schemaRef ds:uri="http://schemas.openxmlformats.org/package/2006/metadata/core-properties"/>
    <ds:schemaRef ds:uri="http://schemas.microsoft.com/office/infopath/2007/PartnerControls"/>
    <ds:schemaRef ds:uri="f5d8d4ab-377e-44f8-bab6-6db1c155740c"/>
    <ds:schemaRef ds:uri="http://schemas.microsoft.com/office/2006/documentManagement/types"/>
    <ds:schemaRef ds:uri="http://purl.org/dc/elements/1.1/"/>
    <ds:schemaRef ds:uri="42360a00-4643-42c5-88f9-5365d0c4a999"/>
    <ds:schemaRef ds:uri="http://purl.org/dc/dcmitype/"/>
    <ds:schemaRef ds:uri="http://purl.org/dc/terms/"/>
  </ds:schemaRefs>
</ds:datastoreItem>
</file>

<file path=docMetadata/LabelInfo.xml><?xml version="1.0" encoding="utf-8"?>
<clbl:labelList xmlns:clbl="http://schemas.microsoft.com/office/2020/mipLabelMetadata">
  <clbl:label id="{61187623-5b64-4d8c-b7af-18fe1fa8371c}" enabled="0" method="" siteId="{61187623-5b64-4d8c-b7af-18fe1fa8371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Calculo Informes</vt:lpstr>
      <vt:lpstr>CesarGonzalez</vt:lpstr>
      <vt:lpstr>RodrigoLorca</vt:lpstr>
      <vt:lpstr>PabloSalazar</vt:lpstr>
      <vt:lpstr>GonzaloRodriguez</vt:lpstr>
      <vt:lpstr>OscarMora</vt:lpstr>
      <vt:lpstr>GabrielNuñez</vt:lpstr>
      <vt:lpstr>AmericoSaravia</vt:lpstr>
      <vt:lpstr>JPBuzeta</vt:lpstr>
      <vt:lpstr>CarlosJara</vt:lpstr>
      <vt:lpstr>CristiánVásquez</vt:lpstr>
      <vt:lpstr>AlejandroIpinza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Rodrigo</dc:creator>
  <cp:keywords/>
  <dc:description/>
  <cp:lastModifiedBy>Miguel Angel Garrido Pino</cp:lastModifiedBy>
  <cp:revision/>
  <dcterms:created xsi:type="dcterms:W3CDTF">2015-08-28T16:35:04Z</dcterms:created>
  <dcterms:modified xsi:type="dcterms:W3CDTF">2026-03-30T14:57:14Z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0x010100CB2C5BAF61F386458C12E631F434A1B2</vt:lpwstr>
  </property>
  <property fmtid="{D5CDD505-2E9C-101B-9397-08002B2CF9AE}" pid="3" name="MediaServiceImageTags">
    <vt:lpwstr/>
  </property>
</Properties>
</file>